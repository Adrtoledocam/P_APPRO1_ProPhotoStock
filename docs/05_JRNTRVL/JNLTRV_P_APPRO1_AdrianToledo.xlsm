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99D6CC5B-69DA-470C-8F3F-510B912F8CDF}"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C36" i="12"/>
  <c r="D35" i="12"/>
  <c r="D34" i="12"/>
  <c r="D33" i="12"/>
  <c r="D32" i="12"/>
  <c r="D31" i="12"/>
  <c r="C48" i="12"/>
  <c r="D47" i="12"/>
  <c r="D46" i="12"/>
  <c r="D45" i="12"/>
  <c r="D44" i="12"/>
  <c r="D43" i="12"/>
  <c r="C60" i="12"/>
  <c r="D59" i="12"/>
  <c r="D58" i="12"/>
  <c r="D57" i="12"/>
  <c r="D56" i="12"/>
  <c r="D55" i="12"/>
  <c r="C72" i="12"/>
  <c r="D71" i="12"/>
  <c r="D70" i="12"/>
  <c r="D69" i="12"/>
  <c r="C84" i="12"/>
  <c r="D83" i="12"/>
  <c r="D82" i="12"/>
  <c r="D81" i="12"/>
  <c r="D80" i="12"/>
  <c r="C96" i="12"/>
  <c r="D95" i="12"/>
  <c r="D94" i="12"/>
  <c r="D93" i="12"/>
  <c r="D92" i="12"/>
  <c r="D91" i="12"/>
  <c r="C108" i="12"/>
  <c r="D107" i="12"/>
  <c r="D106" i="12"/>
  <c r="D105" i="12"/>
  <c r="D104" i="12"/>
  <c r="C120" i="12"/>
  <c r="D119" i="12"/>
  <c r="D118" i="12"/>
  <c r="D117" i="12"/>
  <c r="D116" i="12"/>
  <c r="D115" i="12"/>
  <c r="C132" i="12"/>
  <c r="D131" i="12"/>
  <c r="D130" i="12"/>
  <c r="D129" i="12"/>
  <c r="C144" i="12"/>
  <c r="D143" i="12"/>
  <c r="D142" i="12"/>
  <c r="D141" i="12"/>
  <c r="D140" i="12"/>
  <c r="C156" i="12"/>
  <c r="D155" i="12"/>
  <c r="D154" i="12"/>
  <c r="D153" i="12"/>
  <c r="D152" i="12"/>
  <c r="C168" i="12"/>
  <c r="D167" i="12"/>
  <c r="D166" i="12"/>
  <c r="D165" i="12"/>
  <c r="D164" i="12"/>
  <c r="C180" i="12"/>
  <c r="D179" i="12"/>
  <c r="D178" i="12"/>
  <c r="D177" i="12"/>
  <c r="D176" i="12"/>
  <c r="D175" i="12"/>
  <c r="C192" i="12"/>
  <c r="D191" i="12"/>
  <c r="D190" i="12"/>
  <c r="D189" i="12"/>
  <c r="D188" i="12"/>
  <c r="C204" i="12"/>
  <c r="D203" i="12"/>
  <c r="D202" i="12"/>
  <c r="D201" i="12"/>
  <c r="C216" i="12"/>
  <c r="D215" i="12"/>
  <c r="D214" i="12"/>
  <c r="D213" i="12"/>
  <c r="C228" i="12"/>
  <c r="D227" i="12"/>
  <c r="D226" i="12"/>
  <c r="D225" i="12"/>
  <c r="C240" i="12"/>
  <c r="D239" i="12"/>
  <c r="D238" i="12"/>
  <c r="D237" i="12"/>
  <c r="D236" i="12"/>
  <c r="D235" i="12"/>
  <c r="C252" i="12"/>
  <c r="D251" i="12"/>
  <c r="D250" i="12"/>
  <c r="D249" i="12"/>
  <c r="D248" i="12"/>
  <c r="C264" i="12"/>
  <c r="D263" i="12"/>
  <c r="D262" i="12"/>
  <c r="D261" i="12"/>
  <c r="C276" i="12"/>
  <c r="D275" i="12"/>
  <c r="D274" i="12"/>
  <c r="D273" i="12"/>
  <c r="D272" i="12"/>
  <c r="C288" i="12"/>
  <c r="D287" i="12"/>
  <c r="D286" i="12"/>
  <c r="D285" i="12"/>
  <c r="D284" i="12"/>
  <c r="C300" i="12"/>
  <c r="D299" i="12"/>
  <c r="D298" i="12"/>
  <c r="D297" i="12"/>
  <c r="C312" i="12"/>
  <c r="D311" i="12"/>
  <c r="D310" i="12"/>
  <c r="D309" i="12"/>
  <c r="D308" i="12"/>
  <c r="C324" i="12"/>
  <c r="D323" i="12"/>
  <c r="D322" i="12"/>
  <c r="D321" i="12"/>
  <c r="D320" i="12"/>
  <c r="C336" i="12"/>
  <c r="D335" i="12"/>
  <c r="D334" i="12"/>
  <c r="D333" i="12"/>
  <c r="D332" i="12"/>
  <c r="C348" i="12"/>
  <c r="D347" i="12"/>
  <c r="D346" i="12"/>
  <c r="D345" i="12"/>
  <c r="D344" i="12"/>
  <c r="C360" i="12"/>
  <c r="D359" i="12"/>
  <c r="D358" i="12"/>
  <c r="D357" i="12"/>
  <c r="D356" i="12"/>
  <c r="C372" i="12"/>
  <c r="D371" i="12"/>
  <c r="D370" i="12"/>
  <c r="C384" i="12"/>
  <c r="D383" i="12"/>
  <c r="D382" i="12"/>
  <c r="D381" i="12"/>
  <c r="D366" i="12"/>
  <c r="D140" i="10"/>
  <c r="D67" i="10"/>
  <c r="D149" i="10"/>
  <c r="D141" i="10"/>
  <c r="D209" i="10"/>
  <c r="D137" i="10"/>
  <c r="D151" i="10"/>
  <c r="D186" i="10"/>
  <c r="D78" i="10"/>
  <c r="D222" i="10"/>
  <c r="D102" i="10"/>
  <c r="D90" i="10"/>
  <c r="D211" i="10"/>
  <c r="D16" i="12"/>
  <c r="D4" i="12"/>
  <c r="D6" i="12"/>
  <c r="D18" i="12"/>
  <c r="D5" i="12"/>
  <c r="D17" i="12"/>
  <c r="D12" i="12"/>
  <c r="D24" i="12"/>
  <c r="D40" i="12"/>
  <c r="D209" i="12"/>
  <c r="D306" i="12"/>
  <c r="D268" i="12"/>
  <c r="D329" i="12"/>
  <c r="D156" i="12"/>
  <c r="D348" i="12"/>
  <c r="D372" i="12"/>
  <c r="D150" i="12"/>
  <c r="D210" i="12"/>
  <c r="D78" i="12"/>
  <c r="D48" i="12"/>
  <c r="D223" i="12"/>
  <c r="D208" i="12"/>
  <c r="D220" i="12"/>
  <c r="D77" i="12"/>
  <c r="D163" i="12"/>
  <c r="D197" i="12"/>
  <c r="D136" i="12"/>
  <c r="D282" i="12"/>
  <c r="D224" i="12"/>
  <c r="D246" i="12"/>
  <c r="D281" i="12"/>
  <c r="D100" i="12"/>
  <c r="D172" i="12"/>
  <c r="D353" i="12"/>
  <c r="D173" i="12"/>
  <c r="D36" i="12"/>
  <c r="D240" i="12"/>
  <c r="D187" i="12"/>
  <c r="D137" i="12"/>
  <c r="D216" i="12"/>
  <c r="D368" i="12"/>
  <c r="D384" i="12"/>
  <c r="D96" i="12"/>
  <c r="D72" i="12"/>
  <c r="D174" i="12"/>
  <c r="D67" i="12"/>
  <c r="D148" i="12"/>
  <c r="D331" i="12"/>
  <c r="D149" i="12"/>
  <c r="D336" i="12"/>
  <c r="D168" i="12"/>
  <c r="D280" i="12"/>
  <c r="D288" i="12"/>
  <c r="D68" i="12"/>
  <c r="D112" i="12"/>
  <c r="D352" i="12"/>
  <c r="D76" i="12"/>
  <c r="D52" i="12"/>
  <c r="D127" i="12"/>
  <c r="D132" i="12"/>
  <c r="D185" i="12"/>
  <c r="D316" i="12"/>
  <c r="D355" i="12"/>
  <c r="D139" i="12"/>
  <c r="D101" i="12"/>
  <c r="D89" i="12"/>
  <c r="D84" i="12"/>
  <c r="D294" i="12"/>
  <c r="D247" i="12"/>
  <c r="D126" i="12"/>
  <c r="D259" i="12"/>
  <c r="D379" i="12"/>
  <c r="D125" i="12"/>
  <c r="D295" i="12"/>
  <c r="D258" i="12"/>
  <c r="D196" i="12"/>
  <c r="D53" i="12"/>
  <c r="D228" i="12"/>
  <c r="D60" i="12"/>
  <c r="D252" i="12"/>
  <c r="D232" i="12"/>
  <c r="D221" i="12"/>
  <c r="D120" i="12"/>
  <c r="D212" i="12"/>
  <c r="D161" i="12"/>
  <c r="D318" i="12"/>
  <c r="D360" i="12"/>
  <c r="D341" i="12"/>
  <c r="D276" i="12"/>
  <c r="D64" i="12"/>
  <c r="D312" i="12"/>
  <c r="D184" i="12"/>
  <c r="D103" i="12"/>
  <c r="D260" i="12"/>
  <c r="D128" i="12"/>
  <c r="D293" i="12"/>
  <c r="D365" i="12"/>
  <c r="D264" i="12"/>
  <c r="D162" i="12"/>
  <c r="D138" i="12"/>
  <c r="D292" i="12"/>
  <c r="D28" i="12"/>
  <c r="D256" i="12"/>
  <c r="D90" i="12"/>
  <c r="D186" i="12"/>
  <c r="D257" i="12"/>
  <c r="D354" i="12"/>
  <c r="D54" i="12"/>
  <c r="D29" i="12"/>
  <c r="D367" i="12"/>
  <c r="D317" i="12"/>
  <c r="D328" i="12"/>
  <c r="D283" i="12"/>
  <c r="D319" i="12"/>
  <c r="D30" i="12"/>
  <c r="D114" i="12"/>
  <c r="D342" i="12"/>
  <c r="D124" i="12"/>
  <c r="D192" i="12"/>
  <c r="D88" i="12"/>
  <c r="D102" i="12"/>
  <c r="D378" i="12"/>
  <c r="D108" i="12"/>
  <c r="D198" i="12"/>
  <c r="D305" i="12"/>
  <c r="D343" i="12"/>
  <c r="D304" i="12"/>
  <c r="D324" i="12"/>
  <c r="D377" i="12"/>
  <c r="D233" i="12"/>
  <c r="D113" i="12"/>
  <c r="D380" i="12"/>
  <c r="D204" i="12"/>
  <c r="D364" i="12"/>
  <c r="D296" i="12"/>
  <c r="D270" i="12"/>
  <c r="D180" i="12"/>
  <c r="D200" i="12"/>
  <c r="D269" i="12"/>
  <c r="D151" i="12"/>
  <c r="D369" i="12"/>
  <c r="D211" i="12"/>
  <c r="D307" i="12"/>
  <c r="D41" i="12"/>
  <c r="D330" i="12"/>
  <c r="D340" i="12"/>
  <c r="D42" i="12"/>
  <c r="D244" i="12"/>
  <c r="D65" i="12"/>
  <c r="D234" i="12"/>
  <c r="D160" i="12"/>
  <c r="D79" i="12"/>
  <c r="D271" i="12"/>
  <c r="D66" i="12"/>
  <c r="D199" i="12"/>
  <c r="D144" i="12"/>
  <c r="D245" i="12"/>
  <c r="D300" i="12"/>
  <c r="D222"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233" i="10"/>
  <c r="D132" i="10"/>
  <c r="D240" i="10"/>
  <c r="D34" i="1"/>
  <c r="D79" i="1"/>
  <c r="D172" i="10"/>
  <c r="D28" i="1"/>
  <c r="D343" i="10"/>
  <c r="D348" i="10"/>
  <c r="D196" i="10"/>
  <c r="D80" i="1"/>
  <c r="D336" i="10"/>
  <c r="D91" i="1"/>
  <c r="D89" i="10"/>
  <c r="D221" i="10"/>
  <c r="D280" i="10"/>
  <c r="D47" i="1"/>
  <c r="D234" i="10"/>
  <c r="D75" i="1"/>
  <c r="D54" i="1"/>
  <c r="D48" i="1"/>
  <c r="D360" i="10"/>
  <c r="D125" i="10"/>
  <c r="D22" i="1"/>
  <c r="D94" i="1"/>
  <c r="D246" i="10"/>
  <c r="D37" i="1"/>
  <c r="D59" i="1"/>
  <c r="D247" i="10"/>
  <c r="D56" i="1"/>
  <c r="D294" i="10"/>
  <c r="D84" i="10"/>
  <c r="D41" i="1"/>
  <c r="D329" i="10"/>
  <c r="D197" i="10"/>
  <c r="D83" i="1"/>
  <c r="D342" i="10"/>
  <c r="D317" i="10"/>
  <c r="D57" i="1"/>
  <c r="D96" i="10"/>
  <c r="D66" i="10"/>
  <c r="D71" i="1"/>
  <c r="D173" i="10"/>
  <c r="D108" i="10"/>
  <c r="D85" i="1"/>
  <c r="D76" i="10"/>
  <c r="D77" i="10"/>
  <c r="D101" i="10"/>
  <c r="D90" i="1"/>
  <c r="D364" i="10"/>
  <c r="D69" i="1"/>
  <c r="D281" i="10"/>
  <c r="D31" i="1"/>
  <c r="D27" i="1"/>
  <c r="D11" i="15"/>
  <c r="D62" i="1"/>
  <c r="D276" i="10"/>
  <c r="D232" i="10"/>
  <c r="D126" i="10"/>
  <c r="D270" i="10"/>
  <c r="D89" i="1"/>
  <c r="D113" i="10"/>
  <c r="D20" i="1"/>
  <c r="D366" i="10"/>
  <c r="D55" i="1"/>
  <c r="D54" i="10"/>
  <c r="D124" i="10"/>
  <c r="D318" i="10"/>
  <c r="D36" i="1"/>
  <c r="D244" i="10"/>
  <c r="D100" i="10"/>
  <c r="D53" i="1"/>
  <c r="D81" i="1"/>
  <c r="D283" i="10"/>
  <c r="D67" i="1"/>
  <c r="D127" i="10"/>
  <c r="D112" i="10"/>
  <c r="D204" i="10"/>
  <c r="D65" i="10"/>
  <c r="D48" i="10"/>
  <c r="D312" i="10"/>
  <c r="D223" i="10"/>
  <c r="D21" i="1"/>
  <c r="D268" i="10"/>
  <c r="D88" i="10"/>
  <c r="D184" i="10"/>
  <c r="D30" i="1"/>
  <c r="D305" i="10"/>
  <c r="D42" i="10"/>
  <c r="D52" i="1"/>
  <c r="D53" i="10"/>
  <c r="D220" i="10"/>
  <c r="D46" i="1"/>
  <c r="D23" i="1"/>
  <c r="D73" i="1"/>
  <c r="D49" i="1"/>
  <c r="D341" i="10"/>
  <c r="D352" i="10"/>
  <c r="D72" i="10"/>
  <c r="D72" i="1"/>
  <c r="D368" i="10"/>
  <c r="D367" i="10"/>
  <c r="D74" i="1"/>
  <c r="D40" i="1"/>
  <c r="D328" i="10"/>
  <c r="D365" i="10"/>
  <c r="D77" i="1"/>
  <c r="D353" i="10"/>
  <c r="D41" i="10"/>
  <c r="D324" i="10"/>
  <c r="D35" i="1"/>
  <c r="D307" i="10"/>
  <c r="D258" i="10"/>
  <c r="D68" i="1"/>
  <c r="D150" i="10"/>
  <c r="D331" i="10"/>
  <c r="D93" i="1"/>
  <c r="D355" i="10"/>
  <c r="D25" i="1"/>
  <c r="D87" i="1"/>
  <c r="D304" i="10"/>
  <c r="D316" i="10"/>
  <c r="D45" i="1"/>
  <c r="D198" i="10"/>
  <c r="D300" i="10"/>
  <c r="D88" i="1"/>
  <c r="D354" i="10"/>
  <c r="D136" i="10"/>
  <c r="D78" i="1"/>
  <c r="D19" i="1"/>
  <c r="D156" i="10"/>
  <c r="D51" i="1"/>
  <c r="D58" i="1"/>
  <c r="D64" i="10"/>
  <c r="D160" i="10"/>
  <c r="D66" i="1"/>
  <c r="D24" i="1"/>
  <c r="D120" i="10"/>
  <c r="D42" i="1"/>
  <c r="D17" i="1"/>
  <c r="D144" i="10"/>
  <c r="D292" i="10"/>
  <c r="D216" i="10"/>
  <c r="D26" i="1"/>
  <c r="D340" i="10"/>
  <c r="D252" i="10"/>
  <c r="D39" i="1"/>
  <c r="D65" i="1"/>
  <c r="D269" i="10"/>
  <c r="D29" i="1"/>
  <c r="D180" i="10"/>
  <c r="D245" i="10"/>
  <c r="D148" i="10"/>
  <c r="D372" i="10"/>
  <c r="D256" i="10"/>
  <c r="D60" i="1"/>
  <c r="D257" i="10"/>
  <c r="D70" i="1"/>
  <c r="D38" i="1"/>
  <c r="D11" i="16"/>
  <c r="D76" i="1"/>
  <c r="D60" i="10"/>
  <c r="D61" i="1"/>
  <c r="D185" i="10"/>
  <c r="D50" i="1"/>
  <c r="D306" i="10"/>
  <c r="D163" i="10"/>
  <c r="D64" i="1"/>
  <c r="D210" i="10"/>
  <c r="D92" i="1"/>
  <c r="D15" i="1"/>
  <c r="D139" i="10"/>
  <c r="D16" i="1"/>
  <c r="D168" i="10"/>
  <c r="D86" i="1"/>
  <c r="D264" i="10"/>
  <c r="D33" i="1"/>
  <c r="D208" i="10"/>
  <c r="D228" i="10"/>
  <c r="D32" i="1"/>
  <c r="D295" i="10"/>
  <c r="D84" i="1"/>
  <c r="D174" i="10"/>
  <c r="D52" i="10"/>
  <c r="D282" i="10"/>
  <c r="D192" i="10"/>
  <c r="D18" i="1"/>
  <c r="D43" i="1"/>
  <c r="D235" i="10"/>
  <c r="D44" i="1"/>
  <c r="D293" i="10"/>
  <c r="D63" i="1"/>
  <c r="D288" i="10"/>
  <c r="D224" i="10"/>
  <c r="D162" i="10"/>
  <c r="D161" i="10"/>
  <c r="D8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<sst xmlns="http://schemas.openxmlformats.org/spreadsheetml/2006/main" count="1434" uniqueCount="278">
  <si>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</si>
  <si>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</si>
  <si>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</si>
  <si>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</si>
  <si>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</si>
  <si>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</si>
  <si>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</si>
  <si>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</si>
  <si>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</si>
  <si>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</si>
  <si>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</si>
  <si>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</si>
  <si>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</si>
  <si>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</si>
  <si>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</si>
  <si>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</si>
  <si>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</si>
  <si>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</si>
  <si>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</si>
  <si>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</si>
  <si>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</si>
  <si>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</si>
  <si>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</si>
  <si>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</si>
  <si>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</si>
  <si>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</si>
  <si>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</si>
  <si>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</si>
  <si>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</si>
  <si>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</si>
  <si>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</si>
  <si>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</si>
  <si>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</si>
  <si>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</si>
  <si>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</si>
  <si>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</si>
  <si>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</si>
  <si>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</si>
  <si>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</si>
  <si>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</si>
  <si>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</si>
  <si>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</si>
  <si>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</si>
  <si>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</si>
  <si>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</si>
  <si>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</si>
  <si>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</si>
  <si>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</si>
  <si>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</si>
  <si>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</si>
  <si>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</si>
  <si>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</si>
  <si>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</si>
  <si>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</si>
  <si>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</si>
  <si>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</si>
  <si>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</si>
  <si>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</si>
  <si>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</si>
  <si>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</si>
  <si>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</si>
  <si>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</si>
  <si>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</si>
  <si>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</si>
  <si>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</si>
  <si>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</si>
  <si>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</si>
  <si>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</si>
  <si>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</si>
  <si>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</si>
  <si>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</si>
  <si>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</si>
  <si>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</si>
  <si>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</si>
  <si>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</si>
  <si>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</si>
  <si>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</si>
  <si>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</si>
  <si>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</si>
  <si>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</si>
  <si>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</si>
  <si>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</si>
  <si>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</si>
  <si>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</si>
  <si>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</si>
  <si>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</si>
  <si>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</si>
  <si>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</si>
  <si>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</si>
  <si>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</si>
  <si>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</si>
  <si>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</si>
  <si>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</si>
  <si>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</si>
  <si>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</si>
  <si>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</si>
  <si>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</si>
  <si>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</si>
  <si>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</si>
  <si>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</si>
  <si>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</si>
  <si>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</si>
  <si>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</si>
  <si>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</si>
  <si>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</si>
  <si>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</si>
  <si>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</si>
  <si>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</si>
  <si>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</si>
  <si>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</si>
  <si>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</si>
  <si>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</si>
  <si>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</si>
  <si>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</si>
  <si>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</si>
  <si>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</si>
  <si>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</si>
  <si>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</si>
  <si>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</si>
  <si>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</si>
  <si>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</si>
  <si>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</si>
  <si>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</si>
  <si>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</si>
  <si>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</si>
  <si>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</si>
  <si>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</si>
  <si>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</si>
  <si>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</si>
  <si>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</si>
  <si>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</si>
  <si>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</si>
  <si>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</si>
  <si>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</si>
  <si>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</si>
  <si>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</si>
  <si>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</si>
  <si>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</si>
  <si>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</si>
  <si>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</si>
  <si>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</si>
  <si>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</si>
  <si>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</si>
  <si>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</si>
  <si>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</si>
  <si>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</si>
  <si>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</si>
  <si>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</si>
  <si>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</si>
  <si>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</si>
  <si>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</si>
  <si>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</si>
  <si>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</si>
  <si>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</si>
  <si>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Chercher Information pour l'analyse du projet</t>
  </si>
  <si>
    <t>Conditions et des contrats</t>
  </si>
  <si>
    <t>Conditions des contrats et rôles</t>
  </si>
  <si>
    <t>Mis a jour du projet, apk du v1</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</si>
  <si>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</si>
  <si>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</si>
  <si>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</si>
  <si>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</si>
  <si>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</si>
  <si>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</si>
  <si>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</si>
  <si>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</si>
  <si>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</si>
  <si>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</si>
  <si>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</si>
  <si>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</si>
  <si>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</si>
  <si>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</si>
  <si>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</si>
  <si>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</si>
  <si>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</si>
  <si>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</si>
  <si>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</si>
  <si>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</si>
  <si>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</si>
  <si>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</si>
  <si>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</si>
  <si>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</si>
  <si>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</si>
  <si>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</si>
  <si>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</si>
  <si>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</si>
  <si>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</si>
  <si>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</si>
  <si>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</si>
  <si>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</si>
  <si>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</si>
  <si>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</si>
  <si>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</si>
  <si>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</si>
  <si>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</si>
  <si>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</si>
  <si>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</si>
  <si>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</si>
  <si>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</si>
  <si>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</si>
  <si>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</si>
  <si>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</si>
  <si>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</si>
  <si>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</si>
  <si>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</si>
  <si>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</si>
  <si>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</si>
  <si>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</si>
  <si>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</si>
  <si>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</si>
  <si>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</si>
  <si>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</si>
  <si>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</si>
  <si>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</si>
  <si>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</si>
  <si>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</si>
  <si>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</si>
  <si>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</si>
  <si>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</si>
  <si>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</si>
  <si>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</si>
  <si>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</si>
  <si>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</si>
  <si>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</si>
  <si>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</si>
  <si>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</si>
  <si>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</si>
  <si>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</si>
  <si>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</si>
  <si>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</si>
  <si>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</si>
  <si>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</si>
  <si>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</si>
  <si>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</si>
  <si>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</si>
  <si>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</si>
  <si>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</si>
  <si>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</si>
  <si>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</si>
  <si>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</si>
  <si>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</si>
  <si>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</si>
  <si>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</si>
  <si>
    <t>Code pour l'intégration du backend avec le frontend : service/ApiService.cs et ajouter des routes</t>
  </si>
  <si>
    <t>Realisation de les pages : Catalogue, Profil, se desconnecter, afficher contrats.</t>
  </si>
  <si>
    <t>Adaptation des frontend pour le backend sur : Catalogue, profil et contrats</t>
  </si>
  <si>
    <t>Diagrammes pour l'explication du program et ces rôles.</t>
  </si>
  <si>
    <t>System de stockage et partage des images avec Cloudinary. Page de uploadePhoto finalisée</t>
  </si>
  <si>
    <t>https://app.diagrams.net/</t>
  </si>
  <si>
    <t xml:space="preserve">Réorganisation des tâches en attente et des tâches réalisées. </t>
  </si>
  <si>
    <t>Diagrammes de l'architecture logique et finalisation du chapitre 1 Analyse préliminaire (Introduction, Objectifs, Planification initiale)</t>
  </si>
  <si>
    <t>Modification du gitignore pour adapter à Cloudinary</t>
  </si>
  <si>
    <t>90h 40 min</t>
  </si>
  <si>
    <t>67h 25 min</t>
  </si>
  <si>
    <t>- 23h 15 min</t>
  </si>
  <si>
    <t>Modifications apportées à la documentation, aux images et aux schémas avec légendes et mises au point. Description pour le chapitre 2.4. Modélisation des données.</t>
  </si>
  <si>
    <t>Rédaction des tests actuels</t>
  </si>
  <si>
    <t>Présentation de mon projet sous forme d'une petite démo fonctionnelle. Corrections et améliorations possibles pour un TPI réel.</t>
  </si>
  <si>
    <t>Corrections de bugs et suggestion de ma cheffe du projet.</t>
  </si>
  <si>
    <t>Meeting avec mon chef de TPI</t>
  </si>
  <si>
    <t>Finalisation du chapitre dossier de conception et des descriptions des modèles de données</t>
  </si>
  <si>
    <t xml:space="preserve">Ajouter des tests en local à essayer plus tard. </t>
  </si>
  <si>
    <t xml:space="preserve">Test pas intégré dans le code de git car il fait de problèmes. </t>
  </si>
  <si>
    <t xml:space="preserve">Diagramme d'architecture. Présentation d'un schème pour le dossier de réalisation. Prendre des captures d'écran et fournir des références sur l'état actuel de mon projet. Aligner les images et les textes comme pour un document officiel. </t>
  </si>
  <si>
    <t xml:space="preserve">Bugs trouvé et effacer de code supplémentaire </t>
  </si>
  <si>
    <t>Ajouter les suggestions de ma cheffe d'équipe dans le rapport. Début du dossier de conception</t>
  </si>
  <si>
    <t>Flux de navigation e et finalisation du chapitre 2 Concept ( Analyse fonctionnelle, flux de navigation, tests, maquettes UI/UX et MCD/MLD)</t>
  </si>
  <si>
    <t xml:space="preserve">Tests et vérifications de fonctionnalités basique du projet </t>
  </si>
  <si>
    <t>Diagrammes pour définir les cas d'utilisation et son architectura logicielle avec</t>
  </si>
  <si>
    <t>Réalisation de les pages : contrats selon le rôle et réalisation de contrats.</t>
  </si>
  <si>
    <t>Première analyse de l'avancement du projet. Examen des points clés pour son évaluation.</t>
  </si>
  <si>
    <t>Début de dossier de réalisation et conclusions</t>
  </si>
  <si>
    <t xml:space="preserve">Diagrammes du dossier de réalisation : Backend, Frontend code et arborescence. </t>
  </si>
  <si>
    <t>dossier de réalisation et conclusions en cours</t>
  </si>
  <si>
    <t>Structure des tests et tableaux complétés. Avancement au point 3.</t>
  </si>
  <si>
    <t>Modifications apportées au test d'intégration destiné au rapporteur</t>
  </si>
  <si>
    <t>Chapitres 3 et 4 terminés. À vérifier et améliorer résumé du rapport</t>
  </si>
  <si>
    <t>Tests unitaires adaptés au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</si>
</sst>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dLbl>
              <c:idx val="22"/>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C07-49B6-8A05-53F8BFC1867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Frontend</c:v>
              </c:pt>
              <c:pt idx="19">
                <c:v>Réalisation - Git</c:v>
              </c:pt>
              <c:pt idx="20">
                <c:v>Réalisation - intégration mobile–backend</c:v>
              </c:pt>
              <c:pt idx="21">
                <c:v>Test - corrections</c:v>
              </c:pt>
              <c:pt idx="22">
                <c:v>Test - Unitaire</c:v>
              </c:pt>
            </c:strLit>
          </c:cat>
          <c:val>
            <c:numLit>
              <c:formatCode>General</c:formatCode>
              <c:ptCount val="23"/>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125</c:v>
              </c:pt>
              <c:pt idx="15">
                <c:v>28</c:v>
              </c:pt>
              <c:pt idx="16">
                <c:v>33</c:v>
              </c:pt>
              <c:pt idx="17">
                <c:v>43</c:v>
              </c:pt>
              <c:pt idx="18">
                <c:v>105</c:v>
              </c:pt>
              <c:pt idx="19">
                <c:v>40</c:v>
              </c:pt>
              <c:pt idx="20">
                <c:v>92</c:v>
              </c:pt>
              <c:pt idx="21">
                <c:v>65</c:v>
              </c:pt>
              <c:pt idx="22">
                <c:v>66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C07-49B6-8A05-53F8BFC1867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C07-49B6-8A05-53F8BFC1867C}"/>
                </c:ext>
              </c:extLst>
            </c:dLbl>
            <c:dLbl>
              <c:idx val="3"/>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C07-49B6-8A05-53F8BFC1867C}"/>
                </c:ext>
              </c:extLst>
            </c:dLbl>
            <c:dLbl>
              <c:idx val="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C07-49B6-8A05-53F8BFC1867C}"/>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7h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7h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3"/>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C07-49B6-8A05-53F8BFC1867C}"/>
                </c:ext>
              </c:extLst>
            </c:dLbl>
            <c:dLbl>
              <c:idx val="14"/>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C07-49B6-8A05-53F8BFC1867C}"/>
                </c:ext>
              </c:extLst>
            </c:dLbl>
            <c:dLbl>
              <c:idx val="16"/>
              <c:tx>
                <c:rich>
                  <a:bodyPr/>
                  <a:lstStyle/>
                  <a:p>
                    <a:r>
                      <a:rPr lang="en-US"/>
                      <a:t>4h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C07-49B6-8A05-53F8BFC1867C}"/>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C07-49B6-8A05-53F8BFC1867C}"/>
                </c:ext>
              </c:extLst>
            </c:dLbl>
            <c:dLbl>
              <c:idx val="18"/>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C07-49B6-8A05-53F8BFC1867C}"/>
                </c:ext>
              </c:extLst>
            </c:dLbl>
            <c:dLbl>
              <c:idx val="19"/>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C07-49B6-8A05-53F8BFC1867C}"/>
                </c:ext>
              </c:extLst>
            </c:dLbl>
            <c:dLbl>
              <c:idx val="21"/>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C07-49B6-8A05-53F8BFC1867C}"/>
                </c:ext>
              </c:extLst>
            </c:dLbl>
            <c:dLbl>
              <c:idx val="22"/>
              <c:tx>
                <c:rich>
                  <a:bodyPr/>
                  <a:lstStyle/>
                  <a:p>
                    <a:r>
                      <a:rPr lang="en-US"/>
                      <a:t>6h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C07-49B6-8A05-53F8BFC1867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36</c:v>
              </c:pt>
              <c:pt idx="1">
                <c:v>9</c:v>
              </c:pt>
              <c:pt idx="2">
                <c:v>10</c:v>
              </c:pt>
              <c:pt idx="3">
                <c:v>28</c:v>
              </c:pt>
              <c:pt idx="4">
                <c:v>0</c:v>
              </c:pt>
              <c:pt idx="5">
                <c:v>6</c:v>
              </c:pt>
              <c:pt idx="6">
                <c:v>12</c:v>
              </c:pt>
              <c:pt idx="7">
                <c:v>72</c:v>
              </c:pt>
              <c:pt idx="8">
                <c:v>15</c:v>
              </c:pt>
              <c:pt idx="9">
                <c:v>16</c:v>
              </c:pt>
              <c:pt idx="10">
                <c:v>86</c:v>
              </c:pt>
              <c:pt idx="11">
                <c:v>85</c:v>
              </c:pt>
              <c:pt idx="12">
                <c:v>22</c:v>
              </c:pt>
              <c:pt idx="13">
                <c:v>81</c:v>
              </c:pt>
              <c:pt idx="14">
                <c:v>40</c:v>
              </c:pt>
              <c:pt idx="15">
                <c:v>16</c:v>
              </c:pt>
              <c:pt idx="16">
                <c:v>50</c:v>
              </c:pt>
              <c:pt idx="17">
                <c:v>35</c:v>
              </c:pt>
              <c:pt idx="18">
                <c:v>18</c:v>
              </c:pt>
              <c:pt idx="19">
                <c:v>80</c:v>
              </c:pt>
              <c:pt idx="20">
                <c:v>0</c:v>
              </c:pt>
              <c:pt idx="21">
                <c:v>9</c:v>
              </c:pt>
              <c:pt idx="22">
                <c:v>83</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40 min</a:t>
                    </a:r>
                  </a:p>
                  <a:p>
                    <a:r>
                      <a:rPr lang="en-US"/>
                      <a:t> 46.5%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10h 55 min</a:t>
                    </a:r>
                  </a:p>
                  <a:p>
                    <a:r>
                      <a:rPr lang="en-US"/>
                      <a:t> 12.2%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500</c:v>
              </c:pt>
              <c:pt idx="5">
                <c:v>131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3h</a:t>
                    </a:r>
                  </a:p>
                  <a:p>
                    <a:r>
                      <a:rPr lang="en-US"/>
                      <a:t> 4.6%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4h 25 min</a:t>
                    </a:r>
                  </a:p>
                  <a:p>
                    <a:r>
                      <a:rPr lang="en-US"/>
                      <a:t> 6.7%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8h 15 min</a:t>
                    </a:r>
                  </a:p>
                  <a:p>
                    <a:r>
                      <a:rPr lang="en-US"/>
                      <a:t> 12.6%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35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26h 40 min</a:t>
                    </a:r>
                  </a:p>
                  <a:p>
                    <a:r>
                      <a:rPr lang="en-US"/>
                      <a:t> 40.7%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7h 40 min</a:t>
                    </a:r>
                  </a:p>
                  <a:p>
                    <a:r>
                      <a:rPr lang="en-US"/>
                      <a:t> 11.7%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36</c:v>
              </c:pt>
              <c:pt idx="1">
                <c:v>53</c:v>
              </c:pt>
              <c:pt idx="2">
                <c:v>99</c:v>
              </c:pt>
              <c:pt idx="3">
                <c:v>187</c:v>
              </c:pt>
              <c:pt idx="4">
                <c:v>320</c:v>
              </c:pt>
              <c:pt idx="5">
                <c:v>92</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github.com/Adrtoledocam/P_APPRO1_ProPhotoStock/tree/main/docs/03_Rapport"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hyperlink" Target="https://app.diagrams.net/" TargetMode="External"/><Relationship Id="rId11" Type="http://schemas.openxmlformats.org/officeDocument/2006/relationships/image" Target="../media/image7.emf"/><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control" Target="../activeX/activeX6.xml"/><Relationship Id="rId4" Type="http://schemas.openxmlformats.org/officeDocument/2006/relationships/hyperlink" Target="https://github.com/Adrtoledocam/P_APPRO1_ProPhotoStock/tree/main/docs/05_JRNTRVL"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9" zoomScale="55" zoomScaleNormal="55" workbookViewId="0">
      <selection activeCell="AE62" sqref="AE6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252</v>
      </c>
      <c r="G45" s="216" t="s">
        <v>1</v>
      </c>
      <c r="H45" s="216"/>
      <c r="I45" s="216"/>
      <c r="J45" s="140" t="s">
        <v>253</v>
      </c>
      <c r="L45" s="217" t="s">
        <v>2</v>
      </c>
      <c r="M45" s="217"/>
      <c r="N45" s="218" t="s">
        <v>254</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43" zoomScale="55" zoomScaleNormal="55" zoomScaleSheetLayoutView="43" workbookViewId="0">
      <selection activeCell="F94" sqref="F94:BSS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67h 25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73"/>
    </row>
    <row r="11" spans="1:18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73"/>
    </row>
    <row r="12" spans="1:18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73"/>
    </row>
    <row r="13" spans="1:18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73"/>
    </row>
    <row r="14" spans="1:18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73"/>
    </row>
    <row r="15" spans="1:18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27"/>
      <c r="D16" s="120" t="str">
        <f t="shared" ref="D16:D79" si="0">setValueToTime(E16)</f>
        <v>3h</v>
      </c>
      <c r="E16" s="30">
        <v>36</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206"/>
      <c r="DZ16" s="206"/>
      <c r="EA16" s="213"/>
      <c r="EB16" s="206"/>
      <c r="EC16" s="206"/>
      <c r="ED16" s="206"/>
      <c r="EE16" s="206"/>
      <c r="EF16" s="206"/>
      <c r="EG16" s="21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206"/>
      <c r="AGV16" s="206"/>
      <c r="AGW16" s="214"/>
      <c r="AGX16" s="206"/>
      <c r="AGY16" s="206"/>
      <c r="AGZ16" s="206"/>
      <c r="AHA16" s="206"/>
      <c r="AHB16" s="206"/>
      <c r="AHC16" s="211"/>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206"/>
      <c r="AIO16" s="206"/>
      <c r="AIP16" s="206"/>
      <c r="AIQ16" s="206"/>
      <c r="AIR16" s="206"/>
      <c r="AIS16" s="214"/>
      <c r="AIT16" s="206"/>
      <c r="AIU16" s="206"/>
      <c r="AIV16" s="206"/>
      <c r="AIW16" s="206"/>
      <c r="AIX16" s="206"/>
      <c r="AIY16" s="211"/>
      <c r="AIZ16" s="206"/>
      <c r="AJA16" s="206"/>
      <c r="AJB16" s="206"/>
      <c r="AJC16" s="206"/>
      <c r="AJD16" s="206"/>
      <c r="AJE16" s="21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6" t="s">
        <v>169</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27"/>
      <c r="D18" s="121" t="str">
        <f t="shared" si="0"/>
        <v xml:space="preserve"> 45 min</v>
      </c>
      <c r="E18" s="30">
        <v>9</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207"/>
      <c r="ABQ18" s="207"/>
      <c r="ABR18" s="207"/>
      <c r="ABS18" s="207"/>
      <c r="ABT18" s="207"/>
      <c r="ABU18" s="209"/>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207"/>
      <c r="ADJ18" s="207"/>
      <c r="ADK18" s="208"/>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6" t="s">
        <v>168</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27"/>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206"/>
      <c r="NF20" s="206"/>
      <c r="NG20" s="213"/>
      <c r="NH20" s="206"/>
      <c r="NI20" s="206"/>
      <c r="NJ20" s="206"/>
      <c r="NK20" s="206"/>
      <c r="NL20" s="206"/>
      <c r="NM20" s="214"/>
      <c r="NN20" s="206"/>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6" t="s">
        <v>166</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3"/>
      <c r="D22" s="120" t="str">
        <f t="shared" si="0"/>
        <v>2h 20 min</v>
      </c>
      <c r="E22" s="30">
        <v>28</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207"/>
      <c r="WL22" s="207"/>
      <c r="WM22" s="208"/>
      <c r="WN22" s="207"/>
      <c r="WO22" s="207"/>
      <c r="WP22" s="207"/>
      <c r="WQ22" s="207"/>
      <c r="WR22" s="207"/>
      <c r="WS22" s="209"/>
      <c r="WT22" s="207"/>
      <c r="WU22" s="207"/>
      <c r="WV22" s="207"/>
      <c r="WW22" s="207"/>
      <c r="WX22" s="207"/>
      <c r="WY22" s="210"/>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207"/>
      <c r="YT22" s="207"/>
      <c r="YU22" s="208"/>
      <c r="YV22" s="207"/>
      <c r="YW22" s="207"/>
      <c r="YX22" s="207"/>
      <c r="YY22" s="207"/>
      <c r="YZ22" s="207"/>
      <c r="ZA22" s="209"/>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212"/>
      <c r="AFO22" s="207"/>
      <c r="AFP22" s="207"/>
      <c r="AFQ22" s="207"/>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6" t="s">
        <v>167</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27"/>
      <c r="D26" s="121" t="str">
        <f t="shared" si="0"/>
        <v xml:space="preserve"> 30 min</v>
      </c>
      <c r="E26" s="30">
        <v>6</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212"/>
      <c r="KU26" s="207"/>
      <c r="KV26" s="207"/>
      <c r="KW26" s="207"/>
      <c r="KX26" s="207"/>
      <c r="KY26" s="208"/>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27"/>
      <c r="D28" s="121" t="str">
        <f t="shared" si="0"/>
        <v>1h</v>
      </c>
      <c r="E28" s="22">
        <v>12</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206"/>
      <c r="ZC28" s="206"/>
      <c r="ZD28" s="206"/>
      <c r="ZE28" s="206"/>
      <c r="ZF28" s="206"/>
      <c r="ZG28" s="211"/>
      <c r="ZH28" s="206"/>
      <c r="ZI28" s="206"/>
      <c r="ZJ28" s="206"/>
      <c r="ZK28" s="206"/>
      <c r="ZL28" s="206"/>
      <c r="ZM28" s="21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6" t="s">
        <v>158</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27"/>
      <c r="D30" s="121" t="str">
        <f t="shared" si="0"/>
        <v>6h</v>
      </c>
      <c r="E30" s="30">
        <v>72</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207"/>
      <c r="JK30" s="207"/>
      <c r="JL30" s="207"/>
      <c r="JM30" s="207"/>
      <c r="JN30" s="207"/>
      <c r="JO30" s="210"/>
      <c r="JP30" s="207"/>
      <c r="JQ30" s="207"/>
      <c r="JR30" s="207"/>
      <c r="JS30" s="207"/>
      <c r="JT30" s="207"/>
      <c r="JU30" s="209"/>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207"/>
      <c r="LJ30" s="207"/>
      <c r="LK30" s="210"/>
      <c r="LL30" s="207"/>
      <c r="LM30" s="207"/>
      <c r="LN30" s="207"/>
      <c r="LO30" s="207"/>
      <c r="LP30" s="207"/>
      <c r="LQ30" s="209"/>
      <c r="LR30" s="207"/>
      <c r="LS30" s="207"/>
      <c r="LT30" s="207"/>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207"/>
      <c r="NP30" s="207"/>
      <c r="NQ30" s="207"/>
      <c r="NR30" s="207"/>
      <c r="NS30" s="210"/>
      <c r="NT30" s="207"/>
      <c r="NU30" s="207"/>
      <c r="NV30" s="207"/>
      <c r="NW30" s="207"/>
      <c r="NX30" s="207"/>
      <c r="NY30" s="209"/>
      <c r="NZ30" s="207"/>
      <c r="OA30" s="207"/>
      <c r="OB30" s="207"/>
      <c r="OC30" s="207"/>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207"/>
      <c r="QU30" s="207"/>
      <c r="QV30" s="207"/>
      <c r="QW30" s="207"/>
      <c r="QX30" s="207"/>
      <c r="QY30" s="210"/>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207"/>
      <c r="SW30" s="207"/>
      <c r="SX30" s="207"/>
      <c r="SY30" s="207"/>
      <c r="SZ30" s="207"/>
      <c r="TA30" s="209"/>
      <c r="TB30" s="207"/>
      <c r="TC30" s="207"/>
      <c r="TD30" s="207"/>
      <c r="TE30" s="207"/>
      <c r="TF30" s="207"/>
      <c r="TG30" s="210"/>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209"/>
      <c r="UX30" s="207"/>
      <c r="UY30" s="207"/>
      <c r="UZ30" s="207"/>
      <c r="VA30" s="207"/>
      <c r="VB30" s="207"/>
      <c r="VC30" s="210"/>
      <c r="VD30" s="207"/>
      <c r="VE30" s="207"/>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207"/>
      <c r="XA30" s="207"/>
      <c r="XB30" s="207"/>
      <c r="XC30" s="207"/>
      <c r="XD30" s="207"/>
      <c r="XE30" s="209"/>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6" t="s">
        <v>159</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3"/>
      <c r="D32" s="121" t="str">
        <f t="shared" si="0"/>
        <v>1h 15 min</v>
      </c>
      <c r="E32" s="22">
        <v>15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206"/>
      <c r="ADM32" s="206"/>
      <c r="ADN32" s="206"/>
      <c r="ADO32" s="206"/>
      <c r="ADP32" s="206"/>
      <c r="ADQ32" s="214"/>
      <c r="ADR32" s="206"/>
      <c r="ADS32" s="206"/>
      <c r="ADT32" s="206"/>
      <c r="ADU32" s="206"/>
      <c r="ADV32" s="206"/>
      <c r="ADW32" s="211"/>
      <c r="ADX32" s="206"/>
      <c r="ADY32" s="206"/>
      <c r="ADZ32" s="206"/>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Frontend</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Git</v>
      </c>
      <c r="C34" s="233"/>
      <c r="D34" s="121" t="str">
        <f t="shared" si="0"/>
        <v>1h 20 min</v>
      </c>
      <c r="E34" s="30">
        <v>16</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207"/>
      <c r="QR34" s="207"/>
      <c r="QS34" s="209"/>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212"/>
      <c r="AVS34" s="207"/>
      <c r="AVT34" s="207"/>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Réalisation - intégration mobile–backend</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corrections</v>
      </c>
      <c r="C36" s="233"/>
      <c r="D36" s="120" t="str">
        <f t="shared" si="0"/>
        <v>7h 10 min</v>
      </c>
      <c r="E36" s="22">
        <v>86</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205"/>
      <c r="BO36" s="206"/>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205"/>
      <c r="IM36" s="206"/>
      <c r="IN36" s="206"/>
      <c r="IO36" s="206"/>
      <c r="IP36" s="206"/>
      <c r="IQ36" s="213"/>
      <c r="IR36" s="206"/>
      <c r="IS36" s="206"/>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206"/>
      <c r="LG36" s="206"/>
      <c r="LH36" s="206"/>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205"/>
      <c r="NC36" s="206"/>
      <c r="ND36" s="206"/>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205"/>
      <c r="PK36" s="206"/>
      <c r="PL36" s="206"/>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205"/>
      <c r="RS36" s="206"/>
      <c r="RT36" s="206"/>
      <c r="RU36" s="206"/>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205"/>
      <c r="UA36" s="206"/>
      <c r="UB36" s="206"/>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205"/>
      <c r="WI36" s="206"/>
      <c r="WJ36" s="206"/>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205"/>
      <c r="YQ36" s="206"/>
      <c r="YR36" s="206"/>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205"/>
      <c r="ADG36" s="206"/>
      <c r="ADH36" s="206"/>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211"/>
      <c r="AGR36" s="206"/>
      <c r="AGS36" s="206"/>
      <c r="AGT36" s="206"/>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206"/>
      <c r="AII36" s="206"/>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205"/>
      <c r="AKE36" s="206"/>
      <c r="AKF36" s="206"/>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205"/>
      <c r="AMM36" s="206"/>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206"/>
      <c r="APM36" s="206"/>
      <c r="APN36" s="206"/>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206"/>
      <c r="ASK36" s="21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205"/>
      <c r="ATK36" s="206"/>
      <c r="ATL36" s="206"/>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206"/>
      <c r="AVV36" s="206"/>
      <c r="AVW36" s="21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205"/>
      <c r="AYA36" s="206"/>
      <c r="AYB36" s="206"/>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206"/>
      <c r="BBA36" s="206"/>
      <c r="BBB36" s="206"/>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Test - Unitaire</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27"/>
      <c r="D38" s="121" t="str">
        <f t="shared" si="0"/>
        <v>7h 5 min</v>
      </c>
      <c r="E38" s="30">
        <v>85</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207"/>
      <c r="GG38" s="207"/>
      <c r="GH38" s="207"/>
      <c r="GI38" s="208"/>
      <c r="GJ38" s="207"/>
      <c r="GK38" s="207"/>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207"/>
      <c r="IU38" s="207"/>
      <c r="IV38" s="207"/>
      <c r="IW38" s="209"/>
      <c r="IX38" s="207"/>
      <c r="IY38" s="207"/>
      <c r="IZ38" s="207"/>
      <c r="JA38" s="207"/>
      <c r="JB38" s="207"/>
      <c r="JC38" s="210"/>
      <c r="JD38" s="207"/>
      <c r="JE38" s="207"/>
      <c r="JF38" s="207"/>
      <c r="JG38" s="207"/>
      <c r="JH38" s="207"/>
      <c r="JI38" s="209"/>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207"/>
      <c r="ATN38" s="207"/>
      <c r="ATO38" s="208"/>
      <c r="ATP38" s="207"/>
      <c r="ATQ38" s="207"/>
      <c r="ATR38" s="207"/>
      <c r="ATS38" s="207"/>
      <c r="ATT38" s="207"/>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207"/>
      <c r="AVY38" s="207"/>
      <c r="AVZ38" s="207"/>
      <c r="AWA38" s="207"/>
      <c r="AWB38" s="207"/>
      <c r="AWC38" s="209"/>
      <c r="AWD38" s="207"/>
      <c r="AWE38" s="207"/>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207"/>
      <c r="AYD38" s="207"/>
      <c r="AYE38" s="208"/>
      <c r="AYF38" s="207"/>
      <c r="AYG38" s="207"/>
      <c r="AYH38" s="207"/>
      <c r="AYI38" s="207"/>
      <c r="AYJ38" s="207"/>
      <c r="AYK38" s="209"/>
      <c r="AYL38" s="207"/>
      <c r="AYM38" s="207"/>
      <c r="AYN38" s="207"/>
      <c r="AYO38" s="207"/>
      <c r="AYP38" s="207"/>
      <c r="AYQ38" s="210"/>
      <c r="AYR38" s="207"/>
      <c r="AYS38" s="207"/>
      <c r="AYT38" s="207"/>
      <c r="AYU38" s="207"/>
      <c r="AYV38" s="207"/>
      <c r="AYW38" s="209"/>
      <c r="AYX38" s="207"/>
      <c r="AYY38" s="207"/>
      <c r="AYZ38" s="207"/>
      <c r="AZA38" s="207"/>
      <c r="AZB38" s="207"/>
      <c r="AZC38" s="210"/>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212"/>
      <c r="BAI38" s="207"/>
      <c r="BAJ38" s="207"/>
      <c r="BAK38" s="207"/>
      <c r="BAL38" s="207"/>
      <c r="BAM38" s="208"/>
      <c r="BAN38" s="207"/>
      <c r="BAO38" s="207"/>
      <c r="BAP38" s="207"/>
      <c r="BAQ38" s="207"/>
      <c r="BAR38" s="207"/>
      <c r="BAS38" s="209"/>
      <c r="BAT38" s="207"/>
      <c r="BAU38" s="207"/>
      <c r="BAV38" s="207"/>
      <c r="BAW38" s="207"/>
      <c r="BAX38" s="207"/>
      <c r="BAY38" s="210"/>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27"/>
      <c r="D40" s="120" t="str">
        <f t="shared" si="0"/>
        <v>1h 50 min</v>
      </c>
      <c r="E40" s="22">
        <v>22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206"/>
      <c r="AK40" s="206"/>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206"/>
      <c r="LA40" s="206"/>
      <c r="LB40" s="206"/>
      <c r="LC40" s="206"/>
      <c r="LD40" s="206"/>
      <c r="LE40" s="21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206"/>
      <c r="VG40" s="206"/>
      <c r="VH40" s="206"/>
      <c r="VI40" s="21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206"/>
      <c r="XG40" s="206"/>
      <c r="XH40" s="206"/>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206"/>
      <c r="AEK40" s="206"/>
      <c r="AEL40" s="206"/>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214"/>
      <c r="AWP40" s="206"/>
      <c r="AWQ40" s="206"/>
      <c r="AWR40" s="206"/>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6" t="s">
        <v>160</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27"/>
      <c r="D42" s="121" t="str">
        <f t="shared" si="0"/>
        <v>6h 45 min</v>
      </c>
      <c r="E42" s="30">
        <v>81</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207"/>
      <c r="AGC42" s="207"/>
      <c r="AGD42" s="207"/>
      <c r="AGE42" s="210"/>
      <c r="AGF42" s="207"/>
      <c r="AGG42" s="207"/>
      <c r="AGH42" s="207"/>
      <c r="AGI42" s="207"/>
      <c r="AGJ42" s="207"/>
      <c r="AGK42" s="209"/>
      <c r="AGL42" s="207"/>
      <c r="AGM42" s="207"/>
      <c r="AGN42" s="207"/>
      <c r="AGO42" s="207"/>
      <c r="AGP42" s="207"/>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207"/>
      <c r="AKN42" s="207"/>
      <c r="AKO42" s="209"/>
      <c r="AKP42" s="207"/>
      <c r="AKQ42" s="207"/>
      <c r="AKR42" s="207"/>
      <c r="AKS42" s="207"/>
      <c r="AKT42" s="207"/>
      <c r="AKU42" s="210"/>
      <c r="AKV42" s="207"/>
      <c r="AKW42" s="207"/>
      <c r="AKX42" s="207"/>
      <c r="AKY42" s="207"/>
      <c r="AKZ42" s="207"/>
      <c r="ALA42" s="209"/>
      <c r="ALB42" s="207"/>
      <c r="ALC42" s="207"/>
      <c r="ALD42" s="207"/>
      <c r="ALE42" s="207"/>
      <c r="ALF42" s="207"/>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207"/>
      <c r="AMY42" s="207"/>
      <c r="AMZ42" s="207"/>
      <c r="ANA42" s="207"/>
      <c r="ANB42" s="207"/>
      <c r="ANC42" s="210"/>
      <c r="AND42" s="207"/>
      <c r="ANE42" s="207"/>
      <c r="ANF42" s="207"/>
      <c r="ANG42" s="207"/>
      <c r="ANH42" s="207"/>
      <c r="ANI42" s="209"/>
      <c r="ANJ42" s="207"/>
      <c r="ANK42" s="207"/>
      <c r="ANL42" s="207"/>
      <c r="ANM42" s="207"/>
      <c r="ANN42" s="207"/>
      <c r="ANO42" s="210"/>
      <c r="ANP42" s="207"/>
      <c r="ANQ42" s="207"/>
      <c r="ANR42" s="207"/>
      <c r="ANS42" s="207"/>
      <c r="ANT42" s="207"/>
      <c r="ANU42" s="209"/>
      <c r="ANV42" s="207"/>
      <c r="ANW42" s="207"/>
      <c r="ANX42" s="207"/>
      <c r="ANY42" s="207"/>
      <c r="ANZ42" s="207"/>
      <c r="AOA42" s="210"/>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207"/>
      <c r="APD42" s="207"/>
      <c r="APE42" s="209"/>
      <c r="APF42" s="207"/>
      <c r="APG42" s="207"/>
      <c r="APH42" s="207"/>
      <c r="API42" s="207"/>
      <c r="APJ42" s="207"/>
      <c r="APK42" s="210"/>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212"/>
      <c r="ARC42" s="207"/>
      <c r="ARD42" s="207"/>
      <c r="ARE42" s="207"/>
      <c r="ARF42" s="207"/>
      <c r="ARG42" s="208"/>
      <c r="ARH42" s="207"/>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6" t="s">
        <v>161</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3"/>
      <c r="D44" s="121" t="str">
        <f t="shared" si="0"/>
        <v>3h 20 min</v>
      </c>
      <c r="E44" s="30">
        <v>40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209"/>
      <c r="QH44" s="207"/>
      <c r="QI44" s="207"/>
      <c r="QJ44" s="207"/>
      <c r="QK44" s="207"/>
      <c r="QL44" s="207"/>
      <c r="QM44" s="210"/>
      <c r="QN44" s="207"/>
      <c r="QO44" s="207"/>
      <c r="QP44" s="207"/>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207"/>
      <c r="SK44" s="207"/>
      <c r="SL44" s="207"/>
      <c r="SM44" s="207"/>
      <c r="SN44" s="207"/>
      <c r="SO44" s="209"/>
      <c r="SP44" s="207"/>
      <c r="SQ44" s="207"/>
      <c r="SR44" s="207"/>
      <c r="SS44" s="207"/>
      <c r="ST44" s="207"/>
      <c r="SU44" s="210"/>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210"/>
      <c r="AUN44" s="207"/>
      <c r="AUO44" s="207"/>
      <c r="AUP44" s="207"/>
      <c r="AUQ44" s="207"/>
      <c r="AUR44" s="207"/>
      <c r="AUS44" s="209"/>
      <c r="AUT44" s="207"/>
      <c r="AUU44" s="207"/>
      <c r="AUV44" s="207"/>
      <c r="AUW44" s="207"/>
      <c r="AUX44" s="207"/>
      <c r="AUY44" s="210"/>
      <c r="AUZ44" s="207"/>
      <c r="AVA44" s="207"/>
      <c r="AVB44" s="207"/>
      <c r="AVC44" s="207"/>
      <c r="AVD44" s="207"/>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27"/>
      <c r="D46" s="120" t="str">
        <f t="shared" si="0"/>
        <v>1h 20 min</v>
      </c>
      <c r="E46" s="30">
        <v>16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208"/>
      <c r="AIB46" s="207"/>
      <c r="AIC46" s="207"/>
      <c r="AID46" s="207"/>
      <c r="AIE46" s="207"/>
      <c r="AIF46" s="207"/>
      <c r="AIG46" s="209"/>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212"/>
      <c r="AOU46" s="207"/>
      <c r="AOV46" s="207"/>
      <c r="AOW46" s="207"/>
      <c r="AOX46" s="207"/>
      <c r="AOY46" s="208"/>
      <c r="AOZ46" s="207"/>
      <c r="APA46" s="207"/>
      <c r="APB46" s="207"/>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6" t="s">
        <v>162</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27"/>
      <c r="D48" s="121" t="str">
        <f t="shared" si="0"/>
        <v>4h 10 min</v>
      </c>
      <c r="E48" s="22">
        <v>50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206"/>
      <c r="ZO48" s="206"/>
      <c r="ZP48" s="206"/>
      <c r="ZQ48" s="206"/>
      <c r="ZR48" s="206"/>
      <c r="ZS48" s="211"/>
      <c r="ZT48" s="206"/>
      <c r="ZU48" s="206"/>
      <c r="ZV48" s="206"/>
      <c r="ZW48" s="206"/>
      <c r="ZX48" s="206"/>
      <c r="ZY48" s="21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205"/>
      <c r="AAY48" s="206"/>
      <c r="AAZ48" s="206"/>
      <c r="ABA48" s="206"/>
      <c r="ABB48" s="206"/>
      <c r="ABC48" s="21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206"/>
      <c r="AFS48" s="213"/>
      <c r="AFT48" s="206"/>
      <c r="AFU48" s="206"/>
      <c r="AFV48" s="206"/>
      <c r="AFW48" s="206"/>
      <c r="AFX48" s="206"/>
      <c r="AFY48" s="214"/>
      <c r="AFZ48" s="206"/>
      <c r="AGA48" s="206"/>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205"/>
      <c r="AHW48" s="206"/>
      <c r="AHX48" s="206"/>
      <c r="AHY48" s="206"/>
      <c r="AHZ48" s="206"/>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211"/>
      <c r="ALH48" s="206"/>
      <c r="ALI48" s="206"/>
      <c r="ALJ48" s="206"/>
      <c r="ALK48" s="206"/>
      <c r="ALL48" s="206"/>
      <c r="ALM48" s="214"/>
      <c r="ALN48" s="206"/>
      <c r="ALO48" s="206"/>
      <c r="ALP48" s="206"/>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206"/>
      <c r="ARJ48" s="206"/>
      <c r="ARK48" s="206"/>
      <c r="ARL48" s="206"/>
      <c r="ARM48" s="214"/>
      <c r="ARN48" s="206"/>
      <c r="ARO48" s="206"/>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6" t="s">
        <v>163</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3"/>
      <c r="D50" s="121" t="str">
        <f t="shared" si="0"/>
        <v>2h 55 min</v>
      </c>
      <c r="E50" s="30">
        <v>35</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207"/>
      <c r="ABE50" s="207"/>
      <c r="ABF50" s="207"/>
      <c r="ABG50" s="207"/>
      <c r="ABH50" s="207"/>
      <c r="ABI50" s="209"/>
      <c r="ABJ50" s="207"/>
      <c r="ABK50" s="207"/>
      <c r="ABL50" s="207"/>
      <c r="ABM50" s="207"/>
      <c r="ABN50" s="207"/>
      <c r="ABO50" s="210"/>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207"/>
      <c r="AEB50" s="207"/>
      <c r="AEC50" s="209"/>
      <c r="AED50" s="207"/>
      <c r="AEE50" s="207"/>
      <c r="AEF50" s="207"/>
      <c r="AEG50" s="207"/>
      <c r="AEH50" s="207"/>
      <c r="AEI50" s="210"/>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207"/>
      <c r="AIK50" s="207"/>
      <c r="AIL50" s="207"/>
      <c r="AIM50" s="210"/>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207"/>
      <c r="AMO50" s="207"/>
      <c r="AMP50" s="207"/>
      <c r="AMQ50" s="208"/>
      <c r="AMR50" s="207"/>
      <c r="AMS50" s="207"/>
      <c r="AMT50" s="207"/>
      <c r="AMU50" s="207"/>
      <c r="AMV50" s="207"/>
      <c r="AMW50" s="209"/>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6" t="s">
        <v>201</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3"/>
      <c r="D52" s="120" t="str">
        <f t="shared" si="0"/>
        <v>6h 55 min</v>
      </c>
      <c r="E52" s="22">
        <v>83</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206"/>
      <c r="OE52" s="210"/>
      <c r="OF52" s="206"/>
      <c r="OG52" s="206"/>
      <c r="OH52" s="206"/>
      <c r="OI52" s="206"/>
      <c r="OJ52" s="206"/>
      <c r="OK52" s="214"/>
      <c r="OL52" s="206"/>
      <c r="OM52" s="206"/>
      <c r="ON52" s="206"/>
      <c r="OO52" s="206"/>
      <c r="OP52" s="207"/>
      <c r="OQ52" s="210"/>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206"/>
      <c r="PN52" s="206"/>
      <c r="PO52" s="213"/>
      <c r="PP52" s="206"/>
      <c r="PQ52" s="206"/>
      <c r="PR52" s="206"/>
      <c r="PS52" s="206"/>
      <c r="PT52" s="206"/>
      <c r="PU52" s="214"/>
      <c r="PV52" s="206"/>
      <c r="PW52" s="206"/>
      <c r="PX52" s="206"/>
      <c r="PY52" s="206"/>
      <c r="PZ52" s="206"/>
      <c r="QA52" s="210"/>
      <c r="QB52" s="206"/>
      <c r="QC52" s="206"/>
      <c r="QD52" s="206"/>
      <c r="QE52" s="206"/>
      <c r="QF52" s="206"/>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206"/>
      <c r="RW52" s="213"/>
      <c r="RX52" s="206"/>
      <c r="RY52" s="206"/>
      <c r="RZ52" s="206"/>
      <c r="SA52" s="206"/>
      <c r="SB52" s="206"/>
      <c r="SC52" s="214"/>
      <c r="SD52" s="206"/>
      <c r="SE52" s="206"/>
      <c r="SF52" s="206"/>
      <c r="SG52" s="206"/>
      <c r="SH52" s="206"/>
      <c r="SI52" s="210"/>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206"/>
      <c r="UD52" s="206"/>
      <c r="UE52" s="213"/>
      <c r="UF52" s="206"/>
      <c r="UG52" s="206"/>
      <c r="UH52" s="206"/>
      <c r="UI52" s="206"/>
      <c r="UJ52" s="206"/>
      <c r="UK52" s="214"/>
      <c r="UL52" s="206"/>
      <c r="UM52" s="206"/>
      <c r="UN52" s="206"/>
      <c r="UO52" s="206"/>
      <c r="UP52" s="206"/>
      <c r="UQ52" s="210"/>
      <c r="UR52" s="206"/>
      <c r="US52" s="206"/>
      <c r="UT52" s="206"/>
      <c r="UU52" s="206"/>
      <c r="UV52" s="206"/>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206"/>
      <c r="XJ52" s="206"/>
      <c r="XK52" s="210"/>
      <c r="XL52" s="206"/>
      <c r="XM52" s="206"/>
      <c r="XN52" s="206"/>
      <c r="XO52" s="206"/>
      <c r="XP52" s="206"/>
      <c r="XQ52" s="214"/>
      <c r="XR52" s="206"/>
      <c r="XS52" s="206"/>
      <c r="XT52" s="206"/>
      <c r="XU52" s="206"/>
      <c r="XV52" s="207"/>
      <c r="XW52" s="210"/>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6" t="s">
        <v>109</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3"/>
      <c r="D54" s="121" t="str">
        <f t="shared" si="0"/>
        <v>1h 30 min</v>
      </c>
      <c r="E54" s="30">
        <v>18</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207"/>
      <c r="JW54" s="207"/>
      <c r="JX54" s="207"/>
      <c r="JY54" s="207"/>
      <c r="JZ54" s="207"/>
      <c r="KA54" s="210"/>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207"/>
      <c r="AKH54" s="207"/>
      <c r="AKI54" s="208"/>
      <c r="AKJ54" s="207"/>
      <c r="AKK54" s="207"/>
      <c r="AKL54" s="207"/>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207"/>
      <c r="BBD54" s="207"/>
      <c r="BBE54" s="209"/>
      <c r="BBF54" s="207"/>
      <c r="BBG54" s="207"/>
      <c r="BBH54" s="207"/>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6" t="s">
        <v>164</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27"/>
      <c r="D56" s="120" t="str">
        <f t="shared" si="0"/>
        <v>6h 40 min</v>
      </c>
      <c r="E56" s="22">
        <v>80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206"/>
      <c r="APP56" s="206"/>
      <c r="APQ56" s="214"/>
      <c r="APR56" s="206"/>
      <c r="APS56" s="206"/>
      <c r="APT56" s="206"/>
      <c r="APU56" s="206"/>
      <c r="APV56" s="206"/>
      <c r="APW56" s="211"/>
      <c r="APX56" s="206"/>
      <c r="APY56" s="206"/>
      <c r="APZ56" s="206"/>
      <c r="AQA56" s="206"/>
      <c r="AQB56" s="206"/>
      <c r="AQC56" s="214"/>
      <c r="AQD56" s="206"/>
      <c r="AQE56" s="206"/>
      <c r="AQF56" s="206"/>
      <c r="AQG56" s="206"/>
      <c r="AQH56" s="206"/>
      <c r="AQI56" s="211"/>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206"/>
      <c r="ARQ56" s="206"/>
      <c r="ARR56" s="206"/>
      <c r="ARS56" s="211"/>
      <c r="ART56" s="206"/>
      <c r="ARU56" s="206"/>
      <c r="ARV56" s="206"/>
      <c r="ARW56" s="206"/>
      <c r="ARX56" s="206"/>
      <c r="ARY56" s="214"/>
      <c r="ARZ56" s="206"/>
      <c r="ASA56" s="206"/>
      <c r="ASB56" s="206"/>
      <c r="ASC56" s="206"/>
      <c r="ASD56" s="206"/>
      <c r="ASE56" s="211"/>
      <c r="ASF56" s="206"/>
      <c r="ASG56" s="206"/>
      <c r="ASH56" s="206"/>
      <c r="ASI56" s="206"/>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214"/>
      <c r="ATV56" s="206"/>
      <c r="ATW56" s="206"/>
      <c r="ATX56" s="206"/>
      <c r="ATY56" s="206"/>
      <c r="ATZ56" s="206"/>
      <c r="AUA56" s="211"/>
      <c r="AUB56" s="206"/>
      <c r="AUC56" s="206"/>
      <c r="AUD56" s="206"/>
      <c r="AUE56" s="206"/>
      <c r="AUF56" s="206"/>
      <c r="AUG56" s="214"/>
      <c r="AUH56" s="206"/>
      <c r="AUI56" s="206"/>
      <c r="AUJ56" s="206"/>
      <c r="AUK56" s="206"/>
      <c r="AUL56" s="206"/>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206"/>
      <c r="AWG56" s="206"/>
      <c r="AWH56" s="206"/>
      <c r="AWI56" s="211"/>
      <c r="AWJ56" s="206"/>
      <c r="AWK56" s="206"/>
      <c r="AWL56" s="206"/>
      <c r="AWM56" s="206"/>
      <c r="AWN56" s="206"/>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206"/>
      <c r="AZE56" s="206"/>
      <c r="AZF56" s="206"/>
      <c r="AZG56" s="206"/>
      <c r="AZH56" s="206"/>
      <c r="AZI56" s="214"/>
      <c r="AZJ56" s="206"/>
      <c r="AZK56" s="206"/>
      <c r="AZL56" s="206"/>
      <c r="AZM56" s="206"/>
      <c r="AZN56" s="206"/>
      <c r="AZO56" s="211"/>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6" t="s">
        <v>165</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27"/>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6" t="s">
        <v>33</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3"/>
      <c r="D60" s="121" t="str">
        <f t="shared" si="0"/>
        <v xml:space="preserve"> 45 min</v>
      </c>
      <c r="E60" s="30">
        <v>9</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206"/>
      <c r="BBJ60" s="206"/>
      <c r="BBK60" s="211"/>
      <c r="BBL60" s="206"/>
      <c r="BBM60" s="206"/>
      <c r="BBN60" s="206"/>
      <c r="BBO60" s="206"/>
      <c r="BBP60" s="206"/>
      <c r="BBQ60" s="21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6"/>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3"/>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6"/>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6"/>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3"/>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6"/>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6"/>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6"/>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3"/>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6"/>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2"/>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6"/>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6"/>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3"/>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6"/>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6"/>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3"/>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6"/>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6"/>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6"/>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3"/>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20" t="s">
        <v>35</v>
      </c>
      <c r="D97" s="221"/>
      <c r="E97" s="93">
        <f>SUM(E16,E18,E20,E22,E24,E26,E28,E30,E32,E34,E36,E38,E40,E42,E44,E46,E48,E50,E52,E54,E56,E58,E60,E62,E64,E66,E68,E70,E72,E74,E76,E78,E80,E82,E84,E86,E88,E90,E92,E94)</f>
        <v>809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22"/>
      <c r="D98" s="223"/>
      <c r="E98" s="97" t="str">
        <f xml:space="preserve"> setValueToTime(E97)</f>
        <v>67h 25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180</v>
      </c>
      <c r="F53" s="254"/>
      <c r="G53" s="255"/>
      <c r="H53" s="152"/>
    </row>
    <row r="54" spans="2:8" s="43" customFormat="1" x14ac:dyDescent="0.3">
      <c r="B54" s="44" t="s">
        <v>109</v>
      </c>
      <c r="C54" s="45">
        <v>20</v>
      </c>
      <c r="D54" s="126" t="str">
        <f t="shared" si="2"/>
        <v>1h 40 min</v>
      </c>
      <c r="E54" s="194" t="s">
        <v>181</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165</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182</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165</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183</v>
      </c>
      <c r="F89" s="254"/>
      <c r="G89" s="255"/>
      <c r="H89" s="152"/>
    </row>
    <row r="90" spans="2:8" s="43" customFormat="1" x14ac:dyDescent="0.3">
      <c r="B90" s="44" t="s">
        <v>109</v>
      </c>
      <c r="C90" s="45">
        <v>25</v>
      </c>
      <c r="D90" s="126" t="str">
        <f t="shared" si="8"/>
        <v>2h 5 min</v>
      </c>
      <c r="E90" s="46" t="s">
        <v>184</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157</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165</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185</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161</v>
      </c>
      <c r="C140" s="45">
        <v>10</v>
      </c>
      <c r="D140" s="126" t="str">
        <f t="shared" si="16"/>
        <v xml:space="preserve"> 50 min</v>
      </c>
      <c r="E140" s="194" t="s">
        <v>105</v>
      </c>
      <c r="F140" s="153"/>
      <c r="G140" s="154"/>
      <c r="H140" s="152"/>
    </row>
    <row r="141" spans="2:8" s="43" customFormat="1" x14ac:dyDescent="0.3">
      <c r="B141" s="44" t="s">
        <v>165</v>
      </c>
      <c r="C141" s="45">
        <v>8</v>
      </c>
      <c r="D141" s="126" t="str">
        <f t="shared" si="16"/>
        <v xml:space="preserve"> 40 min</v>
      </c>
      <c r="E141" s="194" t="s">
        <v>186</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161</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165</v>
      </c>
      <c r="C151" s="45">
        <v>10</v>
      </c>
      <c r="D151" s="126" t="str">
        <f t="shared" si="18"/>
        <v xml:space="preserve"> 50 min</v>
      </c>
      <c r="E151" s="194" t="s">
        <v>186</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161</v>
      </c>
      <c r="C161" s="45">
        <v>24</v>
      </c>
      <c r="D161" s="126" t="str">
        <f t="shared" ref="D161:D167" si="20" xml:space="preserve"> IF(C161="","",setValueToTime(C161))</f>
        <v>2h</v>
      </c>
      <c r="E161" s="194" t="s">
        <v>103</v>
      </c>
      <c r="F161" s="153"/>
      <c r="G161" s="154"/>
      <c r="H161" s="152"/>
    </row>
    <row r="162" spans="2:8" s="43" customFormat="1" x14ac:dyDescent="0.3">
      <c r="B162" s="44" t="s">
        <v>165</v>
      </c>
      <c r="C162" s="45">
        <v>8</v>
      </c>
      <c r="D162" s="126" t="str">
        <f t="shared" si="20"/>
        <v xml:space="preserve"> 40 min</v>
      </c>
      <c r="E162" s="194" t="s">
        <v>186</v>
      </c>
      <c r="F162" s="153"/>
      <c r="G162" s="154"/>
      <c r="H162" s="152"/>
    </row>
    <row r="163" spans="2:8" s="43" customFormat="1" x14ac:dyDescent="0.3">
      <c r="B163" s="44" t="s">
        <v>160</v>
      </c>
      <c r="C163" s="45">
        <v>8</v>
      </c>
      <c r="D163" s="126" t="str">
        <f t="shared" si="20"/>
        <v xml:space="preserve"> 40 min</v>
      </c>
      <c r="E163" s="194" t="s">
        <v>172</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160</v>
      </c>
      <c r="C173" s="45">
        <v>26</v>
      </c>
      <c r="D173" s="126" t="str">
        <f t="shared" ref="D173:D179" si="22" xml:space="preserve"> IF(C173="","",setValueToTime(C173))</f>
        <v>2h 10 min</v>
      </c>
      <c r="E173" s="194" t="s">
        <v>101</v>
      </c>
      <c r="F173" s="153"/>
      <c r="G173" s="154"/>
      <c r="H173" s="152"/>
    </row>
    <row r="174" spans="2:8" s="43" customFormat="1" x14ac:dyDescent="0.3">
      <c r="B174" s="44" t="s">
        <v>165</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164</v>
      </c>
      <c r="C185" s="45">
        <v>24</v>
      </c>
      <c r="D185" s="126" t="str">
        <f t="shared" ref="D185:D191" si="24" xml:space="preserve"> IF(C185="","",setValueToTime(C185))</f>
        <v>2h</v>
      </c>
      <c r="E185" s="194" t="s">
        <v>100</v>
      </c>
      <c r="F185" s="153"/>
      <c r="G185" s="154"/>
      <c r="H185" s="152"/>
    </row>
    <row r="186" spans="2:8" s="43" customFormat="1" x14ac:dyDescent="0.3">
      <c r="B186" s="44" t="s">
        <v>165</v>
      </c>
      <c r="C186" s="45">
        <v>10</v>
      </c>
      <c r="D186" s="126" t="str">
        <f xml:space="preserve"> IF(C186="","",setValueToTime(C186))</f>
        <v xml:space="preserve"> 50 min</v>
      </c>
      <c r="E186" s="194" t="s">
        <v>156</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161</v>
      </c>
      <c r="C197" s="45">
        <v>24</v>
      </c>
      <c r="D197" s="126" t="str">
        <f xml:space="preserve"> IF(C197="","",setValueToTime(C197))</f>
        <v>2h</v>
      </c>
      <c r="E197" s="194" t="s">
        <v>155</v>
      </c>
      <c r="F197" s="153"/>
      <c r="G197" s="154"/>
      <c r="H197" s="152"/>
    </row>
    <row r="198" spans="2:8" s="43" customFormat="1" x14ac:dyDescent="0.3">
      <c r="B198" s="44" t="s">
        <v>201</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201</v>
      </c>
      <c r="C209" s="45">
        <v>10</v>
      </c>
      <c r="D209" s="126" t="str">
        <f t="shared" si="27"/>
        <v xml:space="preserve"> 50 min</v>
      </c>
      <c r="E209" s="194" t="s">
        <v>95</v>
      </c>
      <c r="F209" s="153"/>
      <c r="G209" s="154"/>
      <c r="H209" s="152"/>
    </row>
    <row r="210" spans="2:8" s="43" customFormat="1" ht="27" x14ac:dyDescent="0.3">
      <c r="B210" s="44" t="s">
        <v>161</v>
      </c>
      <c r="C210" s="45">
        <v>9</v>
      </c>
      <c r="D210" s="126" t="str">
        <f t="shared" ref="D210:D215" si="28" xml:space="preserve"> IF(C210="","",setValueToTime(C210))</f>
        <v xml:space="preserve"> 45 min</v>
      </c>
      <c r="E210" s="194" t="s">
        <v>96</v>
      </c>
      <c r="F210" s="153"/>
      <c r="G210" s="154"/>
      <c r="H210" s="152"/>
    </row>
    <row r="211" spans="2:8" s="43" customFormat="1" x14ac:dyDescent="0.3">
      <c r="B211" s="44" t="s">
        <v>166</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201</v>
      </c>
      <c r="C221" s="45">
        <v>8</v>
      </c>
      <c r="D221" s="126" t="str">
        <f t="shared" si="29"/>
        <v xml:space="preserve"> 40 min</v>
      </c>
      <c r="E221" s="194" t="s">
        <v>95</v>
      </c>
      <c r="F221" s="254"/>
      <c r="G221" s="255"/>
      <c r="H221" s="152"/>
    </row>
    <row r="222" spans="2:8" s="43" customFormat="1" ht="27" x14ac:dyDescent="0.3">
      <c r="B222" s="44" t="s">
        <v>161</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167</v>
      </c>
      <c r="C224" s="45">
        <v>17</v>
      </c>
      <c r="D224" s="127" t="str">
        <f t="shared" si="30"/>
        <v>1h 25 min</v>
      </c>
      <c r="E224" s="46" t="s">
        <v>154</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164</v>
      </c>
      <c r="C233" s="45">
        <v>16</v>
      </c>
      <c r="D233" s="126" t="str">
        <f t="shared" ref="D233:D239" si="32" xml:space="preserve"> IF(C233="","",setValueToTime(C233))</f>
        <v>1h 20 min</v>
      </c>
      <c r="E233" s="194" t="s">
        <v>170</v>
      </c>
      <c r="F233" s="254"/>
      <c r="G233" s="255"/>
      <c r="H233" s="152"/>
    </row>
    <row r="234" spans="2:8" s="43" customFormat="1" x14ac:dyDescent="0.3">
      <c r="B234" s="44" t="s">
        <v>201</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201</v>
      </c>
      <c r="C245" s="45">
        <v>20</v>
      </c>
      <c r="D245" s="126" t="str">
        <f t="shared" ref="D245:D251" si="34" xml:space="preserve"> IF(C245="","",setValueToTime(C245))</f>
        <v>1h 40 min</v>
      </c>
      <c r="E245" t="s">
        <v>90</v>
      </c>
      <c r="F245" s="254"/>
      <c r="G245" s="255"/>
      <c r="H245" s="152"/>
    </row>
    <row r="246" spans="2:8" s="43" customFormat="1" ht="27" x14ac:dyDescent="0.3">
      <c r="B246" s="44" t="s">
        <v>161</v>
      </c>
      <c r="C246" s="45">
        <v>15</v>
      </c>
      <c r="D246" s="126" t="str">
        <f t="shared" si="34"/>
        <v>1h 15 min</v>
      </c>
      <c r="E246" t="s">
        <v>91</v>
      </c>
      <c r="F246" s="254"/>
      <c r="G246" s="255"/>
      <c r="H246" s="152"/>
    </row>
    <row r="247" spans="2:8" s="43" customFormat="1" x14ac:dyDescent="0.3">
      <c r="B247" s="44" t="s">
        <v>162</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162</v>
      </c>
      <c r="C258" s="45">
        <v>28</v>
      </c>
      <c r="D258" s="126" t="str">
        <f t="shared" ref="D258:D263" si="36" xml:space="preserve"> IF(C258="","",setValueToTime(C258))</f>
        <v>2h 20 min</v>
      </c>
      <c r="E258" t="s">
        <v>171</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163</v>
      </c>
      <c r="C270" s="45">
        <v>12</v>
      </c>
      <c r="D270" s="126" t="str">
        <f t="shared" si="38"/>
        <v>1h</v>
      </c>
      <c r="E270" s="194" t="s">
        <v>172</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163</v>
      </c>
      <c r="C281" s="45">
        <v>14</v>
      </c>
      <c r="D281" s="126" t="str">
        <f t="shared" si="39"/>
        <v>1h 10 min</v>
      </c>
      <c r="E281" s="194" t="s">
        <v>173</v>
      </c>
      <c r="F281" s="254"/>
      <c r="G281" s="255"/>
      <c r="H281" s="152"/>
    </row>
    <row r="282" spans="2:8" s="43" customFormat="1" x14ac:dyDescent="0.3">
      <c r="B282" s="44" t="s">
        <v>86</v>
      </c>
      <c r="C282" s="45">
        <v>14</v>
      </c>
      <c r="D282" s="126" t="str">
        <f t="shared" ref="D282:D287" si="40" xml:space="preserve"> IF(C282="","",setValueToTime(C282))</f>
        <v>1h 10 min</v>
      </c>
      <c r="E282" s="194" t="s">
        <v>174</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159</v>
      </c>
      <c r="C293" s="45">
        <v>15</v>
      </c>
      <c r="D293" s="126" t="str">
        <f t="shared" ref="D293:D299" si="42" xml:space="preserve"> IF(C293="","",setValueToTime(C293))</f>
        <v>1h 15 min</v>
      </c>
      <c r="E293" s="194" t="s">
        <v>84</v>
      </c>
      <c r="F293" s="254"/>
      <c r="G293" s="255"/>
      <c r="H293" s="152"/>
    </row>
    <row r="294" spans="2:8" s="43" customFormat="1" ht="27" x14ac:dyDescent="0.3">
      <c r="B294" s="44" t="s">
        <v>168</v>
      </c>
      <c r="C294" s="45">
        <v>8</v>
      </c>
      <c r="D294" s="126" t="str">
        <f t="shared" si="42"/>
        <v xml:space="preserve"> 40 min</v>
      </c>
      <c r="E294" t="s">
        <v>85</v>
      </c>
      <c r="F294" s="254"/>
      <c r="G294" s="255"/>
      <c r="H294" s="152"/>
    </row>
    <row r="295" spans="2:8" s="43" customFormat="1" x14ac:dyDescent="0.3">
      <c r="B295" s="44" t="s">
        <v>163</v>
      </c>
      <c r="C295" s="45">
        <v>17</v>
      </c>
      <c r="D295" s="126" t="str">
        <f t="shared" si="42"/>
        <v>1h 25 min</v>
      </c>
      <c r="E295" s="194" t="s">
        <v>173</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175</v>
      </c>
      <c r="F305" s="254"/>
      <c r="G305" s="255"/>
      <c r="H305" s="152"/>
    </row>
    <row r="306" spans="2:8" s="43" customFormat="1" ht="27" x14ac:dyDescent="0.3">
      <c r="B306" s="44" t="s">
        <v>158</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158</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158</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169</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166</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176</v>
      </c>
      <c r="F341" s="254"/>
      <c r="G341" s="255"/>
      <c r="H341" s="152"/>
    </row>
    <row r="342" spans="2:8" s="43" customFormat="1" ht="27" x14ac:dyDescent="0.3">
      <c r="B342" s="44" t="s">
        <v>169</v>
      </c>
      <c r="C342" s="45">
        <v>12</v>
      </c>
      <c r="D342" s="126" t="str">
        <f t="shared" si="53"/>
        <v>1h</v>
      </c>
      <c r="E342" s="46" t="s">
        <v>80</v>
      </c>
      <c r="F342" s="254"/>
      <c r="G342" s="255"/>
      <c r="H342" s="152"/>
    </row>
    <row r="343" spans="2:8" s="43" customFormat="1" ht="27" x14ac:dyDescent="0.3">
      <c r="B343" s="44" t="s">
        <v>158</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166</v>
      </c>
      <c r="C354" s="45">
        <v>12</v>
      </c>
      <c r="D354" s="126" t="str">
        <f t="shared" si="55"/>
        <v>1h</v>
      </c>
      <c r="E354" s="46" t="s">
        <v>78</v>
      </c>
      <c r="F354" s="254"/>
      <c r="G354" s="255"/>
      <c r="H354" s="152"/>
    </row>
    <row r="355" spans="2:8" s="43" customFormat="1" ht="27" x14ac:dyDescent="0.3">
      <c r="B355" s="44" t="s">
        <v>161</v>
      </c>
      <c r="C355" s="45">
        <v>11</v>
      </c>
      <c r="D355" s="126" t="str">
        <f t="shared" si="55"/>
        <v xml:space="preserve"> 55 min</v>
      </c>
      <c r="E355" s="46" t="s">
        <v>177</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159</v>
      </c>
      <c r="C367" s="45">
        <v>10</v>
      </c>
      <c r="D367" s="126" t="str">
        <f t="shared" si="57"/>
        <v xml:space="preserve"> 50 min</v>
      </c>
      <c r="E367" s="46" t="s">
        <v>178</v>
      </c>
      <c r="F367" s="254"/>
      <c r="G367" s="255"/>
      <c r="H367" s="152"/>
    </row>
    <row r="368" spans="2:8" s="43" customFormat="1" x14ac:dyDescent="0.3">
      <c r="B368" s="44" t="s">
        <v>29</v>
      </c>
      <c r="C368" s="45">
        <v>9</v>
      </c>
      <c r="D368" s="127" t="str">
        <f t="shared" ref="D368:D371" si="58" xml:space="preserve"> IF(C368="","",setValueToTime(C368))</f>
        <v xml:space="preserve"> 45 min</v>
      </c>
      <c r="E368" s="46" t="s">
        <v>179</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64" priority="31" operator="greaterThan">
      <formula>60</formula>
    </cfRule>
  </conditionalFormatting>
  <conditionalFormatting sqref="C360">
    <cfRule type="cellIs" dxfId="63" priority="30" operator="greaterThan">
      <formula>60</formula>
    </cfRule>
  </conditionalFormatting>
  <conditionalFormatting sqref="C348">
    <cfRule type="cellIs" dxfId="62" priority="29" operator="greaterThan">
      <formula>60</formula>
    </cfRule>
  </conditionalFormatting>
  <conditionalFormatting sqref="C336">
    <cfRule type="cellIs" dxfId="61" priority="28" operator="greaterThan">
      <formula>60</formula>
    </cfRule>
  </conditionalFormatting>
  <conditionalFormatting sqref="C324">
    <cfRule type="cellIs" dxfId="60" priority="27" operator="greaterThan">
      <formula>60</formula>
    </cfRule>
  </conditionalFormatting>
  <conditionalFormatting sqref="C312">
    <cfRule type="cellIs" dxfId="59" priority="26" operator="greaterThan">
      <formula>60</formula>
    </cfRule>
  </conditionalFormatting>
  <conditionalFormatting sqref="C300">
    <cfRule type="cellIs" dxfId="58" priority="25" operator="greaterThan">
      <formula>60</formula>
    </cfRule>
  </conditionalFormatting>
  <conditionalFormatting sqref="C288">
    <cfRule type="cellIs" dxfId="57" priority="24" operator="greaterThan">
      <formula>60</formula>
    </cfRule>
  </conditionalFormatting>
  <conditionalFormatting sqref="C276">
    <cfRule type="cellIs" dxfId="56" priority="23" operator="greaterThan">
      <formula>60</formula>
    </cfRule>
  </conditionalFormatting>
  <conditionalFormatting sqref="C264">
    <cfRule type="cellIs" dxfId="55" priority="22" operator="greaterThan">
      <formula>60</formula>
    </cfRule>
  </conditionalFormatting>
  <conditionalFormatting sqref="C252">
    <cfRule type="cellIs" dxfId="54" priority="21" operator="greaterThan">
      <formula>60</formula>
    </cfRule>
  </conditionalFormatting>
  <conditionalFormatting sqref="C240">
    <cfRule type="cellIs" dxfId="53" priority="20" operator="greaterThan">
      <formula>60</formula>
    </cfRule>
  </conditionalFormatting>
  <conditionalFormatting sqref="C228">
    <cfRule type="cellIs" dxfId="52" priority="19" operator="greaterThan">
      <formula>60</formula>
    </cfRule>
  </conditionalFormatting>
  <conditionalFormatting sqref="C216">
    <cfRule type="cellIs" dxfId="51" priority="18" operator="greaterThan">
      <formula>60</formula>
    </cfRule>
  </conditionalFormatting>
  <conditionalFormatting sqref="C204">
    <cfRule type="cellIs" dxfId="50" priority="17" operator="greaterThan">
      <formula>60</formula>
    </cfRule>
  </conditionalFormatting>
  <conditionalFormatting sqref="C192">
    <cfRule type="cellIs" dxfId="49" priority="16" operator="greaterThan">
      <formula>60</formula>
    </cfRule>
  </conditionalFormatting>
  <conditionalFormatting sqref="C180">
    <cfRule type="cellIs" dxfId="48" priority="15" operator="greaterThan">
      <formula>60</formula>
    </cfRule>
  </conditionalFormatting>
  <conditionalFormatting sqref="C168">
    <cfRule type="cellIs" dxfId="47" priority="14" operator="greaterThan">
      <formula>60</formula>
    </cfRule>
  </conditionalFormatting>
  <conditionalFormatting sqref="C156">
    <cfRule type="cellIs" dxfId="46" priority="13" operator="greaterThan">
      <formula>60</formula>
    </cfRule>
  </conditionalFormatting>
  <conditionalFormatting sqref="C144">
    <cfRule type="cellIs" dxfId="45" priority="12" operator="greaterThan">
      <formula>60</formula>
    </cfRule>
  </conditionalFormatting>
  <conditionalFormatting sqref="C132">
    <cfRule type="cellIs" dxfId="44" priority="11" operator="greaterThan">
      <formula>60</formula>
    </cfRule>
  </conditionalFormatting>
  <conditionalFormatting sqref="C120">
    <cfRule type="cellIs" dxfId="43" priority="10" operator="greaterThan">
      <formula>60</formula>
    </cfRule>
  </conditionalFormatting>
  <conditionalFormatting sqref="C108">
    <cfRule type="cellIs" dxfId="42" priority="9" operator="greaterThan">
      <formula>60</formula>
    </cfRule>
  </conditionalFormatting>
  <conditionalFormatting sqref="C96">
    <cfRule type="cellIs" dxfId="41" priority="8" operator="greaterThan">
      <formula>60</formula>
    </cfRule>
  </conditionalFormatting>
  <conditionalFormatting sqref="C84">
    <cfRule type="cellIs" dxfId="40" priority="7" operator="greaterThan">
      <formula>60</formula>
    </cfRule>
  </conditionalFormatting>
  <conditionalFormatting sqref="C72">
    <cfRule type="cellIs" dxfId="39" priority="6" operator="greaterThan">
      <formula>60</formula>
    </cfRule>
  </conditionalFormatting>
  <conditionalFormatting sqref="C60">
    <cfRule type="cellIs" dxfId="38" priority="5" operator="greaterThan">
      <formula>60</formula>
    </cfRule>
  </conditionalFormatting>
  <conditionalFormatting sqref="C48">
    <cfRule type="cellIs" dxfId="37" priority="4" operator="greaterThan">
      <formula>60</formula>
    </cfRule>
  </conditionalFormatting>
  <conditionalFormatting sqref="C36">
    <cfRule type="cellIs" dxfId="36" priority="3" operator="greaterThan">
      <formula>60</formula>
    </cfRule>
  </conditionalFormatting>
  <conditionalFormatting sqref="C24">
    <cfRule type="cellIs" dxfId="35" priority="2" operator="greaterThan">
      <formula>60</formula>
    </cfRule>
  </conditionalFormatting>
  <conditionalFormatting sqref="C12">
    <cfRule type="cellIs" dxfId="3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85"/>
  <sheetViews>
    <sheetView showGridLines="0" tabSelected="1" zoomScale="115" zoomScaleNormal="115"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32</v>
      </c>
      <c r="D2" s="137"/>
      <c r="E2" s="130" t="s">
        <v>37</v>
      </c>
      <c r="F2" s="131">
        <v>46092</v>
      </c>
      <c r="G2" s="132"/>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v>3</v>
      </c>
      <c r="D4" s="125" t="str">
        <f xml:space="preserve"> IF(C4="","",setValueToTime(C4))</f>
        <v xml:space="preserve"> 15 min</v>
      </c>
      <c r="E4" s="42"/>
      <c r="F4" s="262"/>
      <c r="G4" s="263"/>
      <c r="H4" s="152"/>
    </row>
    <row r="5" spans="2:8" s="43" customFormat="1" x14ac:dyDescent="0.3">
      <c r="B5" s="44" t="s">
        <v>33</v>
      </c>
      <c r="C5" s="45">
        <v>12</v>
      </c>
      <c r="D5" s="126" t="str">
        <f t="shared" ref="D5:D11" si="0" xml:space="preserve"> IF(C5="","",setValueToTime(C5))</f>
        <v>1h</v>
      </c>
      <c r="E5" s="46" t="s">
        <v>277</v>
      </c>
      <c r="F5" s="254"/>
      <c r="G5" s="255"/>
      <c r="H5" s="152"/>
    </row>
    <row r="6" spans="2:8" s="43" customFormat="1" x14ac:dyDescent="0.3">
      <c r="B6" s="44" t="s">
        <v>31</v>
      </c>
      <c r="C6" s="45">
        <v>21</v>
      </c>
      <c r="D6" s="126" t="str">
        <f t="shared" si="0"/>
        <v>1h 45 min</v>
      </c>
      <c r="E6" s="46" t="s">
        <v>276</v>
      </c>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36</v>
      </c>
      <c r="D12" s="135" t="str">
        <f xml:space="preserve"> setValueToTime(C12)</f>
        <v>3h</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31</v>
      </c>
      <c r="D14" s="137"/>
      <c r="E14" s="130" t="s">
        <v>37</v>
      </c>
      <c r="F14" s="131">
        <v>46092</v>
      </c>
      <c r="G14" s="132"/>
      <c r="H14" s="151"/>
    </row>
    <row r="15" spans="2:8" s="39" customFormat="1" ht="30" customHeight="1" thickBot="1" x14ac:dyDescent="0.3">
      <c r="B15" s="61" t="s">
        <v>38</v>
      </c>
      <c r="C15" s="134" t="s">
        <v>39</v>
      </c>
      <c r="D15" s="133"/>
      <c r="E15" s="61" t="s">
        <v>40</v>
      </c>
      <c r="F15" s="266" t="s">
        <v>41</v>
      </c>
      <c r="G15" s="267"/>
      <c r="H15" s="151"/>
    </row>
    <row r="16" spans="2:8" s="43" customFormat="1" x14ac:dyDescent="0.3">
      <c r="B16" s="40" t="s">
        <v>33</v>
      </c>
      <c r="C16" s="41">
        <v>12</v>
      </c>
      <c r="D16" s="125" t="str">
        <f xml:space="preserve"> IF(C16="","",setValueToTime(C16))</f>
        <v>1h</v>
      </c>
      <c r="E16" s="42" t="s">
        <v>275</v>
      </c>
      <c r="F16" s="262"/>
      <c r="G16" s="263"/>
      <c r="H16" s="152"/>
    </row>
    <row r="17" spans="2:8" s="43" customFormat="1" ht="27" x14ac:dyDescent="0.3">
      <c r="B17" s="44" t="s">
        <v>30</v>
      </c>
      <c r="C17" s="45">
        <v>3</v>
      </c>
      <c r="D17" s="126" t="str">
        <f t="shared" ref="D17:D23" si="1" xml:space="preserve"> IF(C17="","",setValueToTime(C17))</f>
        <v xml:space="preserve"> 15 min</v>
      </c>
      <c r="E17" s="46"/>
      <c r="F17" s="254"/>
      <c r="G17" s="255"/>
      <c r="H17" s="152"/>
    </row>
    <row r="18" spans="2:8" s="43" customFormat="1" x14ac:dyDescent="0.3">
      <c r="B18" s="44" t="s">
        <v>31</v>
      </c>
      <c r="C18" s="45">
        <v>21</v>
      </c>
      <c r="D18" s="126" t="str">
        <f t="shared" si="1"/>
        <v>1h 45 min</v>
      </c>
      <c r="E18" s="46" t="s">
        <v>274</v>
      </c>
      <c r="F18" s="254"/>
      <c r="G18" s="255"/>
      <c r="H18" s="152"/>
    </row>
    <row r="19" spans="2:8" s="43" customFormat="1" x14ac:dyDescent="0.3">
      <c r="B19" s="44"/>
      <c r="C19" s="45"/>
      <c r="D19" s="126" t="str">
        <f t="shared" si="1"/>
        <v/>
      </c>
      <c r="E19" s="46"/>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30</v>
      </c>
      <c r="D26" s="137"/>
      <c r="E26" s="130" t="s">
        <v>37</v>
      </c>
      <c r="F26" s="131">
        <v>46090</v>
      </c>
      <c r="G26" s="132"/>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x14ac:dyDescent="0.3">
      <c r="B29" s="44" t="s">
        <v>31</v>
      </c>
      <c r="C29" s="45">
        <v>24</v>
      </c>
      <c r="D29" s="126" t="str">
        <f t="shared" ref="D29:D35" si="2" xml:space="preserve"> IF(C29="","",setValueToTime(C29))</f>
        <v>2h</v>
      </c>
      <c r="E29" s="46" t="s">
        <v>273</v>
      </c>
      <c r="F29" s="254"/>
      <c r="G29" s="255"/>
      <c r="H29" s="152"/>
    </row>
    <row r="30" spans="2:8" s="43" customFormat="1" x14ac:dyDescent="0.3">
      <c r="B30" s="44" t="s">
        <v>167</v>
      </c>
      <c r="C30" s="45">
        <v>6</v>
      </c>
      <c r="D30" s="126" t="str">
        <f t="shared" si="2"/>
        <v xml:space="preserve"> 30 min</v>
      </c>
      <c r="E30" s="46" t="s">
        <v>272</v>
      </c>
      <c r="F30" s="254"/>
      <c r="G30" s="255"/>
      <c r="H30" s="152"/>
    </row>
    <row r="31" spans="2:8" s="43" customFormat="1" x14ac:dyDescent="0.3">
      <c r="B31" s="44"/>
      <c r="C31" s="45"/>
      <c r="D31" s="126" t="str">
        <f t="shared" si="2"/>
        <v/>
      </c>
      <c r="E31" s="46"/>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33</v>
      </c>
      <c r="D36" s="135" t="str">
        <f xml:space="preserve"> setValueToTime(C36)</f>
        <v>2h 45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29</v>
      </c>
      <c r="D38" s="137"/>
      <c r="E38" s="130" t="s">
        <v>37</v>
      </c>
      <c r="F38" s="131">
        <v>46090</v>
      </c>
      <c r="G38" s="132"/>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4</v>
      </c>
      <c r="D40" s="125" t="str">
        <f xml:space="preserve"> IF(C40="","",setValueToTime(C40))</f>
        <v xml:space="preserve"> 20 min</v>
      </c>
      <c r="E40" s="42"/>
      <c r="F40" s="262"/>
      <c r="G40" s="263"/>
      <c r="H40" s="152"/>
    </row>
    <row r="41" spans="2:8" s="43" customFormat="1" x14ac:dyDescent="0.3">
      <c r="B41" s="44" t="s">
        <v>31</v>
      </c>
      <c r="C41" s="45">
        <v>20</v>
      </c>
      <c r="D41" s="126" t="str">
        <f t="shared" ref="D41:D47" si="3" xml:space="preserve"> IF(C41="","",setValueToTime(C41))</f>
        <v>1h 40 min</v>
      </c>
      <c r="E41" s="46" t="s">
        <v>271</v>
      </c>
      <c r="F41" s="254"/>
      <c r="G41" s="255"/>
      <c r="H41" s="152"/>
    </row>
    <row r="42" spans="2:8" s="43" customFormat="1" x14ac:dyDescent="0.3">
      <c r="B42" s="44" t="s">
        <v>167</v>
      </c>
      <c r="C42" s="45">
        <v>12</v>
      </c>
      <c r="D42" s="126" t="str">
        <f t="shared" si="3"/>
        <v>1h</v>
      </c>
      <c r="E42" s="46" t="s">
        <v>272</v>
      </c>
      <c r="F42" s="254"/>
      <c r="G42" s="255"/>
      <c r="H42" s="152"/>
    </row>
    <row r="43" spans="2:8" s="43" customFormat="1" x14ac:dyDescent="0.3">
      <c r="B43" s="44"/>
      <c r="C43" s="45"/>
      <c r="D43" s="126" t="str">
        <f t="shared" si="3"/>
        <v/>
      </c>
      <c r="E43" s="46"/>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36</v>
      </c>
      <c r="D48" s="135" t="str">
        <f xml:space="preserve"> setValueToTime(C48)</f>
        <v>3h</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28</v>
      </c>
      <c r="D50" s="137"/>
      <c r="E50" s="130" t="s">
        <v>37</v>
      </c>
      <c r="F50" s="131" t="s">
        <v>58</v>
      </c>
      <c r="G50" s="132" t="s">
        <v>55</v>
      </c>
      <c r="H50" s="151"/>
    </row>
    <row r="51" spans="2:8" s="39" customFormat="1" ht="30" customHeight="1" thickBot="1" x14ac:dyDescent="0.3">
      <c r="B51" s="61" t="s">
        <v>38</v>
      </c>
      <c r="C51" s="134" t="s">
        <v>39</v>
      </c>
      <c r="D51" s="133"/>
      <c r="E51" s="61" t="s">
        <v>40</v>
      </c>
      <c r="F51" s="266" t="s">
        <v>41</v>
      </c>
      <c r="G51" s="267"/>
      <c r="H51" s="151"/>
    </row>
    <row r="52" spans="2:8" s="43" customFormat="1" x14ac:dyDescent="0.3">
      <c r="B52" s="40" t="s">
        <v>33</v>
      </c>
      <c r="C52" s="41">
        <v>9</v>
      </c>
      <c r="D52" s="125" t="str">
        <f xml:space="preserve"> IF(C52="","",setValueToTime(C52))</f>
        <v xml:space="preserve"> 45 min</v>
      </c>
      <c r="E52" s="42" t="s">
        <v>262</v>
      </c>
      <c r="F52" s="262"/>
      <c r="G52" s="263"/>
      <c r="H52" s="152"/>
    </row>
    <row r="53" spans="2:8" s="43" customFormat="1" ht="27" x14ac:dyDescent="0.3">
      <c r="B53" s="44" t="s">
        <v>30</v>
      </c>
      <c r="C53" s="45">
        <v>3</v>
      </c>
      <c r="D53" s="126" t="str">
        <f t="shared" ref="D53:D59" si="4" xml:space="preserve"> IF(C53="","",setValueToTime(C53))</f>
        <v xml:space="preserve"> 15 min</v>
      </c>
      <c r="E53" s="46"/>
      <c r="F53" s="254"/>
      <c r="G53" s="255"/>
      <c r="H53" s="152"/>
    </row>
    <row r="54" spans="2:8" s="43" customFormat="1" ht="40.5" x14ac:dyDescent="0.3">
      <c r="B54" s="44" t="s">
        <v>31</v>
      </c>
      <c r="C54" s="45">
        <v>24</v>
      </c>
      <c r="D54" s="126" t="str">
        <f t="shared" si="4"/>
        <v>2h</v>
      </c>
      <c r="E54" s="46" t="s">
        <v>263</v>
      </c>
      <c r="F54" s="254"/>
      <c r="G54" s="255"/>
      <c r="H54" s="152"/>
    </row>
    <row r="55" spans="2:8" s="43" customFormat="1" x14ac:dyDescent="0.3">
      <c r="B55" s="44"/>
      <c r="C55" s="45"/>
      <c r="D55" s="126" t="str">
        <f t="shared" si="4"/>
        <v/>
      </c>
      <c r="E55" s="46"/>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36</v>
      </c>
      <c r="D60" s="135" t="str">
        <f xml:space="preserve"> setValueToTime(C60)</f>
        <v>3h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27</v>
      </c>
      <c r="D62" s="137"/>
      <c r="E62" s="130" t="s">
        <v>37</v>
      </c>
      <c r="F62" s="131" t="s">
        <v>58</v>
      </c>
      <c r="G62" s="132" t="s">
        <v>56</v>
      </c>
      <c r="H62" s="151"/>
    </row>
    <row r="63" spans="2:8" s="39" customFormat="1" ht="30" customHeight="1" thickBot="1" x14ac:dyDescent="0.3">
      <c r="B63" s="61" t="s">
        <v>38</v>
      </c>
      <c r="C63" s="134" t="s">
        <v>39</v>
      </c>
      <c r="D63" s="133"/>
      <c r="E63" s="61" t="s">
        <v>40</v>
      </c>
      <c r="F63" s="266" t="s">
        <v>41</v>
      </c>
      <c r="G63" s="267"/>
      <c r="H63" s="151"/>
    </row>
    <row r="64" spans="2:8" s="43" customFormat="1" x14ac:dyDescent="0.3">
      <c r="B64" s="40" t="s">
        <v>33</v>
      </c>
      <c r="C64" s="41">
        <v>8</v>
      </c>
      <c r="D64" s="125" t="str">
        <f xml:space="preserve"> IF(C64="","",setValueToTime(C64))</f>
        <v xml:space="preserve"> 40 min</v>
      </c>
      <c r="E64" s="42" t="s">
        <v>261</v>
      </c>
      <c r="F64" s="262"/>
      <c r="G64" s="263"/>
      <c r="H64" s="152"/>
    </row>
    <row r="65" spans="2:8" s="43" customFormat="1" x14ac:dyDescent="0.3">
      <c r="B65" s="44" t="s">
        <v>165</v>
      </c>
      <c r="C65" s="45">
        <v>6</v>
      </c>
      <c r="D65" s="126" t="str">
        <f t="shared" ref="D65:D71" si="5" xml:space="preserve"> IF(C65="","",setValueToTime(C65))</f>
        <v xml:space="preserve"> 30 min</v>
      </c>
      <c r="E65" s="46" t="s">
        <v>264</v>
      </c>
      <c r="F65" s="254"/>
      <c r="G65" s="255"/>
      <c r="H65" s="152"/>
    </row>
    <row r="66" spans="2:8" s="43" customFormat="1" ht="27" x14ac:dyDescent="0.3">
      <c r="B66" s="44" t="s">
        <v>30</v>
      </c>
      <c r="C66" s="45">
        <v>3</v>
      </c>
      <c r="D66" s="126" t="str">
        <f t="shared" si="5"/>
        <v xml:space="preserve"> 15 min</v>
      </c>
      <c r="E66" s="46"/>
      <c r="F66" s="254"/>
      <c r="G66" s="255"/>
      <c r="H66" s="152"/>
    </row>
    <row r="67" spans="2:8" s="43" customFormat="1" x14ac:dyDescent="0.3">
      <c r="B67" s="44" t="s">
        <v>31</v>
      </c>
      <c r="C67" s="45">
        <v>19</v>
      </c>
      <c r="D67" s="126" t="str">
        <f t="shared" si="5"/>
        <v>1h 35 min</v>
      </c>
      <c r="E67" s="46" t="s">
        <v>260</v>
      </c>
      <c r="F67" s="254"/>
      <c r="G67" s="255"/>
      <c r="H67" s="152"/>
    </row>
    <row r="68" spans="2:8" s="43" customFormat="1" x14ac:dyDescent="0.3">
      <c r="B68" s="45" t="s">
        <v>27</v>
      </c>
      <c r="C68" s="45">
        <v>6</v>
      </c>
      <c r="D68" s="127" t="str">
        <f t="shared" si="5"/>
        <v xml:space="preserve"> 30 min</v>
      </c>
      <c r="E68" s="46" t="s">
        <v>259</v>
      </c>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26</v>
      </c>
      <c r="D74" s="137"/>
      <c r="E74" s="130" t="s">
        <v>37</v>
      </c>
      <c r="F74" s="131" t="s">
        <v>61</v>
      </c>
      <c r="G74" s="132" t="s">
        <v>55</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30</v>
      </c>
      <c r="C76" s="41">
        <v>3</v>
      </c>
      <c r="D76" s="125" t="str">
        <f xml:space="preserve"> IF(C76="","",setValueToTime(C76))</f>
        <v xml:space="preserve"> 15 min</v>
      </c>
      <c r="E76" s="42"/>
      <c r="F76" s="262"/>
      <c r="G76" s="263"/>
      <c r="H76" s="152"/>
    </row>
    <row r="77" spans="2:8" s="43" customFormat="1" ht="27" x14ac:dyDescent="0.3">
      <c r="B77" s="44" t="s">
        <v>49</v>
      </c>
      <c r="C77" s="45">
        <v>7</v>
      </c>
      <c r="D77" s="126" t="str">
        <f t="shared" ref="D77:D83" si="6" xml:space="preserve"> IF(C77="","",setValueToTime(C77))</f>
        <v xml:space="preserve"> 35 min</v>
      </c>
      <c r="E77" s="46" t="s">
        <v>257</v>
      </c>
      <c r="F77" s="254"/>
      <c r="G77" s="255"/>
      <c r="H77" s="152"/>
    </row>
    <row r="78" spans="2:8" s="43" customFormat="1" x14ac:dyDescent="0.3">
      <c r="B78" s="44" t="s">
        <v>31</v>
      </c>
      <c r="C78" s="45">
        <v>16</v>
      </c>
      <c r="D78" s="126" t="str">
        <f t="shared" si="6"/>
        <v>1h 20 min</v>
      </c>
      <c r="E78" s="46" t="s">
        <v>265</v>
      </c>
      <c r="F78" s="254"/>
      <c r="G78" s="255"/>
      <c r="H78" s="152"/>
    </row>
    <row r="79" spans="2:8" s="43" customFormat="1" x14ac:dyDescent="0.3">
      <c r="B79" s="44" t="s">
        <v>165</v>
      </c>
      <c r="C79" s="45">
        <v>10</v>
      </c>
      <c r="D79" s="126" t="str">
        <f t="shared" si="6"/>
        <v xml:space="preserve"> 50 min</v>
      </c>
      <c r="E79" s="46" t="s">
        <v>258</v>
      </c>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36</v>
      </c>
      <c r="D84" s="135" t="str">
        <f xml:space="preserve"> setValueToTime(C84)</f>
        <v>3h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25</v>
      </c>
      <c r="D86" s="137"/>
      <c r="E86" s="130" t="s">
        <v>37</v>
      </c>
      <c r="F86" s="131" t="s">
        <v>61</v>
      </c>
      <c r="G86" s="132" t="s">
        <v>56</v>
      </c>
      <c r="H86" s="151"/>
    </row>
    <row r="87" spans="2:8" s="39" customFormat="1" ht="30" customHeight="1" thickBot="1" x14ac:dyDescent="0.3">
      <c r="B87" s="61" t="s">
        <v>38</v>
      </c>
      <c r="C87" s="134" t="s">
        <v>39</v>
      </c>
      <c r="D87" s="133"/>
      <c r="E87" s="61" t="s">
        <v>40</v>
      </c>
      <c r="F87" s="266" t="s">
        <v>41</v>
      </c>
      <c r="G87" s="267"/>
      <c r="H87" s="151"/>
    </row>
    <row r="88" spans="2:8" s="43" customFormat="1" ht="27.75" thickBot="1" x14ac:dyDescent="0.35">
      <c r="B88" s="40" t="s">
        <v>30</v>
      </c>
      <c r="C88" s="41">
        <v>3</v>
      </c>
      <c r="D88" s="125" t="str">
        <f xml:space="preserve"> IF(C88="","",setValueToTime(C88))</f>
        <v xml:space="preserve"> 15 min</v>
      </c>
      <c r="E88" s="42"/>
      <c r="F88" s="262"/>
      <c r="G88" s="263"/>
      <c r="H88" s="152"/>
    </row>
    <row r="89" spans="2:8" s="43" customFormat="1" ht="27" x14ac:dyDescent="0.3">
      <c r="B89" s="44" t="s">
        <v>31</v>
      </c>
      <c r="C89" s="45">
        <v>30</v>
      </c>
      <c r="D89" s="126" t="str">
        <f t="shared" ref="D89:D95" si="7" xml:space="preserve"> IF(C89="","",setValueToTime(C89))</f>
        <v>2h 30 min</v>
      </c>
      <c r="E89" s="42" t="s">
        <v>255</v>
      </c>
      <c r="F89" s="254"/>
      <c r="G89" s="255"/>
      <c r="H89" s="152"/>
    </row>
    <row r="90" spans="2:8" s="43" customFormat="1" x14ac:dyDescent="0.3">
      <c r="B90" s="44" t="s">
        <v>165</v>
      </c>
      <c r="C90" s="45">
        <v>9</v>
      </c>
      <c r="D90" s="126" t="str">
        <f t="shared" si="7"/>
        <v xml:space="preserve"> 45 min</v>
      </c>
      <c r="E90" s="46" t="s">
        <v>256</v>
      </c>
      <c r="F90" s="254"/>
      <c r="G90" s="255"/>
      <c r="H90" s="152"/>
    </row>
    <row r="91" spans="2:8" s="43" customFormat="1" x14ac:dyDescent="0.3">
      <c r="B91" s="44"/>
      <c r="C91" s="45"/>
      <c r="D91" s="126" t="str">
        <f t="shared" si="7"/>
        <v/>
      </c>
      <c r="E91" s="46"/>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42</v>
      </c>
      <c r="D96" s="135" t="str">
        <f xml:space="preserve"> setValueToTime(C96)</f>
        <v>3h 30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24</v>
      </c>
      <c r="D98" s="137"/>
      <c r="E98" s="130" t="s">
        <v>37</v>
      </c>
      <c r="F98" s="131" t="s">
        <v>64</v>
      </c>
      <c r="G98" s="132" t="s">
        <v>55</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31</v>
      </c>
      <c r="C100" s="41">
        <v>18</v>
      </c>
      <c r="D100" s="125" t="str">
        <f xml:space="preserve"> IF(C100="","",setValueToTime(C100))</f>
        <v>1h 30 min</v>
      </c>
      <c r="E100" s="46" t="s">
        <v>266</v>
      </c>
      <c r="F100" s="262"/>
      <c r="G100" s="263"/>
      <c r="H100" s="152"/>
    </row>
    <row r="101" spans="2:8" s="43" customFormat="1" ht="27" x14ac:dyDescent="0.3">
      <c r="B101" s="44" t="s">
        <v>30</v>
      </c>
      <c r="C101" s="45">
        <v>3</v>
      </c>
      <c r="D101" s="126" t="str">
        <f t="shared" ref="D101:D107" si="8" xml:space="preserve"> IF(C101="","",setValueToTime(C101))</f>
        <v xml:space="preserve"> 15 min</v>
      </c>
      <c r="E101" s="46"/>
      <c r="F101" s="254"/>
      <c r="G101" s="255"/>
      <c r="H101" s="152"/>
    </row>
    <row r="102" spans="2:8" s="43" customFormat="1" x14ac:dyDescent="0.3">
      <c r="B102" s="44" t="s">
        <v>109</v>
      </c>
      <c r="C102" s="45">
        <v>6</v>
      </c>
      <c r="D102" s="126" t="str">
        <f t="shared" si="8"/>
        <v xml:space="preserve"> 30 min</v>
      </c>
      <c r="E102" s="46" t="s">
        <v>251</v>
      </c>
      <c r="F102" s="254"/>
      <c r="G102" s="255"/>
      <c r="H102" s="152"/>
    </row>
    <row r="103" spans="2:8" s="43" customFormat="1" x14ac:dyDescent="0.3">
      <c r="B103" s="44" t="s">
        <v>33</v>
      </c>
      <c r="C103" s="45">
        <v>9</v>
      </c>
      <c r="D103" s="126" t="str">
        <f t="shared" si="8"/>
        <v xml:space="preserve"> 45 min</v>
      </c>
      <c r="E103" s="46" t="s">
        <v>267</v>
      </c>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36</v>
      </c>
      <c r="D108" s="135" t="str">
        <f xml:space="preserve"> setValueToTime(C108)</f>
        <v>3h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23</v>
      </c>
      <c r="D110" s="137"/>
      <c r="E110" s="130" t="s">
        <v>37</v>
      </c>
      <c r="F110" s="131" t="s">
        <v>64</v>
      </c>
      <c r="G110" s="132" t="s">
        <v>56</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30</v>
      </c>
      <c r="C112" s="41">
        <v>3</v>
      </c>
      <c r="D112" s="125" t="str">
        <f xml:space="preserve"> IF(C112="","",setValueToTime(C112))</f>
        <v xml:space="preserve"> 15 min</v>
      </c>
      <c r="E112" s="42"/>
      <c r="F112" s="262"/>
      <c r="G112" s="263"/>
      <c r="H112" s="152"/>
    </row>
    <row r="113" spans="2:8" s="43" customFormat="1" ht="27" x14ac:dyDescent="0.3">
      <c r="B113" s="44" t="s">
        <v>31</v>
      </c>
      <c r="C113" s="45">
        <v>27</v>
      </c>
      <c r="D113" s="126" t="str">
        <f t="shared" ref="D113:D119" si="9" xml:space="preserve"> IF(C113="","",setValueToTime(C113))</f>
        <v>2h 15 min</v>
      </c>
      <c r="E113" s="46" t="s">
        <v>250</v>
      </c>
      <c r="F113" s="254"/>
      <c r="G113" s="255"/>
      <c r="H113" s="152"/>
    </row>
    <row r="114" spans="2:8" s="43" customFormat="1" ht="40.5" x14ac:dyDescent="0.3">
      <c r="B114" s="44" t="s">
        <v>164</v>
      </c>
      <c r="C114" s="45">
        <v>12</v>
      </c>
      <c r="D114" s="126" t="str">
        <f t="shared" si="9"/>
        <v>1h</v>
      </c>
      <c r="E114" s="46" t="s">
        <v>247</v>
      </c>
      <c r="F114" s="254"/>
      <c r="G114" s="255"/>
      <c r="H114" s="152"/>
    </row>
    <row r="115" spans="2:8" s="43" customFormat="1" x14ac:dyDescent="0.3">
      <c r="B115" s="44"/>
      <c r="C115" s="45"/>
      <c r="D115" s="126" t="str">
        <f t="shared" si="9"/>
        <v/>
      </c>
      <c r="E115" s="46"/>
      <c r="F115" s="254"/>
      <c r="G115" s="255"/>
      <c r="H115" s="152"/>
    </row>
    <row r="116" spans="2:8" s="43" customFormat="1" x14ac:dyDescent="0.3">
      <c r="B116" s="45"/>
      <c r="C116" s="45"/>
      <c r="D116" s="127" t="str">
        <f t="shared" si="9"/>
        <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22</v>
      </c>
      <c r="D122" s="137"/>
      <c r="E122" s="130" t="s">
        <v>37</v>
      </c>
      <c r="F122" s="131" t="s">
        <v>133</v>
      </c>
      <c r="G122" s="132" t="s">
        <v>55</v>
      </c>
      <c r="H122" s="151"/>
    </row>
    <row r="123" spans="2:8" s="39" customFormat="1" ht="30" customHeight="1" thickBot="1" x14ac:dyDescent="0.3">
      <c r="B123" s="61" t="s">
        <v>38</v>
      </c>
      <c r="C123" s="134" t="s">
        <v>39</v>
      </c>
      <c r="D123" s="133"/>
      <c r="E123" s="61" t="s">
        <v>40</v>
      </c>
      <c r="F123" s="266" t="s">
        <v>41</v>
      </c>
      <c r="G123" s="267"/>
      <c r="H123" s="151"/>
    </row>
    <row r="124" spans="2:8" s="43" customFormat="1" x14ac:dyDescent="0.3">
      <c r="B124" s="40" t="s">
        <v>47</v>
      </c>
      <c r="C124" s="41">
        <v>3</v>
      </c>
      <c r="D124" s="125" t="str">
        <f xml:space="preserve"> IF(C124="","",setValueToTime(C124))</f>
        <v xml:space="preserve"> 15 min</v>
      </c>
      <c r="E124" s="42" t="s">
        <v>249</v>
      </c>
      <c r="F124" s="262"/>
      <c r="G124" s="263"/>
      <c r="H124" s="152"/>
    </row>
    <row r="125" spans="2:8" s="43" customFormat="1" ht="27" x14ac:dyDescent="0.3">
      <c r="B125" s="44" t="s">
        <v>30</v>
      </c>
      <c r="C125" s="45">
        <v>3</v>
      </c>
      <c r="D125" s="126" t="str">
        <f t="shared" ref="D125:D131" si="10" xml:space="preserve"> IF(C125="","",setValueToTime(C125))</f>
        <v xml:space="preserve"> 15 min</v>
      </c>
      <c r="E125" s="46"/>
      <c r="F125" s="254"/>
      <c r="G125" s="255"/>
      <c r="H125" s="152"/>
    </row>
    <row r="126" spans="2:8" s="43" customFormat="1" x14ac:dyDescent="0.3">
      <c r="B126" s="44" t="s">
        <v>31</v>
      </c>
      <c r="C126" s="45">
        <v>8</v>
      </c>
      <c r="D126" s="126" t="str">
        <f t="shared" si="10"/>
        <v xml:space="preserve"> 40 min</v>
      </c>
      <c r="E126" s="46" t="s">
        <v>268</v>
      </c>
      <c r="F126" s="254"/>
      <c r="G126" s="255"/>
      <c r="H126" s="152"/>
    </row>
    <row r="127" spans="2:8" s="43" customFormat="1" ht="40.5" x14ac:dyDescent="0.3">
      <c r="B127" s="44" t="s">
        <v>164</v>
      </c>
      <c r="C127" s="45">
        <v>9</v>
      </c>
      <c r="D127" s="126" t="str">
        <f t="shared" si="10"/>
        <v xml:space="preserve"> 45 min</v>
      </c>
      <c r="E127" s="46" t="s">
        <v>269</v>
      </c>
      <c r="F127" s="254"/>
      <c r="G127" s="255"/>
      <c r="H127" s="152"/>
    </row>
    <row r="128" spans="2:8" s="43" customFormat="1" x14ac:dyDescent="0.3">
      <c r="B128" s="45" t="s">
        <v>49</v>
      </c>
      <c r="C128" s="45">
        <v>4</v>
      </c>
      <c r="D128" s="127" t="str">
        <f t="shared" si="10"/>
        <v xml:space="preserve"> 20 min</v>
      </c>
      <c r="E128" s="46" t="s">
        <v>270</v>
      </c>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27</v>
      </c>
      <c r="D132" s="135" t="str">
        <f xml:space="preserve"> setValueToTime(C132)</f>
        <v>2h 15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21</v>
      </c>
      <c r="D134" s="137"/>
      <c r="E134" s="130" t="s">
        <v>37</v>
      </c>
      <c r="F134" s="131" t="s">
        <v>133</v>
      </c>
      <c r="G134" s="132" t="s">
        <v>56</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3</v>
      </c>
      <c r="D136" s="125" t="str">
        <f xml:space="preserve"> IF(C136="","",setValueToTime(C136))</f>
        <v xml:space="preserve"> 15 min</v>
      </c>
      <c r="E136" s="42"/>
      <c r="F136" s="262"/>
      <c r="G136" s="263"/>
      <c r="H136" s="152"/>
    </row>
    <row r="137" spans="2:8" s="43" customFormat="1" x14ac:dyDescent="0.3">
      <c r="B137" s="44" t="s">
        <v>31</v>
      </c>
      <c r="C137" s="45">
        <v>8</v>
      </c>
      <c r="D137" s="126" t="str">
        <f t="shared" ref="D137:D143" si="11" xml:space="preserve"> IF(C137="","",setValueToTime(C137))</f>
        <v xml:space="preserve"> 40 min</v>
      </c>
      <c r="E137" s="46" t="s">
        <v>246</v>
      </c>
      <c r="F137" s="268" t="s">
        <v>248</v>
      </c>
      <c r="G137" s="255"/>
      <c r="H137" s="152"/>
    </row>
    <row r="138" spans="2:8" s="43" customFormat="1" ht="40.5" x14ac:dyDescent="0.3">
      <c r="B138" s="44" t="s">
        <v>164</v>
      </c>
      <c r="C138" s="45">
        <v>18</v>
      </c>
      <c r="D138" s="126" t="str">
        <f t="shared" si="11"/>
        <v>1h 30 min</v>
      </c>
      <c r="E138" s="46" t="s">
        <v>244</v>
      </c>
      <c r="F138" s="254"/>
      <c r="G138" s="255"/>
      <c r="H138" s="152"/>
    </row>
    <row r="139" spans="2:8" s="43" customFormat="1" ht="27" x14ac:dyDescent="0.3">
      <c r="B139" s="44" t="s">
        <v>161</v>
      </c>
      <c r="C139" s="45">
        <v>18</v>
      </c>
      <c r="D139" s="126" t="str">
        <f t="shared" si="11"/>
        <v>1h 30 min</v>
      </c>
      <c r="E139" s="46" t="s">
        <v>245</v>
      </c>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47</v>
      </c>
      <c r="D144" s="135" t="str">
        <f xml:space="preserve"> setValueToTime(C144)</f>
        <v>3h 55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20</v>
      </c>
      <c r="D146" s="137"/>
      <c r="E146" s="130" t="s">
        <v>37</v>
      </c>
      <c r="F146" s="131" t="s">
        <v>136</v>
      </c>
      <c r="G146" s="132" t="s">
        <v>55</v>
      </c>
      <c r="H146" s="151"/>
    </row>
    <row r="147" spans="2:8" s="39" customFormat="1" ht="30" customHeight="1" thickBot="1" x14ac:dyDescent="0.3">
      <c r="B147" s="61" t="s">
        <v>38</v>
      </c>
      <c r="C147" s="134" t="s">
        <v>39</v>
      </c>
      <c r="D147" s="133"/>
      <c r="E147" s="61" t="s">
        <v>40</v>
      </c>
      <c r="F147" s="266" t="s">
        <v>41</v>
      </c>
      <c r="G147" s="267"/>
      <c r="H147" s="151"/>
    </row>
    <row r="148" spans="2:8" s="43" customFormat="1" ht="27" x14ac:dyDescent="0.3">
      <c r="B148" s="40" t="s">
        <v>160</v>
      </c>
      <c r="C148" s="41">
        <v>7</v>
      </c>
      <c r="D148" s="125" t="str">
        <f xml:space="preserve"> IF(C148="","",setValueToTime(C148))</f>
        <v xml:space="preserve"> 35 min</v>
      </c>
      <c r="E148" s="42" t="s">
        <v>242</v>
      </c>
      <c r="F148" s="262"/>
      <c r="G148" s="263"/>
      <c r="H148" s="152"/>
    </row>
    <row r="149" spans="2:8" s="43" customFormat="1" x14ac:dyDescent="0.3">
      <c r="B149" s="44" t="s">
        <v>162</v>
      </c>
      <c r="C149" s="45">
        <v>7</v>
      </c>
      <c r="D149" s="126" t="str">
        <f t="shared" ref="D149:D155" si="12" xml:space="preserve"> IF(C149="","",setValueToTime(C149))</f>
        <v xml:space="preserve"> 35 min</v>
      </c>
      <c r="E149" s="46" t="s">
        <v>241</v>
      </c>
      <c r="F149" s="254"/>
      <c r="G149" s="255"/>
      <c r="H149" s="152"/>
    </row>
    <row r="150" spans="2:8" s="43" customFormat="1" ht="40.5" x14ac:dyDescent="0.3">
      <c r="B150" s="44" t="s">
        <v>164</v>
      </c>
      <c r="C150" s="45">
        <v>20</v>
      </c>
      <c r="D150" s="126" t="str">
        <f t="shared" si="12"/>
        <v>1h 40 min</v>
      </c>
      <c r="E150" s="46" t="s">
        <v>243</v>
      </c>
      <c r="F150" s="254"/>
      <c r="G150" s="255"/>
      <c r="H150" s="152"/>
    </row>
    <row r="151" spans="2:8" s="43" customFormat="1" ht="27" x14ac:dyDescent="0.3">
      <c r="B151" s="44" t="s">
        <v>30</v>
      </c>
      <c r="C151" s="45">
        <v>2</v>
      </c>
      <c r="D151" s="126" t="str">
        <f t="shared" si="12"/>
        <v xml:space="preserve"> 10 min</v>
      </c>
      <c r="E151" s="46"/>
      <c r="F151" s="254"/>
      <c r="G151" s="255"/>
      <c r="H151" s="152"/>
    </row>
    <row r="152" spans="2:8" s="43" customFormat="1" x14ac:dyDescent="0.3">
      <c r="B152" s="45"/>
      <c r="C152" s="45"/>
      <c r="D152" s="127" t="str">
        <f t="shared" si="12"/>
        <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36</v>
      </c>
      <c r="D156" s="135" t="str">
        <f xml:space="preserve"> setValueToTime(C156)</f>
        <v>3h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19</v>
      </c>
      <c r="D158" s="137"/>
      <c r="E158" s="130" t="s">
        <v>37</v>
      </c>
      <c r="F158" s="131" t="s">
        <v>136</v>
      </c>
      <c r="G158" s="132" t="s">
        <v>56</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32</v>
      </c>
      <c r="C160" s="41">
        <v>9</v>
      </c>
      <c r="D160" s="125" t="str">
        <f xml:space="preserve"> IF(C160="","",setValueToTime(C160))</f>
        <v xml:space="preserve"> 45 min</v>
      </c>
      <c r="E160" s="42" t="s">
        <v>238</v>
      </c>
      <c r="F160" s="262"/>
      <c r="G160" s="263"/>
      <c r="H160" s="152"/>
    </row>
    <row r="161" spans="2:8" s="43" customFormat="1" ht="27" x14ac:dyDescent="0.3">
      <c r="B161" s="44" t="s">
        <v>160</v>
      </c>
      <c r="C161" s="45">
        <v>9</v>
      </c>
      <c r="D161" s="126" t="str">
        <f t="shared" ref="D161:D167" si="13" xml:space="preserve"> IF(C161="","",setValueToTime(C161))</f>
        <v xml:space="preserve"> 45 min</v>
      </c>
      <c r="E161" s="46" t="s">
        <v>239</v>
      </c>
      <c r="F161" s="254"/>
      <c r="G161" s="255"/>
      <c r="H161" s="152"/>
    </row>
    <row r="162" spans="2:8" s="43" customFormat="1" ht="27" x14ac:dyDescent="0.3">
      <c r="B162" s="44" t="s">
        <v>30</v>
      </c>
      <c r="C162" s="45">
        <v>3</v>
      </c>
      <c r="D162" s="126" t="str">
        <f t="shared" si="13"/>
        <v xml:space="preserve"> 15 min</v>
      </c>
      <c r="E162" s="46"/>
      <c r="F162" s="254"/>
      <c r="G162" s="255"/>
      <c r="H162" s="152"/>
    </row>
    <row r="163" spans="2:8" s="43" customFormat="1" ht="40.5" x14ac:dyDescent="0.3">
      <c r="B163" s="44" t="s">
        <v>164</v>
      </c>
      <c r="C163" s="45">
        <v>21</v>
      </c>
      <c r="D163" s="126" t="str">
        <f t="shared" si="13"/>
        <v>1h 45 min</v>
      </c>
      <c r="E163" s="46" t="s">
        <v>240</v>
      </c>
      <c r="F163" s="254"/>
      <c r="G163" s="255"/>
      <c r="H163" s="152"/>
    </row>
    <row r="164" spans="2:8" s="43" customFormat="1" x14ac:dyDescent="0.3">
      <c r="B164" s="45"/>
      <c r="C164" s="45"/>
      <c r="D164" s="127" t="str">
        <f t="shared" si="13"/>
        <v/>
      </c>
      <c r="E164" s="46"/>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42</v>
      </c>
      <c r="D168" s="135" t="str">
        <f xml:space="preserve"> setValueToTime(C168)</f>
        <v>3h 30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18</v>
      </c>
      <c r="D170" s="137"/>
      <c r="E170" s="130" t="s">
        <v>37</v>
      </c>
      <c r="F170" s="131" t="s">
        <v>139</v>
      </c>
      <c r="G170" s="132" t="s">
        <v>55</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0" t="s">
        <v>30</v>
      </c>
      <c r="C172" s="41">
        <v>2</v>
      </c>
      <c r="D172" s="125" t="str">
        <f xml:space="preserve"> IF(C172="","",setValueToTime(C172))</f>
        <v xml:space="preserve"> 10 min</v>
      </c>
      <c r="E172" s="42"/>
      <c r="F172" s="262"/>
      <c r="G172" s="263"/>
      <c r="H172" s="152"/>
    </row>
    <row r="173" spans="2:8" s="43" customFormat="1" ht="27" x14ac:dyDescent="0.3">
      <c r="B173" s="44" t="s">
        <v>163</v>
      </c>
      <c r="C173" s="45">
        <v>10</v>
      </c>
      <c r="D173" s="126" t="str">
        <f t="shared" ref="D173:D179" si="14" xml:space="preserve"> IF(C173="","",setValueToTime(C173))</f>
        <v xml:space="preserve"> 50 min</v>
      </c>
      <c r="E173" s="46" t="s">
        <v>237</v>
      </c>
      <c r="F173" s="254"/>
      <c r="G173" s="255"/>
      <c r="H173" s="152"/>
    </row>
    <row r="174" spans="2:8" s="43" customFormat="1" ht="27" x14ac:dyDescent="0.3">
      <c r="B174" s="44" t="s">
        <v>160</v>
      </c>
      <c r="C174" s="45">
        <v>30</v>
      </c>
      <c r="D174" s="126" t="str">
        <f t="shared" si="14"/>
        <v>2h 30 min</v>
      </c>
      <c r="E174" s="46" t="s">
        <v>236</v>
      </c>
      <c r="F174" s="254"/>
      <c r="G174" s="255"/>
      <c r="H174" s="152"/>
    </row>
    <row r="175" spans="2:8" s="43" customFormat="1" x14ac:dyDescent="0.3">
      <c r="B175" s="44"/>
      <c r="C175" s="45"/>
      <c r="D175" s="126" t="str">
        <f t="shared" si="14"/>
        <v/>
      </c>
      <c r="E175" s="46"/>
      <c r="F175" s="254"/>
      <c r="G175" s="255"/>
      <c r="H175" s="152"/>
    </row>
    <row r="176" spans="2:8" s="43" customFormat="1" x14ac:dyDescent="0.3">
      <c r="B176" s="45"/>
      <c r="C176" s="45"/>
      <c r="D176" s="127" t="str">
        <f t="shared" si="14"/>
        <v/>
      </c>
      <c r="E176" s="46"/>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42</v>
      </c>
      <c r="D180" s="135" t="str">
        <f xml:space="preserve"> setValueToTime(C180)</f>
        <v>3h 30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17</v>
      </c>
      <c r="D182" s="137"/>
      <c r="E182" s="130" t="s">
        <v>37</v>
      </c>
      <c r="F182" s="131" t="s">
        <v>139</v>
      </c>
      <c r="G182" s="132" t="s">
        <v>56</v>
      </c>
      <c r="H182" s="151"/>
    </row>
    <row r="183" spans="2:8" s="39" customFormat="1" ht="30" customHeight="1" thickBot="1" x14ac:dyDescent="0.3">
      <c r="B183" s="61" t="s">
        <v>38</v>
      </c>
      <c r="C183" s="134" t="s">
        <v>39</v>
      </c>
      <c r="D183" s="133"/>
      <c r="E183" s="61" t="s">
        <v>40</v>
      </c>
      <c r="F183" s="266" t="s">
        <v>41</v>
      </c>
      <c r="G183" s="267"/>
      <c r="H183" s="151"/>
    </row>
    <row r="184" spans="2:8" s="43" customFormat="1" ht="27" x14ac:dyDescent="0.3">
      <c r="B184" s="40" t="s">
        <v>30</v>
      </c>
      <c r="C184" s="41">
        <v>3</v>
      </c>
      <c r="D184" s="125" t="str">
        <f xml:space="preserve"> IF(C184="","",setValueToTime(C184))</f>
        <v xml:space="preserve"> 15 min</v>
      </c>
      <c r="E184" s="42"/>
      <c r="F184" s="262"/>
      <c r="G184" s="263"/>
      <c r="H184" s="152"/>
    </row>
    <row r="185" spans="2:8" s="43" customFormat="1" x14ac:dyDescent="0.3">
      <c r="B185" s="44" t="s">
        <v>109</v>
      </c>
      <c r="C185" s="45">
        <v>6</v>
      </c>
      <c r="D185" s="126" t="str">
        <f t="shared" ref="D185:D191" si="15" xml:space="preserve"> IF(C185="","",setValueToTime(C185))</f>
        <v xml:space="preserve"> 30 min</v>
      </c>
      <c r="E185" s="46" t="s">
        <v>235</v>
      </c>
      <c r="F185" s="254"/>
      <c r="G185" s="255"/>
      <c r="H185" s="152"/>
    </row>
    <row r="186" spans="2:8" s="43" customFormat="1" ht="27" x14ac:dyDescent="0.3">
      <c r="B186" s="44" t="s">
        <v>160</v>
      </c>
      <c r="C186" s="45">
        <v>20</v>
      </c>
      <c r="D186" s="126" t="str">
        <f t="shared" si="15"/>
        <v>1h 40 min</v>
      </c>
      <c r="E186" s="46" t="s">
        <v>234</v>
      </c>
      <c r="F186" s="254"/>
      <c r="G186" s="255"/>
      <c r="H186" s="152"/>
    </row>
    <row r="187" spans="2:8" s="43" customFormat="1" x14ac:dyDescent="0.3">
      <c r="B187" s="44" t="s">
        <v>162</v>
      </c>
      <c r="C187" s="45">
        <v>10</v>
      </c>
      <c r="D187" s="126" t="str">
        <f t="shared" si="15"/>
        <v xml:space="preserve"> 50 min</v>
      </c>
      <c r="E187" t="s">
        <v>233</v>
      </c>
      <c r="F187" s="254"/>
      <c r="G187" s="255"/>
      <c r="H187" s="152"/>
    </row>
    <row r="188" spans="2:8" s="43" customFormat="1" x14ac:dyDescent="0.3">
      <c r="B188" s="45"/>
      <c r="C188" s="45"/>
      <c r="D188" s="127" t="str">
        <f t="shared" si="15"/>
        <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39</v>
      </c>
      <c r="D192" s="135" t="str">
        <f xml:space="preserve"> setValueToTime(C192)</f>
        <v>3h 15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16</v>
      </c>
      <c r="D194" s="137"/>
      <c r="E194" s="130" t="s">
        <v>37</v>
      </c>
      <c r="F194" s="131" t="s">
        <v>142</v>
      </c>
      <c r="G194" s="132" t="s">
        <v>55</v>
      </c>
      <c r="H194" s="151"/>
    </row>
    <row r="195" spans="2:8" s="39" customFormat="1" ht="30" customHeight="1" thickBot="1" x14ac:dyDescent="0.3">
      <c r="B195" s="61" t="s">
        <v>38</v>
      </c>
      <c r="C195" s="134" t="s">
        <v>39</v>
      </c>
      <c r="D195" s="133"/>
      <c r="E195" s="61" t="s">
        <v>40</v>
      </c>
      <c r="F195" s="266" t="s">
        <v>41</v>
      </c>
      <c r="G195" s="267"/>
      <c r="H195" s="151"/>
    </row>
    <row r="196" spans="2:8" s="43" customFormat="1" x14ac:dyDescent="0.3">
      <c r="B196" s="40" t="s">
        <v>162</v>
      </c>
      <c r="C196" s="41">
        <v>5</v>
      </c>
      <c r="D196" s="125" t="str">
        <f xml:space="preserve"> IF(C196="","",setValueToTime(C196))</f>
        <v xml:space="preserve"> 25 min</v>
      </c>
      <c r="E196" t="s">
        <v>214</v>
      </c>
      <c r="F196" s="262"/>
      <c r="G196" s="263"/>
      <c r="H196" s="152"/>
    </row>
    <row r="197" spans="2:8" s="43" customFormat="1" ht="27" x14ac:dyDescent="0.3">
      <c r="B197" s="44" t="s">
        <v>32</v>
      </c>
      <c r="C197" s="45">
        <v>7</v>
      </c>
      <c r="D197" s="126" t="str">
        <f t="shared" ref="D197:D203" si="16" xml:space="preserve"> IF(C197="","",setValueToTime(C197))</f>
        <v xml:space="preserve"> 35 min</v>
      </c>
      <c r="E197" s="46" t="s">
        <v>232</v>
      </c>
      <c r="F197" s="254"/>
      <c r="G197" s="255"/>
      <c r="H197" s="152"/>
    </row>
    <row r="198" spans="2:8" s="43" customFormat="1" ht="27" x14ac:dyDescent="0.3">
      <c r="B198" s="44" t="s">
        <v>30</v>
      </c>
      <c r="C198" s="45">
        <v>2</v>
      </c>
      <c r="D198" s="126" t="str">
        <f t="shared" si="16"/>
        <v xml:space="preserve"> 10 min</v>
      </c>
      <c r="E198" s="46"/>
      <c r="F198" s="254"/>
      <c r="G198" s="255"/>
      <c r="H198" s="152"/>
    </row>
    <row r="199" spans="2:8" s="43" customFormat="1" ht="27" x14ac:dyDescent="0.3">
      <c r="B199" s="44" t="s">
        <v>163</v>
      </c>
      <c r="C199" s="45">
        <v>4</v>
      </c>
      <c r="D199" s="126" t="str">
        <f t="shared" si="16"/>
        <v xml:space="preserve"> 20 min</v>
      </c>
      <c r="E199" s="46" t="s">
        <v>215</v>
      </c>
      <c r="F199" s="254"/>
      <c r="G199" s="255"/>
      <c r="H199" s="152"/>
    </row>
    <row r="200" spans="2:8" s="43" customFormat="1" x14ac:dyDescent="0.3">
      <c r="B200" s="45" t="s">
        <v>27</v>
      </c>
      <c r="C200" s="45">
        <v>18</v>
      </c>
      <c r="D200" s="127" t="str">
        <f t="shared" si="16"/>
        <v>1h 30 min</v>
      </c>
      <c r="E200" s="46"/>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36</v>
      </c>
      <c r="D204" s="135" t="str">
        <f xml:space="preserve"> setValueToTime(C204)</f>
        <v>3h</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15</v>
      </c>
      <c r="D206" s="137"/>
      <c r="E206" s="130" t="s">
        <v>37</v>
      </c>
      <c r="F206" s="131" t="s">
        <v>142</v>
      </c>
      <c r="G206" s="132" t="s">
        <v>56</v>
      </c>
      <c r="H206" s="151"/>
    </row>
    <row r="207" spans="2:8" s="39" customFormat="1" ht="30" customHeight="1" thickBot="1" x14ac:dyDescent="0.3">
      <c r="B207" s="61" t="s">
        <v>38</v>
      </c>
      <c r="C207" s="134" t="s">
        <v>39</v>
      </c>
      <c r="D207" s="133"/>
      <c r="E207" s="61" t="s">
        <v>40</v>
      </c>
      <c r="F207" s="266" t="s">
        <v>41</v>
      </c>
      <c r="G207" s="267"/>
      <c r="H207" s="151"/>
    </row>
    <row r="208" spans="2:8" s="43" customFormat="1" ht="27" x14ac:dyDescent="0.3">
      <c r="B208" s="40" t="s">
        <v>166</v>
      </c>
      <c r="C208" s="41">
        <v>4</v>
      </c>
      <c r="D208" s="125" t="str">
        <f xml:space="preserve"> IF(C208="","",setValueToTime(C208))</f>
        <v xml:space="preserve"> 20 min</v>
      </c>
      <c r="E208" t="s">
        <v>213</v>
      </c>
      <c r="F208" s="262"/>
      <c r="G208" s="263"/>
      <c r="H208" s="152"/>
    </row>
    <row r="209" spans="2:8" s="43" customFormat="1" x14ac:dyDescent="0.3">
      <c r="B209" s="44" t="s">
        <v>162</v>
      </c>
      <c r="C209" s="45">
        <v>10</v>
      </c>
      <c r="D209" s="126" t="str">
        <f t="shared" ref="D209:D215" si="17" xml:space="preserve"> IF(C209="","",setValueToTime(C209))</f>
        <v xml:space="preserve"> 50 min</v>
      </c>
      <c r="E209" t="s">
        <v>224</v>
      </c>
      <c r="F209" s="254"/>
      <c r="G209" s="255"/>
      <c r="H209" s="152"/>
    </row>
    <row r="210" spans="2:8" s="43" customFormat="1" ht="27" x14ac:dyDescent="0.3">
      <c r="B210" s="44" t="s">
        <v>160</v>
      </c>
      <c r="C210" s="45">
        <v>15</v>
      </c>
      <c r="D210" s="126" t="str">
        <f t="shared" si="17"/>
        <v>1h 15 min</v>
      </c>
      <c r="E210" t="s">
        <v>225</v>
      </c>
      <c r="F210" s="254"/>
      <c r="G210" s="255"/>
      <c r="H210" s="152"/>
    </row>
    <row r="211" spans="2:8" s="43" customFormat="1" ht="27" x14ac:dyDescent="0.3">
      <c r="B211" s="44" t="s">
        <v>30</v>
      </c>
      <c r="C211" s="45">
        <v>4</v>
      </c>
      <c r="D211" s="126" t="str">
        <f t="shared" si="17"/>
        <v xml:space="preserve"> 20 min</v>
      </c>
      <c r="E211" s="46"/>
      <c r="F211" s="254"/>
      <c r="G211" s="255"/>
      <c r="H211" s="152"/>
    </row>
    <row r="212" spans="2:8" s="43" customFormat="1" x14ac:dyDescent="0.3">
      <c r="B212" s="45" t="s">
        <v>27</v>
      </c>
      <c r="C212" s="45">
        <v>9</v>
      </c>
      <c r="D212" s="127" t="str">
        <f t="shared" si="17"/>
        <v xml:space="preserve"> 45 min</v>
      </c>
      <c r="E212" s="46"/>
      <c r="F212" s="254"/>
      <c r="G212" s="255"/>
      <c r="H212" s="152"/>
    </row>
    <row r="213" spans="2:8" s="43" customFormat="1" x14ac:dyDescent="0.3">
      <c r="B213" s="45"/>
      <c r="C213" s="45"/>
      <c r="D213" s="127" t="str">
        <f t="shared" si="17"/>
        <v/>
      </c>
      <c r="E213" s="46"/>
      <c r="F213" s="254"/>
      <c r="G213" s="255"/>
      <c r="H213" s="152"/>
    </row>
    <row r="214" spans="2:8" s="43" customFormat="1" x14ac:dyDescent="0.3">
      <c r="B214" s="45"/>
      <c r="C214" s="45"/>
      <c r="D214" s="127" t="str">
        <f t="shared" si="17"/>
        <v/>
      </c>
      <c r="E214" s="46"/>
      <c r="F214" s="254"/>
      <c r="G214" s="255"/>
      <c r="H214" s="152"/>
    </row>
    <row r="215" spans="2:8" s="43" customFormat="1" ht="15" thickBot="1" x14ac:dyDescent="0.35">
      <c r="B215" s="47"/>
      <c r="C215" s="47"/>
      <c r="D215" s="128" t="str">
        <f t="shared" si="17"/>
        <v/>
      </c>
      <c r="E215" s="48"/>
      <c r="F215" s="256"/>
      <c r="G215" s="257"/>
      <c r="H215" s="152"/>
    </row>
    <row r="216" spans="2:8" s="43" customFormat="1" ht="15" thickBot="1" x14ac:dyDescent="0.35">
      <c r="B216" s="135" t="s">
        <v>43</v>
      </c>
      <c r="C216" s="66">
        <f>SUM(C208:C215)</f>
        <v>42</v>
      </c>
      <c r="D216" s="135" t="str">
        <f xml:space="preserve"> setValueToTime(C216)</f>
        <v>3h 30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14</v>
      </c>
      <c r="D218" s="137"/>
      <c r="E218" s="130" t="s">
        <v>37</v>
      </c>
      <c r="F218" s="131" t="s">
        <v>145</v>
      </c>
      <c r="G218" s="132" t="s">
        <v>55</v>
      </c>
      <c r="H218" s="151"/>
    </row>
    <row r="219" spans="2:8" s="39" customFormat="1" ht="30" customHeight="1" thickBot="1" x14ac:dyDescent="0.3">
      <c r="B219" s="61" t="s">
        <v>38</v>
      </c>
      <c r="C219" s="134" t="s">
        <v>39</v>
      </c>
      <c r="D219" s="133"/>
      <c r="E219" s="61" t="s">
        <v>40</v>
      </c>
      <c r="F219" s="266" t="s">
        <v>41</v>
      </c>
      <c r="G219" s="267"/>
      <c r="H219" s="151"/>
    </row>
    <row r="220" spans="2:8" s="43" customFormat="1" ht="27" x14ac:dyDescent="0.3">
      <c r="B220" s="40" t="s">
        <v>30</v>
      </c>
      <c r="C220" s="41">
        <v>3</v>
      </c>
      <c r="D220" s="125" t="str">
        <f xml:space="preserve"> IF(C220="","",setValueToTime(C220))</f>
        <v xml:space="preserve"> 15 min</v>
      </c>
      <c r="E220" s="42"/>
      <c r="F220" s="262"/>
      <c r="G220" s="263"/>
      <c r="H220" s="152"/>
    </row>
    <row r="221" spans="2:8" s="43" customFormat="1" ht="40.5" x14ac:dyDescent="0.3">
      <c r="B221" s="44" t="s">
        <v>169</v>
      </c>
      <c r="C221" s="45">
        <v>3</v>
      </c>
      <c r="D221" s="126" t="str">
        <f t="shared" ref="D221:D227" si="18" xml:space="preserve"> IF(C221="","",setValueToTime(C221))</f>
        <v xml:space="preserve"> 15 min</v>
      </c>
      <c r="E221" s="46" t="s">
        <v>216</v>
      </c>
      <c r="F221" s="254"/>
      <c r="G221" s="255"/>
      <c r="H221" s="152"/>
    </row>
    <row r="222" spans="2:8" s="43" customFormat="1" ht="27" x14ac:dyDescent="0.3">
      <c r="B222" s="44" t="s">
        <v>159</v>
      </c>
      <c r="C222" s="45">
        <v>15</v>
      </c>
      <c r="D222" s="126" t="str">
        <f t="shared" si="18"/>
        <v>1h 15 min</v>
      </c>
      <c r="E222" s="46" t="s">
        <v>217</v>
      </c>
      <c r="F222" s="254"/>
      <c r="G222" s="255"/>
      <c r="H222" s="152"/>
    </row>
    <row r="223" spans="2:8" s="43" customFormat="1" ht="27" x14ac:dyDescent="0.3">
      <c r="B223" s="44" t="s">
        <v>163</v>
      </c>
      <c r="C223" s="45">
        <v>9</v>
      </c>
      <c r="D223" s="126" t="str">
        <f t="shared" si="18"/>
        <v xml:space="preserve"> 45 min</v>
      </c>
      <c r="E223" s="46" t="s">
        <v>218</v>
      </c>
      <c r="F223" s="254"/>
      <c r="G223" s="255"/>
      <c r="H223" s="152"/>
    </row>
    <row r="224" spans="2:8" s="43" customFormat="1" x14ac:dyDescent="0.3">
      <c r="B224" s="45" t="s">
        <v>49</v>
      </c>
      <c r="C224" s="45">
        <v>3</v>
      </c>
      <c r="D224" s="127" t="str">
        <f t="shared" si="18"/>
        <v xml:space="preserve"> 15 min</v>
      </c>
      <c r="E224" t="s">
        <v>219</v>
      </c>
      <c r="F224" s="254"/>
      <c r="G224" s="255"/>
      <c r="H224" s="152"/>
    </row>
    <row r="225" spans="2:8" s="43" customFormat="1" x14ac:dyDescent="0.3">
      <c r="B225" s="45"/>
      <c r="C225" s="45"/>
      <c r="D225" s="127" t="str">
        <f t="shared" si="18"/>
        <v/>
      </c>
      <c r="E225" s="46"/>
      <c r="F225" s="254"/>
      <c r="G225" s="255"/>
      <c r="H225" s="152"/>
    </row>
    <row r="226" spans="2:8" s="43" customFormat="1" x14ac:dyDescent="0.3">
      <c r="B226" s="45"/>
      <c r="C226" s="45"/>
      <c r="D226" s="127" t="str">
        <f t="shared" si="18"/>
        <v/>
      </c>
      <c r="E226" s="46"/>
      <c r="F226" s="254"/>
      <c r="G226" s="255"/>
      <c r="H226" s="152"/>
    </row>
    <row r="227" spans="2:8" s="43" customFormat="1" ht="15" thickBot="1" x14ac:dyDescent="0.35">
      <c r="B227" s="47"/>
      <c r="C227" s="47"/>
      <c r="D227" s="128" t="str">
        <f t="shared" si="18"/>
        <v/>
      </c>
      <c r="E227" s="48"/>
      <c r="F227" s="256"/>
      <c r="G227" s="257"/>
      <c r="H227" s="152"/>
    </row>
    <row r="228" spans="2:8" s="43" customFormat="1" ht="15" thickBot="1" x14ac:dyDescent="0.35">
      <c r="B228" s="135" t="s">
        <v>43</v>
      </c>
      <c r="C228" s="66">
        <f>SUM(C220:C227)</f>
        <v>33</v>
      </c>
      <c r="D228" s="135" t="str">
        <f xml:space="preserve"> setValueToTime(C228)</f>
        <v>2h 45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13</v>
      </c>
      <c r="D230" s="137"/>
      <c r="E230" s="130" t="s">
        <v>37</v>
      </c>
      <c r="F230" s="131" t="s">
        <v>145</v>
      </c>
      <c r="G230" s="132" t="s">
        <v>56</v>
      </c>
      <c r="H230" s="151"/>
    </row>
    <row r="231" spans="2:8" s="39" customFormat="1" ht="30" customHeight="1" thickBot="1" x14ac:dyDescent="0.3">
      <c r="B231" s="61" t="s">
        <v>38</v>
      </c>
      <c r="C231" s="134" t="s">
        <v>39</v>
      </c>
      <c r="D231" s="133"/>
      <c r="E231" s="61" t="s">
        <v>40</v>
      </c>
      <c r="F231" s="266" t="s">
        <v>41</v>
      </c>
      <c r="G231" s="267"/>
      <c r="H231" s="151"/>
    </row>
    <row r="232" spans="2:8" s="43" customFormat="1" x14ac:dyDescent="0.3">
      <c r="B232" s="40" t="s">
        <v>162</v>
      </c>
      <c r="C232" s="41">
        <v>6</v>
      </c>
      <c r="D232" s="125" t="str">
        <f xml:space="preserve"> IF(C232="","",setValueToTime(C232))</f>
        <v xml:space="preserve"> 30 min</v>
      </c>
      <c r="E232" s="46" t="s">
        <v>222</v>
      </c>
      <c r="F232" s="262"/>
      <c r="G232" s="263"/>
      <c r="H232" s="152"/>
    </row>
    <row r="233" spans="2:8" s="43" customFormat="1" ht="27" x14ac:dyDescent="0.3">
      <c r="B233" s="44" t="s">
        <v>163</v>
      </c>
      <c r="C233" s="45">
        <v>12</v>
      </c>
      <c r="D233" s="126" t="str">
        <f t="shared" ref="D233:D239" si="19" xml:space="preserve"> IF(C233="","",setValueToTime(C233))</f>
        <v>1h</v>
      </c>
      <c r="E233" t="s">
        <v>223</v>
      </c>
      <c r="F233" s="254"/>
      <c r="G233" s="255"/>
      <c r="H233" s="152"/>
    </row>
    <row r="234" spans="2:8" s="43" customFormat="1" ht="40.5" x14ac:dyDescent="0.3">
      <c r="B234" s="44" t="s">
        <v>169</v>
      </c>
      <c r="C234" s="45">
        <v>6</v>
      </c>
      <c r="D234" s="126" t="str">
        <f t="shared" si="19"/>
        <v xml:space="preserve"> 30 min</v>
      </c>
      <c r="E234" s="46" t="s">
        <v>221</v>
      </c>
      <c r="F234" s="254"/>
      <c r="G234" s="255"/>
      <c r="H234" s="152"/>
    </row>
    <row r="235" spans="2:8" s="43" customFormat="1" x14ac:dyDescent="0.3">
      <c r="B235" s="44"/>
      <c r="C235" s="45"/>
      <c r="D235" s="126" t="str">
        <f t="shared" si="19"/>
        <v/>
      </c>
      <c r="E235" s="46"/>
      <c r="F235" s="254"/>
      <c r="G235" s="255"/>
      <c r="H235" s="152"/>
    </row>
    <row r="236" spans="2:8" s="43" customFormat="1" x14ac:dyDescent="0.3">
      <c r="B236" s="45"/>
      <c r="C236" s="45"/>
      <c r="D236" s="127" t="str">
        <f t="shared" si="19"/>
        <v/>
      </c>
      <c r="E236" s="46"/>
      <c r="F236" s="254"/>
      <c r="G236" s="255"/>
      <c r="H236" s="152"/>
    </row>
    <row r="237" spans="2:8" s="43" customFormat="1" x14ac:dyDescent="0.3">
      <c r="B237" s="45"/>
      <c r="C237" s="45"/>
      <c r="D237" s="127" t="str">
        <f t="shared" si="19"/>
        <v/>
      </c>
      <c r="E237" s="46"/>
      <c r="F237" s="254"/>
      <c r="G237" s="255"/>
      <c r="H237" s="152"/>
    </row>
    <row r="238" spans="2:8" s="43" customFormat="1" x14ac:dyDescent="0.3">
      <c r="B238" s="45"/>
      <c r="C238" s="45"/>
      <c r="D238" s="127" t="str">
        <f t="shared" si="19"/>
        <v/>
      </c>
      <c r="E238" s="46"/>
      <c r="F238" s="254"/>
      <c r="G238" s="255"/>
      <c r="H238" s="152"/>
    </row>
    <row r="239" spans="2:8" s="43" customFormat="1" ht="15" thickBot="1" x14ac:dyDescent="0.35">
      <c r="B239" s="47"/>
      <c r="C239" s="47"/>
      <c r="D239" s="128" t="str">
        <f t="shared" si="19"/>
        <v/>
      </c>
      <c r="E239" s="48"/>
      <c r="F239" s="256"/>
      <c r="G239" s="257"/>
      <c r="H239" s="152"/>
    </row>
    <row r="240" spans="2:8" s="43" customFormat="1" ht="15" thickBot="1" x14ac:dyDescent="0.35">
      <c r="B240" s="135" t="s">
        <v>43</v>
      </c>
      <c r="C240" s="66">
        <f>SUM(C232:C239)</f>
        <v>24</v>
      </c>
      <c r="D240" s="135" t="str">
        <f xml:space="preserve"> setValueToTime(C240)</f>
        <v>2h</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12</v>
      </c>
      <c r="D242" s="137"/>
      <c r="E242" s="130" t="s">
        <v>37</v>
      </c>
      <c r="F242" s="131" t="s">
        <v>148</v>
      </c>
      <c r="G242" s="132" t="s">
        <v>55</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3</v>
      </c>
      <c r="D244" s="125" t="str">
        <f xml:space="preserve"> IF(C244="","",setValueToTime(C244))</f>
        <v xml:space="preserve"> 15 min</v>
      </c>
      <c r="E244" s="42"/>
      <c r="F244" s="262"/>
      <c r="G244" s="263"/>
      <c r="H244" s="152"/>
    </row>
    <row r="245" spans="2:8" s="43" customFormat="1" ht="27" x14ac:dyDescent="0.3">
      <c r="B245" s="44" t="s">
        <v>166</v>
      </c>
      <c r="C245" s="45">
        <v>9</v>
      </c>
      <c r="D245" s="126" t="str">
        <f t="shared" ref="D245:D251" si="20" xml:space="preserve"> IF(C245="","",setValueToTime(C245))</f>
        <v xml:space="preserve"> 45 min</v>
      </c>
      <c r="E245" s="46" t="s">
        <v>226</v>
      </c>
      <c r="F245" s="254"/>
      <c r="G245" s="255"/>
      <c r="H245" s="152"/>
    </row>
    <row r="246" spans="2:8" s="43" customFormat="1" ht="27" x14ac:dyDescent="0.3">
      <c r="B246" s="44" t="s">
        <v>86</v>
      </c>
      <c r="C246" s="45">
        <v>12</v>
      </c>
      <c r="D246" s="126" t="str">
        <f t="shared" si="20"/>
        <v>1h</v>
      </c>
      <c r="E246" t="s">
        <v>220</v>
      </c>
      <c r="F246" s="254"/>
      <c r="G246" s="255"/>
      <c r="H246" s="152"/>
    </row>
    <row r="247" spans="2:8" s="43" customFormat="1" x14ac:dyDescent="0.3">
      <c r="B247" s="44" t="s">
        <v>162</v>
      </c>
      <c r="C247" s="45">
        <v>12</v>
      </c>
      <c r="D247" s="126" t="str">
        <f t="shared" si="20"/>
        <v>1h</v>
      </c>
      <c r="E247" s="46" t="s">
        <v>227</v>
      </c>
      <c r="F247" s="254"/>
      <c r="G247" s="255"/>
      <c r="H247" s="152"/>
    </row>
    <row r="248" spans="2:8" s="43" customFormat="1" x14ac:dyDescent="0.3">
      <c r="B248" s="45"/>
      <c r="C248" s="45"/>
      <c r="D248" s="127" t="str">
        <f t="shared" si="20"/>
        <v/>
      </c>
      <c r="E248" s="46"/>
      <c r="F248" s="254"/>
      <c r="G248" s="255"/>
      <c r="H248" s="152"/>
    </row>
    <row r="249" spans="2:8" s="43" customFormat="1" x14ac:dyDescent="0.3">
      <c r="B249" s="45"/>
      <c r="C249" s="45"/>
      <c r="D249" s="127" t="str">
        <f t="shared" si="20"/>
        <v/>
      </c>
      <c r="E249" s="46"/>
      <c r="F249" s="254"/>
      <c r="G249" s="255"/>
      <c r="H249" s="152"/>
    </row>
    <row r="250" spans="2:8" s="43" customFormat="1" x14ac:dyDescent="0.3">
      <c r="B250" s="45"/>
      <c r="C250" s="45"/>
      <c r="D250" s="127" t="str">
        <f t="shared" si="20"/>
        <v/>
      </c>
      <c r="E250" s="46"/>
      <c r="F250" s="254"/>
      <c r="G250" s="255"/>
      <c r="H250" s="152"/>
    </row>
    <row r="251" spans="2:8" s="43" customFormat="1" ht="15" thickBot="1" x14ac:dyDescent="0.35">
      <c r="B251" s="47"/>
      <c r="C251" s="47"/>
      <c r="D251" s="128" t="str">
        <f t="shared" si="20"/>
        <v/>
      </c>
      <c r="E251" s="48"/>
      <c r="F251" s="256"/>
      <c r="G251" s="257"/>
      <c r="H251" s="152"/>
    </row>
    <row r="252" spans="2:8" s="43" customFormat="1" ht="15" thickBot="1" x14ac:dyDescent="0.35">
      <c r="B252" s="135" t="s">
        <v>43</v>
      </c>
      <c r="C252" s="66">
        <f>SUM(C244:C251)</f>
        <v>36</v>
      </c>
      <c r="D252" s="135" t="str">
        <f xml:space="preserve"> setValueToTime(C252)</f>
        <v>3h</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36</v>
      </c>
      <c r="C254" s="137">
        <v>11</v>
      </c>
      <c r="D254" s="137"/>
      <c r="E254" s="130" t="s">
        <v>37</v>
      </c>
      <c r="F254" s="131" t="s">
        <v>148</v>
      </c>
      <c r="G254" s="132" t="s">
        <v>56</v>
      </c>
      <c r="H254" s="151"/>
    </row>
    <row r="255" spans="2:8" s="39" customFormat="1" ht="30" customHeight="1" thickBot="1" x14ac:dyDescent="0.3">
      <c r="B255" s="61" t="s">
        <v>38</v>
      </c>
      <c r="C255" s="134" t="s">
        <v>39</v>
      </c>
      <c r="D255" s="133"/>
      <c r="E255" s="61" t="s">
        <v>40</v>
      </c>
      <c r="F255" s="266" t="s">
        <v>41</v>
      </c>
      <c r="G255" s="267"/>
      <c r="H255" s="151"/>
    </row>
    <row r="256" spans="2:8" s="43" customFormat="1" ht="27" x14ac:dyDescent="0.3">
      <c r="B256" s="40" t="s">
        <v>30</v>
      </c>
      <c r="C256" s="41">
        <v>3</v>
      </c>
      <c r="D256" s="125" t="str">
        <f xml:space="preserve"> IF(C256="","",setValueToTime(C256))</f>
        <v xml:space="preserve"> 15 min</v>
      </c>
      <c r="E256" s="42"/>
      <c r="F256" s="262"/>
      <c r="G256" s="263"/>
      <c r="H256" s="152"/>
    </row>
    <row r="257" spans="2:8" s="43" customFormat="1" ht="27" x14ac:dyDescent="0.3">
      <c r="B257" s="44" t="s">
        <v>166</v>
      </c>
      <c r="C257" s="45">
        <v>15</v>
      </c>
      <c r="D257" s="126" t="str">
        <f t="shared" ref="D257:D263" si="21" xml:space="preserve"> IF(C257="","",setValueToTime(C257))</f>
        <v>1h 15 min</v>
      </c>
      <c r="E257" s="46" t="s">
        <v>210</v>
      </c>
      <c r="F257" s="254"/>
      <c r="G257" s="255"/>
      <c r="H257" s="152"/>
    </row>
    <row r="258" spans="2:8" s="43" customFormat="1" ht="27" x14ac:dyDescent="0.3">
      <c r="B258" s="44" t="s">
        <v>158</v>
      </c>
      <c r="C258" s="45">
        <v>6</v>
      </c>
      <c r="D258" s="126" t="str">
        <f t="shared" si="21"/>
        <v xml:space="preserve"> 30 min</v>
      </c>
      <c r="E258" s="46" t="s">
        <v>209</v>
      </c>
      <c r="F258" s="254"/>
      <c r="G258" s="255"/>
      <c r="H258" s="152"/>
    </row>
    <row r="259" spans="2:8" s="43" customFormat="1" x14ac:dyDescent="0.3">
      <c r="B259" s="44" t="s">
        <v>49</v>
      </c>
      <c r="C259" s="45">
        <v>3</v>
      </c>
      <c r="D259" s="126" t="str">
        <f t="shared" si="21"/>
        <v xml:space="preserve"> 15 min</v>
      </c>
      <c r="E259" s="46"/>
      <c r="F259" s="254"/>
      <c r="G259" s="255"/>
      <c r="H259" s="152"/>
    </row>
    <row r="260" spans="2:8" s="43" customFormat="1" x14ac:dyDescent="0.3">
      <c r="B260" s="45" t="s">
        <v>201</v>
      </c>
      <c r="C260" s="45">
        <v>15</v>
      </c>
      <c r="D260" s="127" t="str">
        <f t="shared" si="21"/>
        <v>1h 15 min</v>
      </c>
      <c r="E260" s="46" t="s">
        <v>211</v>
      </c>
      <c r="F260" s="254"/>
      <c r="G260" s="255"/>
      <c r="H260" s="152"/>
    </row>
    <row r="261" spans="2:8" s="43" customFormat="1" x14ac:dyDescent="0.3">
      <c r="B261" s="45"/>
      <c r="C261" s="45"/>
      <c r="D261" s="127" t="str">
        <f t="shared" si="21"/>
        <v/>
      </c>
      <c r="E261" s="46"/>
      <c r="F261" s="254"/>
      <c r="G261" s="255"/>
      <c r="H261" s="152"/>
    </row>
    <row r="262" spans="2:8" s="43" customFormat="1" x14ac:dyDescent="0.3">
      <c r="B262" s="45"/>
      <c r="C262" s="45"/>
      <c r="D262" s="127" t="str">
        <f t="shared" si="21"/>
        <v/>
      </c>
      <c r="E262" s="46"/>
      <c r="F262" s="254"/>
      <c r="G262" s="255"/>
      <c r="H262" s="152"/>
    </row>
    <row r="263" spans="2:8" s="43" customFormat="1" ht="15" thickBot="1" x14ac:dyDescent="0.35">
      <c r="B263" s="47"/>
      <c r="C263" s="47"/>
      <c r="D263" s="128" t="str">
        <f t="shared" si="21"/>
        <v/>
      </c>
      <c r="E263" s="48"/>
      <c r="F263" s="256"/>
      <c r="G263" s="257"/>
      <c r="H263" s="152"/>
    </row>
    <row r="264" spans="2:8" s="43" customFormat="1" ht="15" thickBot="1" x14ac:dyDescent="0.35">
      <c r="B264" s="135" t="s">
        <v>43</v>
      </c>
      <c r="C264" s="66">
        <f>SUM(C256:C263)</f>
        <v>42</v>
      </c>
      <c r="D264" s="135" t="str">
        <f xml:space="preserve"> setValueToTime(C264)</f>
        <v>3h 30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36</v>
      </c>
      <c r="C266" s="137">
        <v>10</v>
      </c>
      <c r="D266" s="137"/>
      <c r="E266" s="130" t="s">
        <v>37</v>
      </c>
      <c r="F266" s="131" t="s">
        <v>151</v>
      </c>
      <c r="G266" s="132" t="s">
        <v>55</v>
      </c>
      <c r="H266" s="151"/>
    </row>
    <row r="267" spans="2:8" s="39" customFormat="1" ht="30" customHeight="1" thickBot="1" x14ac:dyDescent="0.3">
      <c r="B267" s="61" t="s">
        <v>38</v>
      </c>
      <c r="C267" s="134" t="s">
        <v>39</v>
      </c>
      <c r="D267" s="133"/>
      <c r="E267" s="61" t="s">
        <v>40</v>
      </c>
      <c r="F267" s="266" t="s">
        <v>41</v>
      </c>
      <c r="G267" s="267"/>
      <c r="H267" s="151"/>
    </row>
    <row r="268" spans="2:8" s="43" customFormat="1" ht="27" x14ac:dyDescent="0.3">
      <c r="B268" s="40" t="s">
        <v>30</v>
      </c>
      <c r="C268" s="41">
        <v>3</v>
      </c>
      <c r="D268" s="125" t="str">
        <f xml:space="preserve"> IF(C268="","",setValueToTime(C268))</f>
        <v xml:space="preserve"> 15 min</v>
      </c>
      <c r="E268" s="42"/>
      <c r="F268" s="262"/>
      <c r="G268" s="263"/>
      <c r="H268" s="152"/>
    </row>
    <row r="269" spans="2:8" s="43" customFormat="1" x14ac:dyDescent="0.3">
      <c r="B269" s="44" t="s">
        <v>201</v>
      </c>
      <c r="C269" s="45">
        <v>20</v>
      </c>
      <c r="D269" s="126" t="str">
        <f t="shared" ref="D269:D275" si="22" xml:space="preserve"> IF(C269="","",setValueToTime(C269))</f>
        <v>1h 40 min</v>
      </c>
      <c r="E269" s="46" t="s">
        <v>228</v>
      </c>
      <c r="F269" s="254"/>
      <c r="G269" s="255"/>
      <c r="H269" s="152"/>
    </row>
    <row r="270" spans="2:8" s="43" customFormat="1" ht="27" x14ac:dyDescent="0.3">
      <c r="B270" s="44" t="s">
        <v>158</v>
      </c>
      <c r="C270" s="45">
        <v>9</v>
      </c>
      <c r="D270" s="126" t="str">
        <f t="shared" si="22"/>
        <v xml:space="preserve"> 45 min</v>
      </c>
      <c r="E270" s="46" t="s">
        <v>212</v>
      </c>
      <c r="F270" s="254"/>
      <c r="G270" s="255"/>
      <c r="H270" s="152"/>
    </row>
    <row r="271" spans="2:8" s="43" customFormat="1" x14ac:dyDescent="0.3">
      <c r="B271" s="44" t="s">
        <v>49</v>
      </c>
      <c r="C271" s="45">
        <v>4</v>
      </c>
      <c r="D271" s="126" t="str">
        <f t="shared" si="22"/>
        <v xml:space="preserve"> 20 min</v>
      </c>
      <c r="E271" s="46" t="s">
        <v>208</v>
      </c>
      <c r="F271" s="254"/>
      <c r="G271" s="255"/>
      <c r="H271" s="152"/>
    </row>
    <row r="272" spans="2:8" s="43" customFormat="1" x14ac:dyDescent="0.3">
      <c r="B272" s="45"/>
      <c r="C272" s="45"/>
      <c r="D272" s="127" t="str">
        <f t="shared" si="22"/>
        <v/>
      </c>
      <c r="E272" s="46"/>
      <c r="F272" s="254"/>
      <c r="G272" s="255"/>
      <c r="H272" s="152"/>
    </row>
    <row r="273" spans="2:8" s="43" customFormat="1" x14ac:dyDescent="0.3">
      <c r="B273" s="45"/>
      <c r="C273" s="45"/>
      <c r="D273" s="127" t="str">
        <f t="shared" si="22"/>
        <v/>
      </c>
      <c r="E273" s="46"/>
      <c r="F273" s="254"/>
      <c r="G273" s="255"/>
      <c r="H273" s="152"/>
    </row>
    <row r="274" spans="2:8" s="43" customFormat="1" x14ac:dyDescent="0.3">
      <c r="B274" s="45"/>
      <c r="C274" s="45"/>
      <c r="D274" s="127" t="str">
        <f t="shared" si="22"/>
        <v/>
      </c>
      <c r="E274" s="46"/>
      <c r="F274" s="254"/>
      <c r="G274" s="255"/>
      <c r="H274" s="152"/>
    </row>
    <row r="275" spans="2:8" s="43" customFormat="1" ht="15" thickBot="1" x14ac:dyDescent="0.35">
      <c r="B275" s="47"/>
      <c r="C275" s="47"/>
      <c r="D275" s="128" t="str">
        <f t="shared" si="22"/>
        <v/>
      </c>
      <c r="E275" s="48"/>
      <c r="F275" s="256"/>
      <c r="G275" s="257"/>
      <c r="H275" s="152"/>
    </row>
    <row r="276" spans="2:8" s="43" customFormat="1" ht="15" thickBot="1" x14ac:dyDescent="0.35">
      <c r="B276" s="135" t="s">
        <v>43</v>
      </c>
      <c r="C276" s="66">
        <f>SUM(C268:C275)</f>
        <v>36</v>
      </c>
      <c r="D276" s="135" t="str">
        <f xml:space="preserve"> setValueToTime(C276)</f>
        <v>3h</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36</v>
      </c>
      <c r="C278" s="137">
        <v>9</v>
      </c>
      <c r="D278" s="137"/>
      <c r="E278" s="130" t="s">
        <v>37</v>
      </c>
      <c r="F278" s="131" t="s">
        <v>151</v>
      </c>
      <c r="G278" s="132" t="s">
        <v>56</v>
      </c>
      <c r="H278" s="151"/>
    </row>
    <row r="279" spans="2:8" s="39" customFormat="1" ht="30" customHeight="1" thickBot="1" x14ac:dyDescent="0.3">
      <c r="B279" s="61" t="s">
        <v>38</v>
      </c>
      <c r="C279" s="134" t="s">
        <v>39</v>
      </c>
      <c r="D279" s="133"/>
      <c r="E279" s="61" t="s">
        <v>40</v>
      </c>
      <c r="F279" s="266" t="s">
        <v>41</v>
      </c>
      <c r="G279" s="267"/>
      <c r="H279" s="151"/>
    </row>
    <row r="280" spans="2:8" s="43" customFormat="1" ht="27" x14ac:dyDescent="0.3">
      <c r="B280" s="40" t="s">
        <v>30</v>
      </c>
      <c r="C280" s="41">
        <v>4</v>
      </c>
      <c r="D280" s="125" t="str">
        <f xml:space="preserve"> IF(C280="","",setValueToTime(C280))</f>
        <v xml:space="preserve"> 20 min</v>
      </c>
      <c r="E280" s="42" t="s">
        <v>205</v>
      </c>
      <c r="F280" s="262"/>
      <c r="G280" s="263"/>
      <c r="H280" s="152"/>
    </row>
    <row r="281" spans="2:8" s="43" customFormat="1" ht="27" x14ac:dyDescent="0.3">
      <c r="B281" s="44" t="s">
        <v>201</v>
      </c>
      <c r="C281" s="45">
        <v>14</v>
      </c>
      <c r="D281" s="126" t="str">
        <f t="shared" ref="D281:D287" si="23" xml:space="preserve"> IF(C281="","",setValueToTime(C281))</f>
        <v>1h 10 min</v>
      </c>
      <c r="E281" s="46" t="s">
        <v>229</v>
      </c>
      <c r="F281" s="254"/>
      <c r="G281" s="255"/>
      <c r="H281" s="152"/>
    </row>
    <row r="282" spans="2:8" s="43" customFormat="1" ht="27" x14ac:dyDescent="0.3">
      <c r="B282" s="44" t="s">
        <v>161</v>
      </c>
      <c r="C282" s="45">
        <v>12</v>
      </c>
      <c r="D282" s="126" t="str">
        <f t="shared" si="23"/>
        <v>1h</v>
      </c>
      <c r="E282" s="46" t="s">
        <v>206</v>
      </c>
      <c r="F282" s="254"/>
      <c r="G282" s="255"/>
      <c r="H282" s="152"/>
    </row>
    <row r="283" spans="2:8" s="43" customFormat="1" ht="27" x14ac:dyDescent="0.3">
      <c r="B283" s="44" t="s">
        <v>158</v>
      </c>
      <c r="C283" s="45">
        <v>12</v>
      </c>
      <c r="D283" s="126" t="str">
        <f t="shared" si="23"/>
        <v>1h</v>
      </c>
      <c r="E283" s="46" t="s">
        <v>207</v>
      </c>
      <c r="F283" s="254"/>
      <c r="G283" s="255"/>
      <c r="H283" s="152"/>
    </row>
    <row r="284" spans="2:8" s="43" customFormat="1" x14ac:dyDescent="0.3">
      <c r="B284" s="45"/>
      <c r="C284" s="45"/>
      <c r="D284" s="127" t="str">
        <f t="shared" si="23"/>
        <v/>
      </c>
      <c r="E284" s="46"/>
      <c r="F284" s="254"/>
      <c r="G284" s="255"/>
      <c r="H284" s="152"/>
    </row>
    <row r="285" spans="2:8" s="43" customFormat="1" x14ac:dyDescent="0.3">
      <c r="B285" s="45"/>
      <c r="C285" s="45"/>
      <c r="D285" s="127" t="str">
        <f t="shared" si="23"/>
        <v/>
      </c>
      <c r="E285" s="46"/>
      <c r="F285" s="254"/>
      <c r="G285" s="255"/>
      <c r="H285" s="152"/>
    </row>
    <row r="286" spans="2:8" s="43" customFormat="1" x14ac:dyDescent="0.3">
      <c r="B286" s="45"/>
      <c r="C286" s="45"/>
      <c r="D286" s="127" t="str">
        <f t="shared" si="23"/>
        <v/>
      </c>
      <c r="E286" s="46"/>
      <c r="F286" s="254"/>
      <c r="G286" s="255"/>
      <c r="H286" s="152"/>
    </row>
    <row r="287" spans="2:8" s="43" customFormat="1" ht="15" thickBot="1" x14ac:dyDescent="0.35">
      <c r="B287" s="47"/>
      <c r="C287" s="47"/>
      <c r="D287" s="128" t="str">
        <f t="shared" si="23"/>
        <v/>
      </c>
      <c r="E287" s="48"/>
      <c r="F287" s="256"/>
      <c r="G287" s="257"/>
      <c r="H287" s="152"/>
    </row>
    <row r="288" spans="2:8" s="43" customFormat="1" ht="15" thickBot="1" x14ac:dyDescent="0.35">
      <c r="B288" s="135" t="s">
        <v>43</v>
      </c>
      <c r="C288" s="66">
        <f>SUM(C280:C287)</f>
        <v>42</v>
      </c>
      <c r="D288" s="135" t="str">
        <f xml:space="preserve"> setValueToTime(C288)</f>
        <v>3h 30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36</v>
      </c>
      <c r="C290" s="137">
        <v>8</v>
      </c>
      <c r="D290" s="137"/>
      <c r="E290" s="130" t="s">
        <v>37</v>
      </c>
      <c r="F290" s="131" t="s">
        <v>65</v>
      </c>
      <c r="G290" s="132" t="s">
        <v>55</v>
      </c>
      <c r="H290" s="151"/>
    </row>
    <row r="291" spans="2:8" s="39" customFormat="1" ht="30" customHeight="1" thickBot="1" x14ac:dyDescent="0.3">
      <c r="B291" s="61" t="s">
        <v>38</v>
      </c>
      <c r="C291" s="134" t="s">
        <v>39</v>
      </c>
      <c r="D291" s="133"/>
      <c r="E291" s="61" t="s">
        <v>40</v>
      </c>
      <c r="F291" s="266" t="s">
        <v>41</v>
      </c>
      <c r="G291" s="267"/>
      <c r="H291" s="151"/>
    </row>
    <row r="292" spans="2:8" s="43" customFormat="1" ht="27" x14ac:dyDescent="0.3">
      <c r="B292" s="40" t="s">
        <v>30</v>
      </c>
      <c r="C292" s="41">
        <v>3</v>
      </c>
      <c r="D292" s="125" t="str">
        <f xml:space="preserve"> IF(C292="","",setValueToTime(C292))</f>
        <v xml:space="preserve"> 15 min</v>
      </c>
      <c r="E292" s="42"/>
      <c r="F292" s="262"/>
      <c r="G292" s="263"/>
      <c r="H292" s="152"/>
    </row>
    <row r="293" spans="2:8" s="43" customFormat="1" x14ac:dyDescent="0.3">
      <c r="B293" s="44" t="s">
        <v>201</v>
      </c>
      <c r="C293" s="45">
        <v>20</v>
      </c>
      <c r="D293" s="126" t="str">
        <f t="shared" ref="D293:D299" si="24" xml:space="preserve"> IF(C293="","",setValueToTime(C293))</f>
        <v>1h 40 min</v>
      </c>
      <c r="E293" s="46" t="s">
        <v>230</v>
      </c>
      <c r="F293" s="254"/>
      <c r="G293" s="255"/>
      <c r="H293" s="152"/>
    </row>
    <row r="294" spans="2:8" s="43" customFormat="1" ht="27" x14ac:dyDescent="0.3">
      <c r="B294" s="44" t="s">
        <v>161</v>
      </c>
      <c r="C294" s="45">
        <v>10</v>
      </c>
      <c r="D294" s="126" t="str">
        <f t="shared" si="24"/>
        <v xml:space="preserve"> 50 min</v>
      </c>
      <c r="E294" s="46" t="s">
        <v>203</v>
      </c>
      <c r="F294" s="254"/>
      <c r="G294" s="255"/>
      <c r="H294" s="152"/>
    </row>
    <row r="295" spans="2:8" s="43" customFormat="1" x14ac:dyDescent="0.3">
      <c r="B295" s="44" t="s">
        <v>47</v>
      </c>
      <c r="C295" s="45">
        <v>3</v>
      </c>
      <c r="D295" s="126" t="str">
        <f t="shared" si="24"/>
        <v xml:space="preserve"> 15 min</v>
      </c>
      <c r="E295" s="46" t="s">
        <v>202</v>
      </c>
      <c r="F295" s="254"/>
      <c r="G295" s="255"/>
      <c r="H295" s="152"/>
    </row>
    <row r="296" spans="2:8" s="43" customFormat="1" ht="27" x14ac:dyDescent="0.3">
      <c r="B296" s="45" t="s">
        <v>158</v>
      </c>
      <c r="C296" s="45">
        <v>6</v>
      </c>
      <c r="D296" s="127" t="str">
        <f t="shared" si="24"/>
        <v xml:space="preserve"> 30 min</v>
      </c>
      <c r="E296" s="46" t="s">
        <v>204</v>
      </c>
      <c r="F296" s="254"/>
      <c r="G296" s="255"/>
      <c r="H296" s="152"/>
    </row>
    <row r="297" spans="2:8" s="43" customFormat="1" x14ac:dyDescent="0.3">
      <c r="B297" s="45"/>
      <c r="C297" s="45"/>
      <c r="D297" s="127" t="str">
        <f t="shared" si="24"/>
        <v/>
      </c>
      <c r="E297" s="46"/>
      <c r="F297" s="254"/>
      <c r="G297" s="255"/>
      <c r="H297" s="152"/>
    </row>
    <row r="298" spans="2:8" s="43" customFormat="1" x14ac:dyDescent="0.3">
      <c r="B298" s="45"/>
      <c r="C298" s="45"/>
      <c r="D298" s="127" t="str">
        <f t="shared" si="24"/>
        <v/>
      </c>
      <c r="E298" s="46"/>
      <c r="F298" s="254"/>
      <c r="G298" s="255"/>
      <c r="H298" s="152"/>
    </row>
    <row r="299" spans="2:8" s="43" customFormat="1" ht="15" thickBot="1" x14ac:dyDescent="0.35">
      <c r="B299" s="47"/>
      <c r="C299" s="47"/>
      <c r="D299" s="128" t="str">
        <f t="shared" si="24"/>
        <v/>
      </c>
      <c r="E299" s="48"/>
      <c r="F299" s="256"/>
      <c r="G299" s="257"/>
      <c r="H299" s="152"/>
    </row>
    <row r="300" spans="2:8" s="43" customFormat="1" ht="15" thickBot="1" x14ac:dyDescent="0.35">
      <c r="B300" s="135" t="s">
        <v>43</v>
      </c>
      <c r="C300" s="66">
        <f>SUM(C292:C299)</f>
        <v>42</v>
      </c>
      <c r="D300" s="135" t="str">
        <f xml:space="preserve"> setValueToTime(C300)</f>
        <v>3h 30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36</v>
      </c>
      <c r="C302" s="137">
        <v>7</v>
      </c>
      <c r="D302" s="137"/>
      <c r="E302" s="130" t="s">
        <v>37</v>
      </c>
      <c r="F302" s="131" t="s">
        <v>65</v>
      </c>
      <c r="G302" s="132" t="s">
        <v>56</v>
      </c>
      <c r="H302" s="151"/>
    </row>
    <row r="303" spans="2:8" s="39" customFormat="1" ht="30" customHeight="1" thickBot="1" x14ac:dyDescent="0.3">
      <c r="B303" s="61" t="s">
        <v>38</v>
      </c>
      <c r="C303" s="134" t="s">
        <v>39</v>
      </c>
      <c r="D303" s="133"/>
      <c r="E303" s="61" t="s">
        <v>40</v>
      </c>
      <c r="F303" s="266" t="s">
        <v>41</v>
      </c>
      <c r="G303" s="267"/>
      <c r="H303" s="151"/>
    </row>
    <row r="304" spans="2:8" s="43" customFormat="1" ht="27" x14ac:dyDescent="0.3">
      <c r="B304" s="40" t="s">
        <v>30</v>
      </c>
      <c r="C304" s="41">
        <v>3</v>
      </c>
      <c r="D304" s="125" t="str">
        <f xml:space="preserve"> IF(C304="","",setValueToTime(C304))</f>
        <v xml:space="preserve"> 15 min</v>
      </c>
      <c r="E304" s="42"/>
      <c r="F304" s="262"/>
      <c r="G304" s="263"/>
      <c r="H304" s="152"/>
    </row>
    <row r="305" spans="2:8" s="43" customFormat="1" ht="27" x14ac:dyDescent="0.3">
      <c r="B305" s="44" t="s">
        <v>168</v>
      </c>
      <c r="C305" s="45">
        <v>10</v>
      </c>
      <c r="D305" s="126" t="str">
        <f t="shared" ref="D305:D311" si="25" xml:space="preserve"> IF(C305="","",setValueToTime(C305))</f>
        <v xml:space="preserve"> 50 min</v>
      </c>
      <c r="E305" s="46" t="s">
        <v>194</v>
      </c>
      <c r="F305" s="254"/>
      <c r="G305" s="255"/>
      <c r="H305" s="152"/>
    </row>
    <row r="306" spans="2:8" s="43" customFormat="1" ht="27" x14ac:dyDescent="0.3">
      <c r="B306" s="44" t="s">
        <v>158</v>
      </c>
      <c r="C306" s="45">
        <v>15</v>
      </c>
      <c r="D306" s="126" t="str">
        <f t="shared" si="25"/>
        <v>1h 15 min</v>
      </c>
      <c r="E306" s="46" t="s">
        <v>200</v>
      </c>
      <c r="F306" s="254"/>
      <c r="G306" s="255"/>
      <c r="H306" s="152"/>
    </row>
    <row r="307" spans="2:8" s="43" customFormat="1" x14ac:dyDescent="0.3">
      <c r="B307" s="44" t="s">
        <v>201</v>
      </c>
      <c r="C307" s="45">
        <v>14</v>
      </c>
      <c r="D307" s="126" t="str">
        <f t="shared" si="25"/>
        <v>1h 10 min</v>
      </c>
      <c r="E307" s="46" t="s">
        <v>231</v>
      </c>
      <c r="F307" s="254"/>
      <c r="G307" s="255"/>
      <c r="H307" s="152"/>
    </row>
    <row r="308" spans="2:8" s="43" customFormat="1" x14ac:dyDescent="0.3">
      <c r="B308" s="45"/>
      <c r="C308" s="45"/>
      <c r="D308" s="127" t="str">
        <f t="shared" si="25"/>
        <v/>
      </c>
      <c r="E308" s="46"/>
      <c r="F308" s="254"/>
      <c r="G308" s="255"/>
      <c r="H308" s="152"/>
    </row>
    <row r="309" spans="2:8" s="43" customFormat="1" x14ac:dyDescent="0.3">
      <c r="B309" s="45"/>
      <c r="C309" s="45"/>
      <c r="D309" s="127" t="str">
        <f t="shared" si="25"/>
        <v/>
      </c>
      <c r="E309" s="46"/>
      <c r="F309" s="254"/>
      <c r="G309" s="255"/>
      <c r="H309" s="152"/>
    </row>
    <row r="310" spans="2:8" s="43" customFormat="1" x14ac:dyDescent="0.3">
      <c r="B310" s="45"/>
      <c r="C310" s="45"/>
      <c r="D310" s="127" t="str">
        <f t="shared" si="25"/>
        <v/>
      </c>
      <c r="E310" s="46"/>
      <c r="F310" s="254"/>
      <c r="G310" s="255"/>
      <c r="H310" s="152"/>
    </row>
    <row r="311" spans="2:8" s="43" customFormat="1" ht="15" thickBot="1" x14ac:dyDescent="0.35">
      <c r="B311" s="47"/>
      <c r="C311" s="47"/>
      <c r="D311" s="128" t="str">
        <f t="shared" si="25"/>
        <v/>
      </c>
      <c r="E311" s="48"/>
      <c r="F311" s="256"/>
      <c r="G311" s="257"/>
      <c r="H311" s="152"/>
    </row>
    <row r="312" spans="2:8" s="43" customFormat="1" ht="15" thickBot="1" x14ac:dyDescent="0.35">
      <c r="B312" s="135" t="s">
        <v>43</v>
      </c>
      <c r="C312" s="66">
        <f>SUM(C304:C311)</f>
        <v>42</v>
      </c>
      <c r="D312" s="135" t="str">
        <f xml:space="preserve"> setValueToTime(C312)</f>
        <v>3h 30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36</v>
      </c>
      <c r="C314" s="137">
        <v>6</v>
      </c>
      <c r="D314" s="137"/>
      <c r="E314" s="130" t="s">
        <v>37</v>
      </c>
      <c r="F314" s="131" t="s">
        <v>68</v>
      </c>
      <c r="G314" s="132" t="s">
        <v>55</v>
      </c>
      <c r="H314" s="151"/>
    </row>
    <row r="315" spans="2:8" s="39" customFormat="1" ht="30" customHeight="1" thickBot="1" x14ac:dyDescent="0.3">
      <c r="B315" s="61" t="s">
        <v>38</v>
      </c>
      <c r="C315" s="134" t="s">
        <v>39</v>
      </c>
      <c r="D315" s="133"/>
      <c r="E315" s="61" t="s">
        <v>40</v>
      </c>
      <c r="F315" s="266" t="s">
        <v>41</v>
      </c>
      <c r="G315" s="267"/>
      <c r="H315" s="151"/>
    </row>
    <row r="316" spans="2:8" s="43" customFormat="1" x14ac:dyDescent="0.3">
      <c r="B316" s="40" t="s">
        <v>167</v>
      </c>
      <c r="C316" s="41">
        <v>6</v>
      </c>
      <c r="D316" s="125" t="str">
        <f xml:space="preserve"> IF(C316="","",setValueToTime(C316))</f>
        <v xml:space="preserve"> 30 min</v>
      </c>
      <c r="E316" s="42" t="s">
        <v>196</v>
      </c>
      <c r="F316" s="262"/>
      <c r="G316" s="263"/>
      <c r="H316" s="152"/>
    </row>
    <row r="317" spans="2:8" s="43" customFormat="1" ht="27" x14ac:dyDescent="0.3">
      <c r="B317" s="44" t="s">
        <v>49</v>
      </c>
      <c r="C317" s="45">
        <v>6</v>
      </c>
      <c r="D317" s="126" t="str">
        <f t="shared" ref="D317:D323" si="26" xml:space="preserve"> IF(C317="","",setValueToTime(C317))</f>
        <v xml:space="preserve"> 30 min</v>
      </c>
      <c r="E317" s="46" t="s">
        <v>195</v>
      </c>
      <c r="F317" s="254"/>
      <c r="G317" s="255"/>
      <c r="H317" s="152"/>
    </row>
    <row r="318" spans="2:8" s="43" customFormat="1" ht="27" x14ac:dyDescent="0.3">
      <c r="B318" s="44" t="s">
        <v>30</v>
      </c>
      <c r="C318" s="45">
        <v>3</v>
      </c>
      <c r="D318" s="126" t="str">
        <f t="shared" si="26"/>
        <v xml:space="preserve"> 15 min</v>
      </c>
      <c r="E318" s="46" t="s">
        <v>198</v>
      </c>
      <c r="F318" s="254"/>
      <c r="G318" s="255"/>
      <c r="H318" s="152"/>
    </row>
    <row r="319" spans="2:8" s="43" customFormat="1" ht="27" x14ac:dyDescent="0.3">
      <c r="B319" s="44" t="s">
        <v>158</v>
      </c>
      <c r="C319" s="45">
        <v>12</v>
      </c>
      <c r="D319" s="126" t="str">
        <f t="shared" si="26"/>
        <v>1h</v>
      </c>
      <c r="E319" s="46" t="s">
        <v>197</v>
      </c>
      <c r="F319" s="254"/>
      <c r="G319" s="255"/>
      <c r="H319" s="152"/>
    </row>
    <row r="320" spans="2:8" s="43" customFormat="1" x14ac:dyDescent="0.3">
      <c r="B320" s="45"/>
      <c r="C320" s="45"/>
      <c r="D320" s="127" t="str">
        <f t="shared" si="26"/>
        <v/>
      </c>
      <c r="E320" s="46"/>
      <c r="F320" s="254"/>
      <c r="G320" s="255"/>
      <c r="H320" s="152"/>
    </row>
    <row r="321" spans="2:8" s="43" customFormat="1" x14ac:dyDescent="0.3">
      <c r="B321" s="45"/>
      <c r="C321" s="45"/>
      <c r="D321" s="127" t="str">
        <f t="shared" si="26"/>
        <v/>
      </c>
      <c r="E321" s="46"/>
      <c r="F321" s="254"/>
      <c r="G321" s="255"/>
      <c r="H321" s="152"/>
    </row>
    <row r="322" spans="2:8" s="43" customFormat="1" x14ac:dyDescent="0.3">
      <c r="B322" s="45"/>
      <c r="C322" s="45"/>
      <c r="D322" s="127" t="str">
        <f t="shared" si="26"/>
        <v/>
      </c>
      <c r="E322" s="46"/>
      <c r="F322" s="254"/>
      <c r="G322" s="255"/>
      <c r="H322" s="152"/>
    </row>
    <row r="323" spans="2:8" s="43" customFormat="1" ht="15" thickBot="1" x14ac:dyDescent="0.35">
      <c r="B323" s="47"/>
      <c r="C323" s="47"/>
      <c r="D323" s="128" t="str">
        <f t="shared" si="26"/>
        <v/>
      </c>
      <c r="E323" s="48"/>
      <c r="F323" s="256"/>
      <c r="G323" s="257"/>
      <c r="H323" s="152"/>
    </row>
    <row r="324" spans="2:8" s="43" customFormat="1" ht="15" thickBot="1" x14ac:dyDescent="0.35">
      <c r="B324" s="135" t="s">
        <v>43</v>
      </c>
      <c r="C324" s="66">
        <f>SUM(C316:C323)</f>
        <v>27</v>
      </c>
      <c r="D324" s="135" t="str">
        <f xml:space="preserve"> setValueToTime(C324)</f>
        <v>2h 15 min</v>
      </c>
      <c r="E324" s="96"/>
      <c r="F324" s="264"/>
      <c r="G324" s="265"/>
      <c r="H324" s="152"/>
    </row>
    <row r="325" spans="2:8" s="43" customFormat="1" ht="15" thickBot="1" x14ac:dyDescent="0.35">
      <c r="B325" s="60"/>
      <c r="C325" s="60"/>
      <c r="D325" s="60"/>
      <c r="E325" s="60"/>
      <c r="F325" s="60"/>
      <c r="G325" s="60"/>
      <c r="H325" s="152"/>
    </row>
    <row r="326" spans="2:8" s="39" customFormat="1" ht="30" customHeight="1" thickBot="1" x14ac:dyDescent="0.3">
      <c r="B326" s="129" t="s">
        <v>36</v>
      </c>
      <c r="C326" s="137">
        <v>5</v>
      </c>
      <c r="D326" s="137"/>
      <c r="E326" s="130" t="s">
        <v>37</v>
      </c>
      <c r="F326" s="131" t="s">
        <v>68</v>
      </c>
      <c r="G326" s="132" t="s">
        <v>56</v>
      </c>
      <c r="H326" s="151"/>
    </row>
    <row r="327" spans="2:8" s="39" customFormat="1" ht="30" customHeight="1" thickBot="1" x14ac:dyDescent="0.3">
      <c r="B327" s="61" t="s">
        <v>38</v>
      </c>
      <c r="C327" s="134" t="s">
        <v>39</v>
      </c>
      <c r="D327" s="133"/>
      <c r="E327" s="61" t="s">
        <v>40</v>
      </c>
      <c r="F327" s="266" t="s">
        <v>41</v>
      </c>
      <c r="G327" s="267"/>
      <c r="H327" s="151"/>
    </row>
    <row r="328" spans="2:8" s="43" customFormat="1" ht="27" x14ac:dyDescent="0.3">
      <c r="B328" s="40" t="s">
        <v>30</v>
      </c>
      <c r="C328" s="41">
        <v>8</v>
      </c>
      <c r="D328" s="125" t="str">
        <f xml:space="preserve"> IF(C328="","",setValueToTime(C328))</f>
        <v xml:space="preserve"> 40 min</v>
      </c>
      <c r="E328" s="42" t="s">
        <v>193</v>
      </c>
      <c r="F328" s="262"/>
      <c r="G328" s="263"/>
      <c r="H328" s="152"/>
    </row>
    <row r="329" spans="2:8" s="43" customFormat="1" x14ac:dyDescent="0.3">
      <c r="B329" s="44" t="s">
        <v>31</v>
      </c>
      <c r="C329" s="45">
        <v>16</v>
      </c>
      <c r="D329" s="126" t="str">
        <f t="shared" ref="D329:D335" si="27" xml:space="preserve"> IF(C329="","",setValueToTime(C329))</f>
        <v>1h 20 min</v>
      </c>
      <c r="E329" s="46" t="s">
        <v>192</v>
      </c>
      <c r="F329" s="254"/>
      <c r="G329" s="255"/>
      <c r="H329" s="152"/>
    </row>
    <row r="330" spans="2:8" s="43" customFormat="1" ht="27" x14ac:dyDescent="0.3">
      <c r="B330" s="44" t="s">
        <v>158</v>
      </c>
      <c r="C330" s="45">
        <v>12</v>
      </c>
      <c r="D330" s="126" t="str">
        <f t="shared" si="27"/>
        <v>1h</v>
      </c>
      <c r="E330" s="46" t="s">
        <v>172</v>
      </c>
      <c r="F330" s="254"/>
      <c r="G330" s="255"/>
      <c r="H330" s="152"/>
    </row>
    <row r="331" spans="2:8" s="43" customFormat="1" x14ac:dyDescent="0.3">
      <c r="B331" s="44" t="s">
        <v>109</v>
      </c>
      <c r="C331" s="45">
        <v>6</v>
      </c>
      <c r="D331" s="126" t="str">
        <f t="shared" si="27"/>
        <v xml:space="preserve"> 30 min</v>
      </c>
      <c r="E331" s="46" t="s">
        <v>199</v>
      </c>
      <c r="F331" s="254"/>
      <c r="G331" s="255"/>
      <c r="H331" s="152"/>
    </row>
    <row r="332" spans="2:8" s="43" customFormat="1" x14ac:dyDescent="0.3">
      <c r="B332" s="45"/>
      <c r="C332" s="45"/>
      <c r="D332" s="127" t="str">
        <f t="shared" si="27"/>
        <v/>
      </c>
      <c r="E332" s="46"/>
      <c r="F332" s="254"/>
      <c r="G332" s="255"/>
      <c r="H332" s="152"/>
    </row>
    <row r="333" spans="2:8" s="43" customFormat="1" x14ac:dyDescent="0.3">
      <c r="B333" s="45"/>
      <c r="C333" s="45"/>
      <c r="D333" s="127" t="str">
        <f t="shared" si="27"/>
        <v/>
      </c>
      <c r="E333" s="46"/>
      <c r="F333" s="254"/>
      <c r="G333" s="255"/>
      <c r="H333" s="152"/>
    </row>
    <row r="334" spans="2:8" s="43" customFormat="1" x14ac:dyDescent="0.3">
      <c r="B334" s="45"/>
      <c r="C334" s="45"/>
      <c r="D334" s="127" t="str">
        <f t="shared" si="27"/>
        <v/>
      </c>
      <c r="E334" s="46"/>
      <c r="F334" s="254"/>
      <c r="G334" s="255"/>
      <c r="H334" s="152"/>
    </row>
    <row r="335" spans="2:8" s="43" customFormat="1" ht="15" thickBot="1" x14ac:dyDescent="0.35">
      <c r="B335" s="47"/>
      <c r="C335" s="47"/>
      <c r="D335" s="128" t="str">
        <f t="shared" si="27"/>
        <v/>
      </c>
      <c r="E335" s="48"/>
      <c r="F335" s="256"/>
      <c r="G335" s="257"/>
      <c r="H335" s="152"/>
    </row>
    <row r="336" spans="2:8" s="43" customFormat="1" ht="15" thickBot="1" x14ac:dyDescent="0.35">
      <c r="B336" s="135" t="s">
        <v>43</v>
      </c>
      <c r="C336" s="66">
        <f>SUM(C328:C335)</f>
        <v>42</v>
      </c>
      <c r="D336" s="135" t="str">
        <f xml:space="preserve"> setValueToTime(C336)</f>
        <v>3h 30 min</v>
      </c>
      <c r="E336" s="96"/>
      <c r="F336" s="264"/>
      <c r="G336" s="265"/>
      <c r="H336" s="152"/>
    </row>
    <row r="337" spans="2:8" s="43" customFormat="1" ht="15" thickBot="1" x14ac:dyDescent="0.35">
      <c r="B337" s="60"/>
      <c r="C337" s="60"/>
      <c r="D337" s="60"/>
      <c r="E337" s="60"/>
      <c r="F337" s="60"/>
      <c r="G337" s="60"/>
      <c r="H337" s="152"/>
    </row>
    <row r="338" spans="2:8" s="39" customFormat="1" ht="30" customHeight="1" thickBot="1" x14ac:dyDescent="0.3">
      <c r="B338" s="129" t="s">
        <v>36</v>
      </c>
      <c r="C338" s="137">
        <v>4</v>
      </c>
      <c r="D338" s="137"/>
      <c r="E338" s="130" t="s">
        <v>37</v>
      </c>
      <c r="F338" s="131" t="s">
        <v>71</v>
      </c>
      <c r="G338" s="132" t="s">
        <v>55</v>
      </c>
      <c r="H338" s="151"/>
    </row>
    <row r="339" spans="2:8" s="39" customFormat="1" ht="30" customHeight="1" thickBot="1" x14ac:dyDescent="0.3">
      <c r="B339" s="61" t="s">
        <v>38</v>
      </c>
      <c r="C339" s="134" t="s">
        <v>39</v>
      </c>
      <c r="D339" s="133"/>
      <c r="E339" s="61" t="s">
        <v>40</v>
      </c>
      <c r="F339" s="266" t="s">
        <v>41</v>
      </c>
      <c r="G339" s="267"/>
      <c r="H339" s="151"/>
    </row>
    <row r="340" spans="2:8" s="43" customFormat="1" ht="27" x14ac:dyDescent="0.3">
      <c r="B340" s="44" t="s">
        <v>30</v>
      </c>
      <c r="C340" s="45">
        <v>2</v>
      </c>
      <c r="D340" s="126" t="str">
        <f t="shared" ref="D340:D342" si="28" xml:space="preserve"> IF(C340="","",setValueToTime(C340))</f>
        <v xml:space="preserve"> 10 min</v>
      </c>
      <c r="E340" s="46" t="s">
        <v>120</v>
      </c>
      <c r="F340" s="262"/>
      <c r="G340" s="263"/>
      <c r="H340" s="152"/>
    </row>
    <row r="341" spans="2:8" s="43" customFormat="1" ht="27" x14ac:dyDescent="0.3">
      <c r="B341" s="44" t="s">
        <v>44</v>
      </c>
      <c r="C341" s="45">
        <v>10</v>
      </c>
      <c r="D341" s="126" t="str">
        <f t="shared" si="28"/>
        <v xml:space="preserve"> 50 min</v>
      </c>
      <c r="E341" s="46" t="s">
        <v>187</v>
      </c>
      <c r="F341" s="254"/>
      <c r="G341" s="255"/>
      <c r="H341" s="152"/>
    </row>
    <row r="342" spans="2:8" s="43" customFormat="1" ht="27" x14ac:dyDescent="0.3">
      <c r="B342" s="44" t="s">
        <v>48</v>
      </c>
      <c r="C342" s="45">
        <v>12</v>
      </c>
      <c r="D342" s="126" t="str">
        <f t="shared" si="28"/>
        <v>1h</v>
      </c>
      <c r="E342" s="46" t="s">
        <v>130</v>
      </c>
      <c r="F342" s="254"/>
      <c r="G342" s="255"/>
      <c r="H342" s="152"/>
    </row>
    <row r="343" spans="2:8" s="43" customFormat="1" x14ac:dyDescent="0.3">
      <c r="B343" s="44" t="s">
        <v>31</v>
      </c>
      <c r="C343" s="45">
        <v>6</v>
      </c>
      <c r="D343" s="126" t="str">
        <f t="shared" ref="D343:D347" si="29" xml:space="preserve"> IF(C343="","",setValueToTime(C343))</f>
        <v xml:space="preserve"> 30 min</v>
      </c>
      <c r="E343" s="46" t="s">
        <v>188</v>
      </c>
      <c r="F343" s="254"/>
      <c r="G343" s="255"/>
      <c r="H343" s="152"/>
    </row>
    <row r="344" spans="2:8" s="43" customFormat="1" x14ac:dyDescent="0.3">
      <c r="B344" s="45"/>
      <c r="C344" s="45"/>
      <c r="D344" s="127" t="str">
        <f t="shared" si="29"/>
        <v/>
      </c>
      <c r="E344" s="46"/>
      <c r="F344" s="254"/>
      <c r="G344" s="255"/>
      <c r="H344" s="152"/>
    </row>
    <row r="345" spans="2:8" s="43" customFormat="1" x14ac:dyDescent="0.3">
      <c r="B345" s="45"/>
      <c r="C345" s="45"/>
      <c r="D345" s="127" t="str">
        <f t="shared" si="29"/>
        <v/>
      </c>
      <c r="E345" s="46"/>
      <c r="F345" s="254"/>
      <c r="G345" s="255"/>
      <c r="H345" s="152"/>
    </row>
    <row r="346" spans="2:8" s="43" customFormat="1" x14ac:dyDescent="0.3">
      <c r="B346" s="45"/>
      <c r="C346" s="45"/>
      <c r="D346" s="127" t="str">
        <f t="shared" si="29"/>
        <v/>
      </c>
      <c r="E346" s="46"/>
      <c r="F346" s="254"/>
      <c r="G346" s="255"/>
      <c r="H346" s="152"/>
    </row>
    <row r="347" spans="2:8" s="43" customFormat="1" ht="15" thickBot="1" x14ac:dyDescent="0.35">
      <c r="B347" s="47"/>
      <c r="C347" s="47"/>
      <c r="D347" s="128" t="str">
        <f t="shared" si="29"/>
        <v/>
      </c>
      <c r="E347" s="48"/>
      <c r="F347" s="256"/>
      <c r="G347" s="257"/>
      <c r="H347" s="152"/>
    </row>
    <row r="348" spans="2:8" s="43" customFormat="1" ht="15" thickBot="1" x14ac:dyDescent="0.35">
      <c r="B348" s="135" t="s">
        <v>43</v>
      </c>
      <c r="C348" s="66">
        <f>SUM(C340:C347)</f>
        <v>30</v>
      </c>
      <c r="D348" s="135" t="str">
        <f xml:space="preserve"> setValueToTime(C348)</f>
        <v>2h 30 min</v>
      </c>
      <c r="E348" s="96"/>
      <c r="F348" s="264"/>
      <c r="G348" s="265"/>
      <c r="H348" s="152"/>
    </row>
    <row r="349" spans="2:8" s="43" customFormat="1" ht="15" thickBot="1" x14ac:dyDescent="0.35">
      <c r="B349" s="60"/>
      <c r="C349" s="60"/>
      <c r="D349" s="60"/>
      <c r="E349" s="60"/>
      <c r="F349" s="60"/>
      <c r="G349" s="60"/>
      <c r="H349" s="152"/>
    </row>
    <row r="350" spans="2:8" s="39" customFormat="1" ht="30" customHeight="1" thickBot="1" x14ac:dyDescent="0.3">
      <c r="B350" s="129" t="s">
        <v>36</v>
      </c>
      <c r="C350" s="137">
        <v>3</v>
      </c>
      <c r="D350" s="137"/>
      <c r="E350" s="130" t="s">
        <v>37</v>
      </c>
      <c r="F350" s="131" t="s">
        <v>71</v>
      </c>
      <c r="G350" s="132" t="s">
        <v>56</v>
      </c>
      <c r="H350" s="151"/>
    </row>
    <row r="351" spans="2:8" s="39" customFormat="1" ht="30" customHeight="1" thickBot="1" x14ac:dyDescent="0.3">
      <c r="B351" s="61" t="s">
        <v>38</v>
      </c>
      <c r="C351" s="134" t="s">
        <v>39</v>
      </c>
      <c r="D351" s="133"/>
      <c r="E351" s="61" t="s">
        <v>40</v>
      </c>
      <c r="F351" s="266" t="s">
        <v>41</v>
      </c>
      <c r="G351" s="267"/>
      <c r="H351" s="151"/>
    </row>
    <row r="352" spans="2:8" s="43" customFormat="1" ht="27" x14ac:dyDescent="0.3">
      <c r="B352" s="44" t="s">
        <v>30</v>
      </c>
      <c r="C352" s="45">
        <v>3</v>
      </c>
      <c r="D352" s="126" t="str">
        <f t="shared" ref="D352:D353" si="30" xml:space="preserve"> IF(C352="","",setValueToTime(C352))</f>
        <v xml:space="preserve"> 15 min</v>
      </c>
      <c r="E352" s="46" t="s">
        <v>120</v>
      </c>
      <c r="F352" s="262"/>
      <c r="G352" s="263"/>
      <c r="H352" s="152"/>
    </row>
    <row r="353" spans="2:8" s="43" customFormat="1" ht="27" x14ac:dyDescent="0.3">
      <c r="B353" s="45" t="s">
        <v>45</v>
      </c>
      <c r="C353" s="45">
        <v>21</v>
      </c>
      <c r="D353" s="127" t="str">
        <f t="shared" si="30"/>
        <v>1h 45 min</v>
      </c>
      <c r="E353" t="s">
        <v>123</v>
      </c>
      <c r="F353" s="254"/>
      <c r="G353" s="255"/>
      <c r="H353" s="152"/>
    </row>
    <row r="354" spans="2:8" s="43" customFormat="1" x14ac:dyDescent="0.3">
      <c r="B354" s="44" t="s">
        <v>27</v>
      </c>
      <c r="C354" s="45">
        <v>9</v>
      </c>
      <c r="D354" s="126" t="str">
        <f t="shared" ref="D354:D359" si="31" xml:space="preserve"> IF(C354="","",setValueToTime(C354))</f>
        <v xml:space="preserve"> 45 min</v>
      </c>
      <c r="E354" s="46" t="s">
        <v>129</v>
      </c>
      <c r="F354" s="254"/>
      <c r="G354" s="255"/>
      <c r="H354" s="152"/>
    </row>
    <row r="355" spans="2:8" s="43" customFormat="1" ht="27" x14ac:dyDescent="0.3">
      <c r="B355" s="44" t="s">
        <v>44</v>
      </c>
      <c r="C355" s="45">
        <v>9</v>
      </c>
      <c r="D355" s="126" t="str">
        <f t="shared" si="31"/>
        <v xml:space="preserve"> 45 min</v>
      </c>
      <c r="E355" s="46" t="s">
        <v>187</v>
      </c>
      <c r="F355" s="254"/>
      <c r="G355" s="255"/>
      <c r="H355" s="152"/>
    </row>
    <row r="356" spans="2:8" s="43" customFormat="1" x14ac:dyDescent="0.3">
      <c r="B356" s="45"/>
      <c r="C356" s="45"/>
      <c r="D356" s="127" t="str">
        <f t="shared" si="31"/>
        <v/>
      </c>
      <c r="E356" s="46"/>
      <c r="F356" s="254"/>
      <c r="G356" s="255"/>
      <c r="H356" s="152"/>
    </row>
    <row r="357" spans="2:8" s="43" customFormat="1" x14ac:dyDescent="0.3">
      <c r="B357" s="45"/>
      <c r="C357" s="45"/>
      <c r="D357" s="127" t="str">
        <f t="shared" si="31"/>
        <v/>
      </c>
      <c r="E357" s="46"/>
      <c r="F357" s="254"/>
      <c r="G357" s="255"/>
      <c r="H357" s="152"/>
    </row>
    <row r="358" spans="2:8" s="43" customFormat="1" x14ac:dyDescent="0.3">
      <c r="B358" s="45"/>
      <c r="C358" s="45"/>
      <c r="D358" s="127" t="str">
        <f t="shared" si="31"/>
        <v/>
      </c>
      <c r="E358" s="46"/>
      <c r="F358" s="254"/>
      <c r="G358" s="255"/>
      <c r="H358" s="152"/>
    </row>
    <row r="359" spans="2:8" s="43" customFormat="1" ht="15" thickBot="1" x14ac:dyDescent="0.35">
      <c r="B359" s="47"/>
      <c r="C359" s="47"/>
      <c r="D359" s="128" t="str">
        <f t="shared" si="31"/>
        <v/>
      </c>
      <c r="E359" s="48"/>
      <c r="F359" s="256"/>
      <c r="G359" s="257"/>
      <c r="H359" s="152"/>
    </row>
    <row r="360" spans="2:8" s="43" customFormat="1" ht="15" thickBot="1" x14ac:dyDescent="0.35">
      <c r="B360" s="135" t="s">
        <v>43</v>
      </c>
      <c r="C360" s="66">
        <f>SUM(C352:C359)</f>
        <v>42</v>
      </c>
      <c r="D360" s="135" t="str">
        <f xml:space="preserve"> setValueToTime(C360)</f>
        <v>3h 30 min</v>
      </c>
      <c r="E360" s="96"/>
      <c r="F360" s="264"/>
      <c r="G360" s="265"/>
      <c r="H360" s="152"/>
    </row>
    <row r="361" spans="2:8" s="43" customFormat="1" ht="15" thickBot="1" x14ac:dyDescent="0.35">
      <c r="B361" s="60"/>
      <c r="C361" s="60"/>
      <c r="D361" s="60"/>
      <c r="E361" s="60"/>
      <c r="F361" s="60"/>
      <c r="G361" s="60"/>
      <c r="H361" s="152"/>
    </row>
    <row r="362" spans="2:8" s="39" customFormat="1" ht="30" customHeight="1" thickBot="1" x14ac:dyDescent="0.3">
      <c r="B362" s="129" t="s">
        <v>36</v>
      </c>
      <c r="C362" s="137">
        <v>2</v>
      </c>
      <c r="D362" s="137"/>
      <c r="E362" s="130" t="s">
        <v>37</v>
      </c>
      <c r="F362" s="131" t="s">
        <v>72</v>
      </c>
      <c r="G362" s="132" t="s">
        <v>55</v>
      </c>
      <c r="H362" s="151"/>
    </row>
    <row r="363" spans="2:8" s="39" customFormat="1" ht="30" customHeight="1" thickBot="1" x14ac:dyDescent="0.3">
      <c r="B363" s="61" t="s">
        <v>38</v>
      </c>
      <c r="C363" s="134" t="s">
        <v>39</v>
      </c>
      <c r="D363" s="133"/>
      <c r="E363" s="61" t="s">
        <v>40</v>
      </c>
      <c r="F363" s="266" t="s">
        <v>41</v>
      </c>
      <c r="G363" s="267"/>
      <c r="H363" s="151"/>
    </row>
    <row r="364" spans="2:8" s="43" customFormat="1" ht="27" x14ac:dyDescent="0.3">
      <c r="B364" s="40" t="s">
        <v>48</v>
      </c>
      <c r="C364" s="41">
        <v>2</v>
      </c>
      <c r="D364" s="125" t="str">
        <f xml:space="preserve"> IF(C364="","",setValueToTime(C364))</f>
        <v xml:space="preserve"> 10 min</v>
      </c>
      <c r="E364" s="42" t="s">
        <v>189</v>
      </c>
      <c r="F364" s="262"/>
      <c r="G364" s="263"/>
      <c r="H364" s="152"/>
    </row>
    <row r="365" spans="2:8" s="43" customFormat="1" ht="27.75" thickBot="1" x14ac:dyDescent="0.35">
      <c r="B365" s="44" t="s">
        <v>30</v>
      </c>
      <c r="C365" s="45">
        <v>2</v>
      </c>
      <c r="D365" s="126" t="str">
        <f t="shared" ref="D365" si="32" xml:space="preserve"> IF(C365="","",setValueToTime(C365))</f>
        <v xml:space="preserve"> 10 min</v>
      </c>
      <c r="E365" s="46" t="s">
        <v>121</v>
      </c>
      <c r="F365" s="254"/>
      <c r="G365" s="255"/>
      <c r="H365" s="152"/>
    </row>
    <row r="366" spans="2:8" s="43" customFormat="1" x14ac:dyDescent="0.3">
      <c r="B366" s="40"/>
      <c r="C366" s="41"/>
      <c r="D366" s="125" t="str">
        <f xml:space="preserve"> IF(C366="","",setValueToTime(C366))</f>
        <v/>
      </c>
      <c r="E366" s="42"/>
      <c r="F366" s="254"/>
      <c r="G366" s="255"/>
      <c r="H366" s="152"/>
    </row>
    <row r="367" spans="2:8" s="43" customFormat="1" ht="27" x14ac:dyDescent="0.3">
      <c r="B367" s="44" t="s">
        <v>44</v>
      </c>
      <c r="C367" s="45">
        <v>6</v>
      </c>
      <c r="D367" s="126" t="str">
        <f t="shared" ref="D367:D368" si="33" xml:space="preserve"> IF(C367="","",setValueToTime(C367))</f>
        <v xml:space="preserve"> 30 min</v>
      </c>
      <c r="E367" s="46" t="s">
        <v>122</v>
      </c>
      <c r="F367" s="254"/>
      <c r="G367" s="255"/>
      <c r="H367" s="152"/>
    </row>
    <row r="368" spans="2:8" s="43" customFormat="1" ht="27" x14ac:dyDescent="0.3">
      <c r="B368" s="44" t="s">
        <v>48</v>
      </c>
      <c r="C368" s="45">
        <v>6</v>
      </c>
      <c r="D368" s="126" t="str">
        <f t="shared" si="33"/>
        <v xml:space="preserve"> 30 min</v>
      </c>
      <c r="E368" s="46" t="s">
        <v>190</v>
      </c>
      <c r="F368" s="254"/>
      <c r="G368" s="255"/>
      <c r="H368" s="152"/>
    </row>
    <row r="369" spans="2:8" s="43" customFormat="1" ht="27" x14ac:dyDescent="0.3">
      <c r="B369" s="45" t="s">
        <v>45</v>
      </c>
      <c r="C369" s="45">
        <v>20</v>
      </c>
      <c r="D369" s="127" t="str">
        <f t="shared" ref="D369:D371" si="34" xml:space="preserve"> IF(C369="","",setValueToTime(C369))</f>
        <v>1h 40 min</v>
      </c>
      <c r="E369" t="s">
        <v>123</v>
      </c>
      <c r="F369" s="268" t="s">
        <v>124</v>
      </c>
      <c r="G369" s="255"/>
      <c r="H369" s="152"/>
    </row>
    <row r="370" spans="2:8" s="43" customFormat="1" x14ac:dyDescent="0.3">
      <c r="B370" s="45"/>
      <c r="C370" s="45"/>
      <c r="D370" s="127" t="str">
        <f t="shared" si="34"/>
        <v/>
      </c>
      <c r="E370" s="46"/>
      <c r="F370" s="254"/>
      <c r="G370" s="255"/>
      <c r="H370" s="152"/>
    </row>
    <row r="371" spans="2:8" s="43" customFormat="1" ht="15" thickBot="1" x14ac:dyDescent="0.35">
      <c r="B371" s="47"/>
      <c r="C371" s="47"/>
      <c r="D371" s="128" t="str">
        <f t="shared" si="34"/>
        <v/>
      </c>
      <c r="E371" s="48"/>
      <c r="F371" s="256"/>
      <c r="G371" s="257"/>
      <c r="H371" s="152"/>
    </row>
    <row r="372" spans="2:8" s="43" customFormat="1" ht="15" thickBot="1" x14ac:dyDescent="0.35">
      <c r="B372" s="135" t="s">
        <v>43</v>
      </c>
      <c r="C372" s="66">
        <f>SUM(C364:C371)</f>
        <v>36</v>
      </c>
      <c r="D372" s="135" t="str">
        <f xml:space="preserve"> setValueToTime(C372)</f>
        <v>3h</v>
      </c>
      <c r="E372" s="96"/>
      <c r="F372" s="264"/>
      <c r="G372" s="265"/>
      <c r="H372" s="152"/>
    </row>
    <row r="373" spans="2:8" s="43" customFormat="1" ht="15" thickBot="1" x14ac:dyDescent="0.35">
      <c r="B373" s="60"/>
      <c r="C373" s="60"/>
      <c r="D373" s="60"/>
      <c r="E373" s="60"/>
      <c r="F373" s="60"/>
      <c r="G373" s="60"/>
      <c r="H373" s="152"/>
    </row>
    <row r="374" spans="2:8" s="39" customFormat="1" ht="30" customHeight="1" thickBot="1" x14ac:dyDescent="0.3">
      <c r="B374" s="129" t="s">
        <v>36</v>
      </c>
      <c r="C374" s="137">
        <v>1</v>
      </c>
      <c r="D374" s="137"/>
      <c r="E374" s="130" t="s">
        <v>37</v>
      </c>
      <c r="F374" s="131" t="s">
        <v>72</v>
      </c>
      <c r="G374" s="132" t="s">
        <v>56</v>
      </c>
      <c r="H374" s="151"/>
    </row>
    <row r="375" spans="2:8" s="39" customFormat="1" ht="30" customHeight="1" thickBot="1" x14ac:dyDescent="0.3">
      <c r="B375" s="61" t="s">
        <v>38</v>
      </c>
      <c r="C375" s="134" t="s">
        <v>39</v>
      </c>
      <c r="D375" s="133"/>
      <c r="E375" s="61" t="s">
        <v>40</v>
      </c>
      <c r="F375" s="266" t="s">
        <v>41</v>
      </c>
      <c r="G375" s="267"/>
      <c r="H375" s="151"/>
    </row>
    <row r="376" spans="2:8" s="43" customFormat="1" ht="27" x14ac:dyDescent="0.3">
      <c r="B376" s="40" t="s">
        <v>30</v>
      </c>
      <c r="C376" s="41">
        <v>18</v>
      </c>
      <c r="D376" s="125" t="s">
        <v>21</v>
      </c>
      <c r="E376" s="42" t="s">
        <v>191</v>
      </c>
      <c r="F376" s="269" t="s">
        <v>127</v>
      </c>
      <c r="G376" s="263"/>
      <c r="H376" s="152"/>
    </row>
    <row r="377" spans="2:8" s="43" customFormat="1" x14ac:dyDescent="0.3">
      <c r="B377" s="44" t="s">
        <v>31</v>
      </c>
      <c r="C377" s="45">
        <v>2</v>
      </c>
      <c r="D377" s="126" t="str">
        <f t="shared" ref="D377:D383" si="35" xml:space="preserve"> IF(C377="","",setValueToTime(C377))</f>
        <v xml:space="preserve"> 10 min</v>
      </c>
      <c r="E377" s="46" t="s">
        <v>118</v>
      </c>
      <c r="F377" s="268" t="s">
        <v>126</v>
      </c>
      <c r="G377" s="255"/>
      <c r="H377" s="152"/>
    </row>
    <row r="378" spans="2:8" s="43" customFormat="1" x14ac:dyDescent="0.3">
      <c r="B378" s="44" t="s">
        <v>47</v>
      </c>
      <c r="C378" s="45">
        <v>10</v>
      </c>
      <c r="D378" s="126" t="str">
        <f t="shared" si="35"/>
        <v xml:space="preserve"> 50 min</v>
      </c>
      <c r="E378" s="46" t="s">
        <v>75</v>
      </c>
      <c r="F378" s="268" t="s">
        <v>125</v>
      </c>
      <c r="G378" s="255"/>
      <c r="H378" s="152"/>
    </row>
    <row r="379" spans="2:8" s="43" customFormat="1" ht="27" x14ac:dyDescent="0.3">
      <c r="B379" s="44" t="s">
        <v>46</v>
      </c>
      <c r="C379" s="45">
        <v>10</v>
      </c>
      <c r="D379" s="126" t="str">
        <f t="shared" si="35"/>
        <v xml:space="preserve"> 50 min</v>
      </c>
      <c r="E379" s="46" t="s">
        <v>178</v>
      </c>
      <c r="F379" s="254"/>
      <c r="G379" s="255"/>
      <c r="H379" s="152"/>
    </row>
    <row r="380" spans="2:8" s="43" customFormat="1" x14ac:dyDescent="0.3">
      <c r="B380" s="45" t="s">
        <v>49</v>
      </c>
      <c r="C380" s="45">
        <v>2</v>
      </c>
      <c r="D380" s="127" t="str">
        <f t="shared" si="35"/>
        <v xml:space="preserve"> 10 min</v>
      </c>
      <c r="E380" s="46" t="s">
        <v>119</v>
      </c>
      <c r="F380" s="268" t="s">
        <v>128</v>
      </c>
      <c r="G380" s="255"/>
      <c r="H380" s="152"/>
    </row>
    <row r="381" spans="2:8" s="43" customFormat="1" x14ac:dyDescent="0.3">
      <c r="B381" s="45"/>
      <c r="C381" s="45"/>
      <c r="D381" s="127" t="str">
        <f t="shared" si="35"/>
        <v/>
      </c>
      <c r="E381" s="46"/>
      <c r="F381" s="254"/>
      <c r="G381" s="255"/>
      <c r="H381" s="152"/>
    </row>
    <row r="382" spans="2:8" s="43" customFormat="1" x14ac:dyDescent="0.3">
      <c r="B382" s="45"/>
      <c r="C382" s="45"/>
      <c r="D382" s="127" t="str">
        <f t="shared" si="35"/>
        <v/>
      </c>
      <c r="E382" s="46"/>
      <c r="F382" s="254"/>
      <c r="G382" s="255"/>
      <c r="H382" s="152"/>
    </row>
    <row r="383" spans="2:8" s="43" customFormat="1" ht="15" thickBot="1" x14ac:dyDescent="0.35">
      <c r="B383" s="47"/>
      <c r="C383" s="47"/>
      <c r="D383" s="128" t="str">
        <f t="shared" si="35"/>
        <v/>
      </c>
      <c r="E383" s="48"/>
      <c r="F383" s="256"/>
      <c r="G383" s="257"/>
      <c r="H383" s="152"/>
    </row>
    <row r="384" spans="2:8" s="43" customFormat="1" ht="15" thickBot="1" x14ac:dyDescent="0.35">
      <c r="B384" s="135" t="s">
        <v>43</v>
      </c>
      <c r="C384" s="66">
        <f>SUM(C376:C383)</f>
        <v>42</v>
      </c>
      <c r="D384" s="135" t="str">
        <f xml:space="preserve"> setValueToTime(C384)</f>
        <v>3h 30 min</v>
      </c>
      <c r="E384" s="96"/>
      <c r="F384" s="264"/>
      <c r="G384" s="265"/>
      <c r="H384" s="152"/>
    </row>
    <row r="385" spans="2:8" s="43" customFormat="1" x14ac:dyDescent="0.3">
      <c r="B385" s="60"/>
      <c r="C385" s="60"/>
      <c r="D385" s="60"/>
      <c r="E385" s="60"/>
      <c r="F385" s="60"/>
      <c r="G385" s="60"/>
      <c r="H385" s="152"/>
    </row>
  </sheetData>
  <sheetProtection formatRows="0" insertRows="0" insertHyperlinks="0" deleteRows="0" selectLockedCells="1"/>
  <mergeCells count="32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60:G60"/>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92:G192"/>
    <mergeCell ref="F183:G183"/>
    <mergeCell ref="F184:G184"/>
    <mergeCell ref="F185:G185"/>
    <mergeCell ref="F186:G186"/>
    <mergeCell ref="F187:G187"/>
    <mergeCell ref="F188:G188"/>
    <mergeCell ref="F189:G189"/>
    <mergeCell ref="F190:G190"/>
    <mergeCell ref="F191:G191"/>
    <mergeCell ref="F216:G216"/>
    <mergeCell ref="F195:G195"/>
    <mergeCell ref="F196:G196"/>
    <mergeCell ref="F197:G197"/>
    <mergeCell ref="F198:G198"/>
    <mergeCell ref="F199:G199"/>
    <mergeCell ref="F200:G200"/>
    <mergeCell ref="F201:G201"/>
    <mergeCell ref="F202:G202"/>
    <mergeCell ref="F203:G203"/>
    <mergeCell ref="F204:G204"/>
    <mergeCell ref="F207:G207"/>
    <mergeCell ref="F208:G208"/>
    <mergeCell ref="F209:G209"/>
    <mergeCell ref="F210:G210"/>
    <mergeCell ref="F211:G211"/>
    <mergeCell ref="F212:G212"/>
    <mergeCell ref="F213:G213"/>
    <mergeCell ref="F214:G214"/>
    <mergeCell ref="F215:G215"/>
    <mergeCell ref="F243:G243"/>
    <mergeCell ref="F244:G244"/>
    <mergeCell ref="F245:G245"/>
    <mergeCell ref="F246:G246"/>
    <mergeCell ref="F247:G247"/>
    <mergeCell ref="F219:G219"/>
    <mergeCell ref="F220:G220"/>
    <mergeCell ref="F221:G221"/>
    <mergeCell ref="F222:G222"/>
    <mergeCell ref="F223:G223"/>
    <mergeCell ref="F224:G224"/>
    <mergeCell ref="F225:G225"/>
    <mergeCell ref="F226:G226"/>
    <mergeCell ref="F227:G227"/>
    <mergeCell ref="F228:G228"/>
    <mergeCell ref="F264:G264"/>
    <mergeCell ref="F255:G255"/>
    <mergeCell ref="F256:G256"/>
    <mergeCell ref="F257:G257"/>
    <mergeCell ref="F258:G258"/>
    <mergeCell ref="F259:G259"/>
    <mergeCell ref="F248:G248"/>
    <mergeCell ref="F249:G249"/>
    <mergeCell ref="F250:G250"/>
    <mergeCell ref="F251:G251"/>
    <mergeCell ref="F252:G252"/>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81:G381"/>
    <mergeCell ref="F382:G382"/>
    <mergeCell ref="F383:G383"/>
    <mergeCell ref="F384:G384"/>
    <mergeCell ref="F375:G375"/>
    <mergeCell ref="F376:G376"/>
    <mergeCell ref="F377:G377"/>
    <mergeCell ref="F378:G378"/>
    <mergeCell ref="F379:G379"/>
    <mergeCell ref="F380:G380"/>
    <mergeCell ref="F372:G372"/>
    <mergeCell ref="F351:G351"/>
    <mergeCell ref="F352:G352"/>
    <mergeCell ref="F353:G353"/>
    <mergeCell ref="F354:G354"/>
    <mergeCell ref="F355:G355"/>
    <mergeCell ref="F356:G356"/>
    <mergeCell ref="F357:G357"/>
    <mergeCell ref="F358:G358"/>
    <mergeCell ref="F359:G359"/>
    <mergeCell ref="F360:G360"/>
    <mergeCell ref="F363:G363"/>
    <mergeCell ref="F364:G364"/>
    <mergeCell ref="F365:G365"/>
    <mergeCell ref="F366:G366"/>
    <mergeCell ref="F367:G367"/>
    <mergeCell ref="F368:G368"/>
    <mergeCell ref="F369:G369"/>
    <mergeCell ref="F370:G370"/>
    <mergeCell ref="F371:G371"/>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276:G276"/>
    <mergeCell ref="F231:G231"/>
    <mergeCell ref="F232:G232"/>
    <mergeCell ref="F233:G233"/>
    <mergeCell ref="F234:G234"/>
    <mergeCell ref="F235:G235"/>
    <mergeCell ref="F236:G236"/>
    <mergeCell ref="F237:G237"/>
    <mergeCell ref="F238:G238"/>
    <mergeCell ref="F239:G239"/>
    <mergeCell ref="F240:G240"/>
    <mergeCell ref="F267:G267"/>
    <mergeCell ref="F268:G268"/>
    <mergeCell ref="F269:G269"/>
    <mergeCell ref="F270:G270"/>
    <mergeCell ref="F271:G271"/>
    <mergeCell ref="F272:G272"/>
    <mergeCell ref="F273:G273"/>
    <mergeCell ref="F274:G274"/>
    <mergeCell ref="F275:G275"/>
    <mergeCell ref="F260:G260"/>
    <mergeCell ref="F261:G261"/>
    <mergeCell ref="F262:G262"/>
    <mergeCell ref="F263:G26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s>
  <phoneticPr fontId="0" type="noConversion"/>
  <conditionalFormatting sqref="C384">
    <cfRule type="cellIs" dxfId="33" priority="32" operator="greaterThan">
      <formula>60</formula>
    </cfRule>
  </conditionalFormatting>
  <conditionalFormatting sqref="C372">
    <cfRule type="cellIs" dxfId="32" priority="31" operator="greaterThan">
      <formula>60</formula>
    </cfRule>
  </conditionalFormatting>
  <conditionalFormatting sqref="C360">
    <cfRule type="cellIs" dxfId="31" priority="30" operator="greaterThan">
      <formula>60</formula>
    </cfRule>
  </conditionalFormatting>
  <conditionalFormatting sqref="C348">
    <cfRule type="cellIs" dxfId="30" priority="29" operator="greaterThan">
      <formula>60</formula>
    </cfRule>
  </conditionalFormatting>
  <conditionalFormatting sqref="C336">
    <cfRule type="cellIs" dxfId="29" priority="28" operator="greaterThan">
      <formula>60</formula>
    </cfRule>
  </conditionalFormatting>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76:C383 C364:C371 C352:C359 C340:C347 C328:C335 C316:C323 C304:C311 C292:C299 C280:C287 C268:C275 C256:C263 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84 C372 C360 C348 C336 C324 C312 C300 C288 C276 C264 C252 C240 C228 C216 C204 C192 C180 C168 C156 C144 C132 C120 C108 C96 C84 C72 C60 C48 C36 C24 C12" xr:uid="{F07B0E06-BAEF-4AB8-8489-5985F597403F}">
      <formula1>0</formula1>
      <formula2>60</formula2>
    </dataValidation>
  </dataValidations>
  <hyperlinks>
    <hyperlink ref="F369" r:id="rId1" xr:uid="{81666E9A-B468-4D90-95A2-E913F1C6DCBC}"/>
    <hyperlink ref="F378" r:id="rId2" xr:uid="{8193756A-593E-4D0C-BA1B-6702C5C76A06}"/>
    <hyperlink ref="F377" r:id="rId3" xr:uid="{BBC14F41-7767-453F-9923-D043A329E1F3}"/>
    <hyperlink ref="F376" r:id="rId4" xr:uid="{3E78045D-33E6-4ABA-B703-D87E3126867E}"/>
    <hyperlink ref="F380" r:id="rId5" xr:uid="{198A02A0-A6A0-4494-BFC7-95CEAA1B45A2}"/>
    <hyperlink ref="F137" r:id="rId6" xr:uid="{4863DDF1-C04C-4F36-ACDD-800EB7F08AEC}"/>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3</xdr:col>
                <xdr:colOff>85725</xdr:colOff>
                <xdr:row>0</xdr:row>
                <xdr:rowOff>85725</xdr:rowOff>
              </from>
              <to>
                <xdr:col>4</xdr:col>
                <xdr:colOff>762000</xdr:colOff>
                <xdr:row>0</xdr:row>
                <xdr:rowOff>561975</xdr:rowOff>
              </to>
            </anchor>
          </controlPr>
        </control>
      </mc:Choice>
      <mc:Fallback>
        <control shapeId="9220" r:id="rId12"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B380:B383 B377 B364 B369:B371 B353:B359 B341 B343:B347 B328:B335 B316:B323 B304:B311 B292:B299 B280:B287 B268:B275 B256:B263 B244:B251 B232:B239 B220:B227 B208:B215 B196:B203 B184:B191 B172:B179 B160:B167 B148:B155 B136:B143 B124:B131 B112:B119 B100:B107 B88:B95 B52:B59 B64:B71 B76:B83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2026-03-11T15:25:04Z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