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5C502EF1-BF64-4277-A594-92FBE66B8153}"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C24" i="12"/>
  <c r="D23" i="12"/>
  <c r="D22" i="12"/>
  <c r="D21" i="12"/>
  <c r="D20" i="12"/>
  <c r="D19" i="12"/>
  <c r="C36" i="12"/>
  <c r="D35" i="12"/>
  <c r="D34" i="12"/>
  <c r="D33" i="12"/>
  <c r="D32" i="12"/>
  <c r="D31" i="12"/>
  <c r="C48" i="12"/>
  <c r="D47" i="12"/>
  <c r="D46" i="12"/>
  <c r="D45" i="12"/>
  <c r="C60" i="12"/>
  <c r="D59" i="12"/>
  <c r="D58" i="12"/>
  <c r="D57" i="12"/>
  <c r="D56" i="12"/>
  <c r="C72" i="12"/>
  <c r="D71" i="12"/>
  <c r="D70" i="12"/>
  <c r="D69" i="12"/>
  <c r="D68" i="12"/>
  <c r="D67" i="12"/>
  <c r="C84" i="12"/>
  <c r="D83" i="12"/>
  <c r="D82" i="12"/>
  <c r="D81" i="12"/>
  <c r="D80" i="12"/>
  <c r="C96" i="12"/>
  <c r="D95" i="12"/>
  <c r="D94" i="12"/>
  <c r="D93" i="12"/>
  <c r="D92" i="12"/>
  <c r="D91" i="12"/>
  <c r="C108" i="12"/>
  <c r="D107" i="12"/>
  <c r="D106" i="12"/>
  <c r="D105" i="12"/>
  <c r="C120" i="12"/>
  <c r="D119" i="12"/>
  <c r="D118" i="12"/>
  <c r="D117" i="12"/>
  <c r="D116" i="12"/>
  <c r="C132" i="12"/>
  <c r="D131" i="12"/>
  <c r="D130" i="12"/>
  <c r="D129" i="12"/>
  <c r="D128" i="12"/>
  <c r="C144" i="12"/>
  <c r="D143" i="12"/>
  <c r="D142" i="12"/>
  <c r="D141" i="12"/>
  <c r="D140" i="12"/>
  <c r="C156" i="12"/>
  <c r="D155" i="12"/>
  <c r="D154" i="12"/>
  <c r="D153" i="12"/>
  <c r="D152" i="12"/>
  <c r="D151" i="12"/>
  <c r="C168" i="12"/>
  <c r="D167" i="12"/>
  <c r="D166" i="12"/>
  <c r="D165" i="12"/>
  <c r="D164" i="12"/>
  <c r="C180" i="12"/>
  <c r="D179" i="12"/>
  <c r="D178" i="12"/>
  <c r="D177" i="12"/>
  <c r="C192" i="12"/>
  <c r="D191" i="12"/>
  <c r="D190" i="12"/>
  <c r="D189" i="12"/>
  <c r="C204" i="12"/>
  <c r="D203" i="12"/>
  <c r="D202" i="12"/>
  <c r="D201" i="12"/>
  <c r="C216" i="12"/>
  <c r="D215" i="12"/>
  <c r="D214" i="12"/>
  <c r="D213" i="12"/>
  <c r="D212" i="12"/>
  <c r="D211" i="12"/>
  <c r="C228" i="12"/>
  <c r="D227" i="12"/>
  <c r="D226" i="12"/>
  <c r="D225" i="12"/>
  <c r="D224" i="12"/>
  <c r="C240" i="12"/>
  <c r="D239" i="12"/>
  <c r="D238" i="12"/>
  <c r="D237" i="12"/>
  <c r="C252" i="12"/>
  <c r="D251" i="12"/>
  <c r="D250" i="12"/>
  <c r="D249" i="12"/>
  <c r="D248" i="12"/>
  <c r="C264" i="12"/>
  <c r="D263" i="12"/>
  <c r="D262" i="12"/>
  <c r="D261" i="12"/>
  <c r="D260" i="12"/>
  <c r="C276" i="12"/>
  <c r="D275" i="12"/>
  <c r="D274" i="12"/>
  <c r="D273" i="12"/>
  <c r="C288" i="12"/>
  <c r="D287" i="12"/>
  <c r="D286" i="12"/>
  <c r="D285" i="12"/>
  <c r="D284" i="12"/>
  <c r="C300" i="12"/>
  <c r="D299" i="12"/>
  <c r="D298" i="12"/>
  <c r="D297" i="12"/>
  <c r="D296" i="12"/>
  <c r="C312" i="12"/>
  <c r="D311" i="12"/>
  <c r="D310" i="12"/>
  <c r="D309" i="12"/>
  <c r="D308" i="12"/>
  <c r="C324" i="12"/>
  <c r="D323" i="12"/>
  <c r="D322" i="12"/>
  <c r="D321" i="12"/>
  <c r="D320" i="12"/>
  <c r="C336" i="12"/>
  <c r="D335" i="12"/>
  <c r="D334" i="12"/>
  <c r="D333" i="12"/>
  <c r="D332" i="12"/>
  <c r="C348" i="12"/>
  <c r="D347" i="12"/>
  <c r="D346" i="12"/>
  <c r="C360" i="12"/>
  <c r="D359" i="12"/>
  <c r="D358" i="12"/>
  <c r="D357" i="12"/>
  <c r="D342" i="12"/>
  <c r="D140" i="10"/>
  <c r="D67" i="10"/>
  <c r="D149" i="10"/>
  <c r="D141" i="10"/>
  <c r="D209" i="10"/>
  <c r="D137" i="10"/>
  <c r="D151" i="10"/>
  <c r="D186" i="10"/>
  <c r="D78" i="10"/>
  <c r="D222" i="10"/>
  <c r="D102" i="10"/>
  <c r="D90" i="10"/>
  <c r="D211" i="10"/>
  <c r="D4" i="12"/>
  <c r="D5" i="12"/>
  <c r="D6" i="12"/>
  <c r="D18" i="12"/>
  <c r="D17" i="12"/>
  <c r="D16" i="12"/>
  <c r="D12" i="12"/>
  <c r="D24" i="12"/>
  <c r="D28" i="12"/>
  <c r="D60" i="12"/>
  <c r="D256" i="12"/>
  <c r="D172" i="12"/>
  <c r="D137" i="12"/>
  <c r="D328" i="12"/>
  <c r="D160" i="12"/>
  <c r="D281" i="12"/>
  <c r="D232" i="12"/>
  <c r="D343" i="12"/>
  <c r="D90" i="12"/>
  <c r="D220" i="12"/>
  <c r="D78" i="12"/>
  <c r="D185" i="12"/>
  <c r="D216" i="12"/>
  <c r="D199" i="12"/>
  <c r="D103" i="12"/>
  <c r="D307" i="12"/>
  <c r="D112" i="12"/>
  <c r="D29" i="12"/>
  <c r="D294" i="12"/>
  <c r="D148" i="12"/>
  <c r="D79" i="12"/>
  <c r="D319" i="12"/>
  <c r="D180" i="12"/>
  <c r="D246" i="12"/>
  <c r="D127" i="12"/>
  <c r="D41" i="12"/>
  <c r="D221" i="12"/>
  <c r="D282" i="12"/>
  <c r="D163" i="12"/>
  <c r="D150" i="12"/>
  <c r="D108" i="12"/>
  <c r="D270" i="12"/>
  <c r="D235" i="12"/>
  <c r="D204" i="12"/>
  <c r="D336" i="12"/>
  <c r="D271" i="12"/>
  <c r="D236" i="12"/>
  <c r="D280" i="12"/>
  <c r="D66" i="12"/>
  <c r="D293" i="12"/>
  <c r="D318" i="12"/>
  <c r="D210" i="12"/>
  <c r="D354" i="12"/>
  <c r="D244" i="12"/>
  <c r="D113" i="12"/>
  <c r="D184" i="12"/>
  <c r="D161" i="12"/>
  <c r="D125" i="12"/>
  <c r="D258" i="12"/>
  <c r="D36" i="12"/>
  <c r="D317" i="12"/>
  <c r="D40" i="12"/>
  <c r="D104" i="12"/>
  <c r="D300" i="12"/>
  <c r="D162" i="12"/>
  <c r="D304" i="12"/>
  <c r="D345" i="12"/>
  <c r="D136" i="12"/>
  <c r="D306" i="12"/>
  <c r="D305" i="12"/>
  <c r="D192" i="12"/>
  <c r="D43" i="12"/>
  <c r="D292" i="12"/>
  <c r="D223" i="12"/>
  <c r="D264" i="12"/>
  <c r="D228" i="12"/>
  <c r="D257" i="12"/>
  <c r="D329" i="12"/>
  <c r="D269" i="12"/>
  <c r="D353" i="12"/>
  <c r="D340" i="12"/>
  <c r="D156" i="12"/>
  <c r="D100" i="12"/>
  <c r="D55" i="12"/>
  <c r="D84" i="12"/>
  <c r="D132" i="12"/>
  <c r="D344" i="12"/>
  <c r="D196" i="12"/>
  <c r="D331" i="12"/>
  <c r="D312" i="12"/>
  <c r="D200" i="12"/>
  <c r="D208" i="12"/>
  <c r="D252" i="12"/>
  <c r="D288" i="12"/>
  <c r="D341" i="12"/>
  <c r="D209" i="12"/>
  <c r="D233" i="12"/>
  <c r="D259" i="12"/>
  <c r="D187" i="12"/>
  <c r="D247" i="12"/>
  <c r="D276" i="12"/>
  <c r="D324" i="12"/>
  <c r="D360" i="12"/>
  <c r="D53" i="12"/>
  <c r="D115" i="12"/>
  <c r="D102" i="12"/>
  <c r="D44" i="12"/>
  <c r="D197" i="12"/>
  <c r="D88" i="12"/>
  <c r="D234" i="12"/>
  <c r="D240" i="12"/>
  <c r="D89" i="12"/>
  <c r="D272" i="12"/>
  <c r="D176" i="12"/>
  <c r="D168" i="12"/>
  <c r="D42" i="12"/>
  <c r="D316" i="12"/>
  <c r="D348" i="12"/>
  <c r="D72" i="12"/>
  <c r="D124" i="12"/>
  <c r="D77" i="12"/>
  <c r="D144" i="12"/>
  <c r="D222" i="12"/>
  <c r="D96" i="12"/>
  <c r="D76" i="12"/>
  <c r="D52" i="12"/>
  <c r="D138" i="12"/>
  <c r="D356" i="12"/>
  <c r="D330" i="12"/>
  <c r="D295" i="12"/>
  <c r="D283" i="12"/>
  <c r="D175" i="12"/>
  <c r="D174" i="12"/>
  <c r="D126" i="12"/>
  <c r="D54" i="12"/>
  <c r="D139" i="12"/>
  <c r="D65" i="12"/>
  <c r="D173" i="12"/>
  <c r="D355" i="12"/>
  <c r="D188" i="12"/>
  <c r="D101" i="12"/>
  <c r="D149" i="12"/>
  <c r="D114" i="12"/>
  <c r="D268" i="12"/>
  <c r="D30" i="12"/>
  <c r="D245" i="12"/>
  <c r="D64" i="12"/>
  <c r="D120" i="12"/>
  <c r="D198" i="12"/>
  <c r="D186" i="12"/>
  <c r="D48" i="12"/>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233" i="10"/>
  <c r="D132" i="10"/>
  <c r="D240" i="10"/>
  <c r="D34" i="1"/>
  <c r="D79" i="1"/>
  <c r="D172" i="10"/>
  <c r="D28" i="1"/>
  <c r="D343" i="10"/>
  <c r="D348" i="10"/>
  <c r="D196" i="10"/>
  <c r="D80" i="1"/>
  <c r="D336" i="10"/>
  <c r="D91" i="1"/>
  <c r="D89" i="10"/>
  <c r="D221" i="10"/>
  <c r="D280" i="10"/>
  <c r="D47" i="1"/>
  <c r="D234" i="10"/>
  <c r="D75" i="1"/>
  <c r="D54" i="1"/>
  <c r="D48" i="1"/>
  <c r="D360" i="10"/>
  <c r="D125" i="10"/>
  <c r="D22" i="1"/>
  <c r="D94" i="1"/>
  <c r="D246" i="10"/>
  <c r="D37" i="1"/>
  <c r="D59" i="1"/>
  <c r="D247" i="10"/>
  <c r="D56" i="1"/>
  <c r="D294" i="10"/>
  <c r="D84" i="10"/>
  <c r="D41" i="1"/>
  <c r="D329" i="10"/>
  <c r="D197" i="10"/>
  <c r="D83" i="1"/>
  <c r="D342" i="10"/>
  <c r="D317" i="10"/>
  <c r="D57" i="1"/>
  <c r="D96" i="10"/>
  <c r="D66" i="10"/>
  <c r="D71" i="1"/>
  <c r="D173" i="10"/>
  <c r="D108" i="10"/>
  <c r="D85" i="1"/>
  <c r="D76" i="10"/>
  <c r="D77" i="10"/>
  <c r="D101" i="10"/>
  <c r="D90" i="1"/>
  <c r="D364" i="10"/>
  <c r="D69" i="1"/>
  <c r="D281" i="10"/>
  <c r="D31" i="1"/>
  <c r="D27" i="1"/>
  <c r="D11" i="15"/>
  <c r="D62" i="1"/>
  <c r="D276" i="10"/>
  <c r="D232" i="10"/>
  <c r="D126" i="10"/>
  <c r="D270" i="10"/>
  <c r="D89" i="1"/>
  <c r="D113" i="10"/>
  <c r="D20" i="1"/>
  <c r="D366" i="10"/>
  <c r="D55" i="1"/>
  <c r="D54" i="10"/>
  <c r="D124" i="10"/>
  <c r="D318" i="10"/>
  <c r="D36" i="1"/>
  <c r="D244" i="10"/>
  <c r="D100" i="10"/>
  <c r="D53" i="1"/>
  <c r="D81" i="1"/>
  <c r="D283" i="10"/>
  <c r="D67" i="1"/>
  <c r="D127" i="10"/>
  <c r="D112" i="10"/>
  <c r="D204" i="10"/>
  <c r="D65" i="10"/>
  <c r="D48" i="10"/>
  <c r="D312" i="10"/>
  <c r="D223" i="10"/>
  <c r="D21" i="1"/>
  <c r="D268" i="10"/>
  <c r="D88" i="10"/>
  <c r="D184" i="10"/>
  <c r="D30" i="1"/>
  <c r="D305" i="10"/>
  <c r="D42" i="10"/>
  <c r="D52" i="1"/>
  <c r="D53" i="10"/>
  <c r="D220" i="10"/>
  <c r="D46" i="1"/>
  <c r="D23" i="1"/>
  <c r="D73" i="1"/>
  <c r="D49" i="1"/>
  <c r="D341" i="10"/>
  <c r="D352" i="10"/>
  <c r="D72" i="10"/>
  <c r="D72" i="1"/>
  <c r="D368" i="10"/>
  <c r="D367" i="10"/>
  <c r="D74" i="1"/>
  <c r="D40" i="1"/>
  <c r="D328" i="10"/>
  <c r="D365" i="10"/>
  <c r="D77" i="1"/>
  <c r="D353" i="10"/>
  <c r="D41" i="10"/>
  <c r="D324" i="10"/>
  <c r="D35" i="1"/>
  <c r="D307" i="10"/>
  <c r="D258" i="10"/>
  <c r="D68" i="1"/>
  <c r="D150" i="10"/>
  <c r="D331" i="10"/>
  <c r="D93" i="1"/>
  <c r="D355" i="10"/>
  <c r="D25" i="1"/>
  <c r="D87" i="1"/>
  <c r="D304" i="10"/>
  <c r="D316" i="10"/>
  <c r="D45" i="1"/>
  <c r="D198" i="10"/>
  <c r="D300" i="10"/>
  <c r="D88" i="1"/>
  <c r="D354" i="10"/>
  <c r="D136" i="10"/>
  <c r="D78" i="1"/>
  <c r="D19" i="1"/>
  <c r="D156" i="10"/>
  <c r="D51" i="1"/>
  <c r="D58" i="1"/>
  <c r="D64" i="10"/>
  <c r="D160" i="10"/>
  <c r="D66" i="1"/>
  <c r="D24" i="1"/>
  <c r="D120" i="10"/>
  <c r="D42" i="1"/>
  <c r="D17" i="1"/>
  <c r="D144" i="10"/>
  <c r="D292" i="10"/>
  <c r="D216" i="10"/>
  <c r="D26" i="1"/>
  <c r="D340" i="10"/>
  <c r="D252" i="10"/>
  <c r="D39" i="1"/>
  <c r="D65" i="1"/>
  <c r="D269" i="10"/>
  <c r="D29" i="1"/>
  <c r="D180" i="10"/>
  <c r="D245" i="10"/>
  <c r="D148" i="10"/>
  <c r="D372" i="10"/>
  <c r="D256" i="10"/>
  <c r="D60" i="1"/>
  <c r="D257" i="10"/>
  <c r="D70" i="1"/>
  <c r="D38" i="1"/>
  <c r="D11" i="16"/>
  <c r="D76" i="1"/>
  <c r="D60" i="10"/>
  <c r="D61" i="1"/>
  <c r="D185" i="10"/>
  <c r="D50" i="1"/>
  <c r="D306" i="10"/>
  <c r="D163" i="10"/>
  <c r="D64" i="1"/>
  <c r="D210" i="10"/>
  <c r="D92" i="1"/>
  <c r="D15" i="1"/>
  <c r="D139" i="10"/>
  <c r="D16" i="1"/>
  <c r="D168" i="10"/>
  <c r="D86" i="1"/>
  <c r="D264" i="10"/>
  <c r="D33" i="1"/>
  <c r="D208" i="10"/>
  <c r="D228" i="10"/>
  <c r="D32" i="1"/>
  <c r="D295" i="10"/>
  <c r="D84" i="1"/>
  <c r="D174" i="10"/>
  <c r="D52" i="10"/>
  <c r="D282" i="10"/>
  <c r="D192" i="10"/>
  <c r="D18" i="1"/>
  <c r="D43" i="1"/>
  <c r="D235" i="10"/>
  <c r="D44" i="1"/>
  <c r="D293" i="10"/>
  <c r="D63" i="1"/>
  <c r="D288" i="10"/>
  <c r="D224" i="10"/>
  <c r="D162" i="10"/>
  <c r="D161" i="10"/>
  <c r="D82"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<sst xmlns="http://schemas.openxmlformats.org/spreadsheetml/2006/main" count="1410" uniqueCount="274">
  <si>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</si>
  <si>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</si>
  <si>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</si>
  <si>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</si>
  <si>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</si>
  <si>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</si>
  <si>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</si>
  <si>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</si>
  <si>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</si>
  <si>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</si>
  <si>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</si>
  <si>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</si>
  <si>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</si>
  <si>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</si>
  <si>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</si>
  <si>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</si>
  <si>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</si>
  <si>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</si>
  <si>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</si>
  <si>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</si>
  <si>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</si>
  <si>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</si>
  <si>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</si>
  <si>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</si>
  <si>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</si>
  <si>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</si>
  <si>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</si>
  <si>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</si>
  <si>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</si>
  <si>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</si>
  <si>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</si>
  <si>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</si>
  <si>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</si>
  <si>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</si>
  <si>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</si>
  <si>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</si>
  <si>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</si>
  <si>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</si>
  <si>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</si>
  <si>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</si>
  <si>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</si>
  <si>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</si>
  <si>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</si>
  <si>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</si>
  <si>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</si>
  <si>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</si>
  <si>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</si>
  <si>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</si>
  <si>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</si>
  <si>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</si>
  <si>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</si>
  <si>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</si>
  <si>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</si>
  <si>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</si>
  <si>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</si>
  <si>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</si>
  <si>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</si>
  <si>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</si>
  <si>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</si>
  <si>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</si>
  <si>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</si>
  <si>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</si>
  <si>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</si>
  <si>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</si>
  <si>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</si>
  <si>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</si>
  <si>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</si>
  <si>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</si>
  <si>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</si>
  <si>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</si>
  <si>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</si>
  <si>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</si>
  <si>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</si>
  <si>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</si>
  <si>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</si>
  <si>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</si>
  <si>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</si>
  <si>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</si>
  <si>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</si>
  <si>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</si>
  <si>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</si>
  <si>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</si>
  <si>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</si>
  <si>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</si>
  <si>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</si>
  <si>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</si>
  <si>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</si>
  <si>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</si>
  <si>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</si>
  <si>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</si>
  <si>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</si>
  <si>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</si>
  <si>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</si>
  <si>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</si>
  <si>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</si>
  <si>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</si>
  <si>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</si>
  <si>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</si>
  <si>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</si>
  <si>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</si>
  <si>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</si>
  <si>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</si>
  <si>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</si>
  <si>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</si>
  <si>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</si>
  <si>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</si>
  <si>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</si>
  <si>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</si>
  <si>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</si>
  <si>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</si>
  <si>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</si>
  <si>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</si>
  <si>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</si>
  <si>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</si>
  <si>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</si>
  <si>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</si>
  <si>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</si>
  <si>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</si>
  <si>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</si>
  <si>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</si>
  <si>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</si>
  <si>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</si>
  <si>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</si>
  <si>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</si>
  <si>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</si>
  <si>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</si>
  <si>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</si>
  <si>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</si>
  <si>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</si>
  <si>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</si>
  <si>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</si>
  <si>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</si>
  <si>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</si>
  <si>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</si>
  <si>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</si>
  <si>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</si>
  <si>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</si>
  <si>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</si>
  <si>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</si>
  <si>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</si>
  <si>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</si>
  <si>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</si>
  <si>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</si>
  <si>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</si>
  <si>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</si>
  <si>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</si>
  <si>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</si>
  <si>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</si>
  <si>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</si>
  <si>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</si>
  <si>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</si>
  <si>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</si>
  <si>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</si>
  <si>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</si>
  <si>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Chercher Information pour l'analyse du projet</t>
  </si>
  <si>
    <t>Conditions et des contrats</t>
  </si>
  <si>
    <t>Conditions des contrats et rôles</t>
  </si>
  <si>
    <t>Mis a jour du projet, apk du v1</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</si>
  <si>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</si>
  <si>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</si>
  <si>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</si>
  <si>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</si>
  <si>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</si>
  <si>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</si>
  <si>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</si>
  <si>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</si>
  <si>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</si>
  <si>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</si>
  <si>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</si>
  <si>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</si>
  <si>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</si>
  <si>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</si>
  <si>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</si>
  <si>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</si>
  <si>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</si>
  <si>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</si>
  <si>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</si>
  <si>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</si>
  <si>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</si>
  <si>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</si>
  <si>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</si>
  <si>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</si>
  <si>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</si>
  <si>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</si>
  <si>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</si>
  <si>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</si>
  <si>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</si>
  <si>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</si>
  <si>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</si>
  <si>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</si>
  <si>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</si>
  <si>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</si>
  <si>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</si>
  <si>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</si>
  <si>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Recherches des images et exemples des interfaces app</t>
  </si>
  <si>
    <t>Control de travail : améliorer les maquettes avec de vrais exemples, le MCD à corriger. Planification validé</t>
  </si>
  <si>
    <t>Recherche des informations et de exemples pour les maquettes</t>
  </si>
  <si>
    <t>Corrections</t>
  </si>
  <si>
    <t>Corrections sur l'orthographie</t>
  </si>
  <si>
    <t>Problèmes de synchronisation</t>
  </si>
  <si>
    <t xml:space="preserve">Amélioration sur les maquettes : background blanc, pas des options scroll, plutôt des boutons, remplacer le panier par une liste de contrats. </t>
  </si>
  <si>
    <t>Réalisation - Frontend</t>
  </si>
  <si>
    <t>Ajouter une gitignore</t>
  </si>
  <si>
    <t>Problèmes de compatibilité avec Net9.</t>
  </si>
  <si>
    <t>Améliorations sur les concepts Figma</t>
  </si>
  <si>
    <t>Ajouter le "réalisation - frontend" sur le planning</t>
  </si>
  <si>
    <t>Améliorations de pages</t>
  </si>
  <si>
    <t>Améliorations sur interfaces et boutons</t>
  </si>
  <si>
    <t>Montrer avance du projet + corrections sur UX</t>
  </si>
  <si>
    <t>Petits modifications sur les UX Figma</t>
  </si>
  <si>
    <t>Recherche d'information pour améliorer le MCD</t>
  </si>
  <si>
    <t>J'ai ajouté la page Valider Contrat</t>
  </si>
  <si>
    <t>Changement de Coulours, améliorer les centre et positions des objets, ajouter Coulours palette</t>
  </si>
  <si>
    <t>Correction dans les modèles MCD</t>
  </si>
  <si>
    <t>Amélioration de la structure du docker et du nodejs qui généraient une erreur lors du lancement de l'API.</t>
  </si>
  <si>
    <t>Correction des noms dans la base de données</t>
  </si>
  <si>
    <t>Modifications apportées à certaines options des contrats conformément au CDC</t>
  </si>
  <si>
    <t>Conception du backend et utilisation avec Docker</t>
  </si>
  <si>
    <t>Code db : photographer</t>
  </si>
  <si>
    <t>Une autre perspective sur les rôles et les contrats</t>
  </si>
  <si>
    <t>Conception de la manière dont le backend et ses besoins peuvent être intégrés.</t>
  </si>
  <si>
    <t>Différencier les informations et les rôles nécessaires pour l'API</t>
  </si>
  <si>
    <t>Intégration de Docker et conteneurs</t>
  </si>
  <si>
    <t>Code SQL et l'intégrer pour Docker</t>
  </si>
  <si>
    <t>Code docker compose fonctionnel avec le db</t>
  </si>
  <si>
    <t xml:space="preserve">Code des routes pour la connexion et la création d'un compte, mais sans réussi. </t>
  </si>
  <si>
    <t xml:space="preserve">Modifications réalisé après un feedback pour améliorer </t>
  </si>
  <si>
    <t>Code et arborescence des ficher</t>
  </si>
  <si>
    <t>Page de partage de photo OK. Changement de tous les images, icone et couleur</t>
  </si>
  <si>
    <t>Page de photo, comment ajouter la fonctionnalité de camera, et ajouter photo des mon galerie. Page de partage OK</t>
  </si>
  <si>
    <t>Pages catalogue, contrats, et profil en mode basique OK</t>
  </si>
  <si>
    <t>Pages de registre et login en basic OK</t>
  </si>
  <si>
    <t>La création et la connexion de compte avec l'API fonctionnent.</t>
  </si>
  <si>
    <t>Ajustements avec le docker et sa structure pour avoir accès à ses ports</t>
  </si>
  <si>
    <t>Code : structure des routes et contrôleurs pour photos</t>
  </si>
  <si>
    <t>Correction de la structure des fichiers</t>
  </si>
  <si>
    <t>Code : structure des routes et contrôleurs pour contrats</t>
  </si>
  <si>
    <t>Modification du db pour l'adapter au backend</t>
  </si>
  <si>
    <t>systèmes de cryptage de mdp et création de droits d'accès pour les utilisateurs</t>
  </si>
  <si>
    <t>Validation d'une liste de requets utilisées pour l'utilisation de l'application</t>
  </si>
  <si>
    <t>Code pour l'intégration du backend avec le frontend : service/ApiService.cs</t>
  </si>
  <si>
    <t>Modification de Docker et de ses ports pour l'adapter au frontend</t>
  </si>
  <si>
    <t>Modification des requêtes et de leurs noms pour les adapter au frontend</t>
  </si>
  <si>
    <t>Code pour l'intégration du backend avec le frontend : service/ApiService.cs et ajouter des routes</t>
  </si>
  <si>
    <t>Realisation de les pages : Catalogue, Profil, se desconnecter, afficher contrats.</t>
  </si>
  <si>
    <t>Adaptation des frontend pour le backend sur : Catalogue, profil et contrats</t>
  </si>
  <si>
    <t>Diagrammes pour l'explication du program et ces rôles.</t>
  </si>
  <si>
    <t>System de stockage et partage des images avec Cloudinary. Page de uploadePhoto finalisée</t>
  </si>
  <si>
    <t>https://app.diagrams.net/</t>
  </si>
  <si>
    <t xml:space="preserve">Réorganisation des tâches en attente et des tâches réalisées. </t>
  </si>
  <si>
    <t>Diagrammes de l'architecture logique et finalisation du chapitre 1 Analyse préliminaire (Introduction, Objectifs, Planification initiale)</t>
  </si>
  <si>
    <t>Modification du gitignore pour adapter à Cloudinary</t>
  </si>
  <si>
    <t>90h 40 min</t>
  </si>
  <si>
    <t>67h 25 min</t>
  </si>
  <si>
    <t>- 23h 15 min</t>
  </si>
  <si>
    <t>Modifications apportées à la documentation, aux images et aux schémas avec légendes et mises au point. Description pour le chapitre 2.4. Modélisation des données.</t>
  </si>
  <si>
    <t>Rédaction des tests actuels</t>
  </si>
  <si>
    <t>Présentation de mon projet sous forme d'une petite démo fonctionnelle. Corrections et améliorations possibles pour un TPI réel.</t>
  </si>
  <si>
    <t>Corrections de bugs et suggestion de ma cheffe du projet.</t>
  </si>
  <si>
    <t>Meeting avec mon chef de TPI</t>
  </si>
  <si>
    <t>Finalisation du chapitre dossier de conception et des descriptions des modèles de données</t>
  </si>
  <si>
    <t xml:space="preserve">Ajouter des tests en local à essayer plus tard. </t>
  </si>
  <si>
    <t xml:space="preserve">Test pas intégré dans le code de git car il fait de problèmes. </t>
  </si>
  <si>
    <t xml:space="preserve">Diagramme d'architecture. Présentation d'un schème pour le dossier de réalisation. Prendre des captures d'écran et fournir des références sur l'état actuel de mon projet. Aligner les images et les textes comme pour un document officiel. </t>
  </si>
  <si>
    <t xml:space="preserve">Bugs trouvé et effacer de code supplémentaire </t>
  </si>
  <si>
    <t>Ajouter les suggestions de ma cheffe d'équipe dans le rapport. Début du dossier de conception</t>
  </si>
  <si>
    <t>Flux de navigation e et finalisation du chapitre 2 Concept ( Analyse fonctionnelle, flux de navigation, tests, maquettes UI/UX et MCD/MLD)</t>
  </si>
  <si>
    <t xml:space="preserve">Tests et vérifications de fonctionnalités basique du projet </t>
  </si>
  <si>
    <t>Diagrammes pour définir les cas d'utilisation et son architectura logicielle avec</t>
  </si>
  <si>
    <t>Réalisation de les pages : contrats selon le rôle et réalisation de contrats.</t>
  </si>
  <si>
    <t>Première analyse de l'avancement du projet. Examen des points clés pour son évaluation.</t>
  </si>
  <si>
    <t>Début de dossier de réalisation et conclusions</t>
  </si>
  <si>
    <t xml:space="preserve">Diagrammes du dossier de réalisation : Backend, Frontend code et arborescence. </t>
  </si>
  <si>
    <t>dossier de réalisation et conclusions en cours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</si>
</sst>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1" borderId="18" xfId="0" applyFont="1" applyFill="1" applyBorder="1"/>
    <xf numFmtId="0" fontId="2" fillId="21" borderId="19"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54" xfId="0" applyFont="1" applyFill="1" applyBorder="1"/>
    <xf numFmtId="0" fontId="2" fillId="21" borderId="27" xfId="0" applyFont="1" applyFill="1" applyBorder="1"/>
    <xf numFmtId="0" fontId="2" fillId="21" borderId="71" xfId="0" applyFont="1" applyFill="1" applyBorder="1"/>
    <xf numFmtId="0" fontId="2" fillId="21"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18" fillId="0" borderId="5" xfId="0" applyNumberFormat="1" applyFont="1" applyBorder="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6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10h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dLbl>
              <c:idx val="22"/>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C07-49B6-8A05-53F8BFC1867C}"/>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Frontend</c:v>
              </c:pt>
              <c:pt idx="19">
                <c:v>Réalisation - Git</c:v>
              </c:pt>
              <c:pt idx="20">
                <c:v>Réalisation - intégration mobile–backend</c:v>
              </c:pt>
              <c:pt idx="21">
                <c:v>Test - corrections</c:v>
              </c:pt>
              <c:pt idx="22">
                <c:v>Test - Unitaire</c:v>
              </c:pt>
            </c:strLit>
          </c:cat>
          <c:val>
            <c:numLit>
              <c:formatCode>General</c:formatCode>
              <c:ptCount val="23"/>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125</c:v>
              </c:pt>
              <c:pt idx="15">
                <c:v>28</c:v>
              </c:pt>
              <c:pt idx="16">
                <c:v>33</c:v>
              </c:pt>
              <c:pt idx="17">
                <c:v>43</c:v>
              </c:pt>
              <c:pt idx="18">
                <c:v>105</c:v>
              </c:pt>
              <c:pt idx="19">
                <c:v>40</c:v>
              </c:pt>
              <c:pt idx="20">
                <c:v>92</c:v>
              </c:pt>
              <c:pt idx="21">
                <c:v>65</c:v>
              </c:pt>
              <c:pt idx="22">
                <c:v>66</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1"/>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C07-49B6-8A05-53F8BFC1867C}"/>
                </c:ext>
              </c:extLst>
            </c:dLbl>
            <c:dLbl>
              <c:idx val="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C07-49B6-8A05-53F8BFC1867C}"/>
                </c:ext>
              </c:extLst>
            </c:dLbl>
            <c:dLbl>
              <c:idx val="3"/>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C07-49B6-8A05-53F8BFC1867C}"/>
                </c:ext>
              </c:extLst>
            </c:dLbl>
            <c:dLbl>
              <c:idx val="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C07-49B6-8A05-53F8BFC1867C}"/>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7h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7h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3"/>
              <c:tx>
                <c:rich>
                  <a:bodyPr/>
                  <a:lstStyle/>
                  <a:p>
                    <a:r>
                      <a:rPr lang="en-US"/>
                      <a:t>6h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C07-49B6-8A05-53F8BFC1867C}"/>
                </c:ext>
              </c:extLst>
            </c:dLbl>
            <c:dLbl>
              <c:idx val="14"/>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0C07-49B6-8A05-53F8BFC1867C}"/>
                </c:ext>
              </c:extLst>
            </c:dLbl>
            <c:dLbl>
              <c:idx val="16"/>
              <c:tx>
                <c:rich>
                  <a:bodyPr/>
                  <a:lstStyle/>
                  <a:p>
                    <a:r>
                      <a:rPr lang="en-US"/>
                      <a:t>4h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0C07-49B6-8A05-53F8BFC1867C}"/>
                </c:ext>
              </c:extLst>
            </c:dLbl>
            <c:dLbl>
              <c:idx val="1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C07-49B6-8A05-53F8BFC1867C}"/>
                </c:ext>
              </c:extLst>
            </c:dLbl>
            <c:dLbl>
              <c:idx val="18"/>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0C07-49B6-8A05-53F8BFC1867C}"/>
                </c:ext>
              </c:extLst>
            </c:dLbl>
            <c:dLbl>
              <c:idx val="19"/>
              <c:tx>
                <c:rich>
                  <a:bodyPr/>
                  <a:lstStyle/>
                  <a:p>
                    <a:r>
                      <a:rPr lang="en-US"/>
                      <a:t>6h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0C07-49B6-8A05-53F8BFC1867C}"/>
                </c:ext>
              </c:extLst>
            </c:dLbl>
            <c:dLbl>
              <c:idx val="21"/>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C07-49B6-8A05-53F8BFC1867C}"/>
                </c:ext>
              </c:extLst>
            </c:dLbl>
            <c:dLbl>
              <c:idx val="22"/>
              <c:tx>
                <c:rich>
                  <a:bodyPr/>
                  <a:lstStyle/>
                  <a:p>
                    <a:r>
                      <a:rPr lang="en-US"/>
                      <a:t>6h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0C07-49B6-8A05-53F8BFC1867C}"/>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36</c:v>
              </c:pt>
              <c:pt idx="1">
                <c:v>9</c:v>
              </c:pt>
              <c:pt idx="2">
                <c:v>10</c:v>
              </c:pt>
              <c:pt idx="3">
                <c:v>28</c:v>
              </c:pt>
              <c:pt idx="4">
                <c:v>0</c:v>
              </c:pt>
              <c:pt idx="5">
                <c:v>6</c:v>
              </c:pt>
              <c:pt idx="6">
                <c:v>12</c:v>
              </c:pt>
              <c:pt idx="7">
                <c:v>72</c:v>
              </c:pt>
              <c:pt idx="8">
                <c:v>15</c:v>
              </c:pt>
              <c:pt idx="9">
                <c:v>16</c:v>
              </c:pt>
              <c:pt idx="10">
                <c:v>86</c:v>
              </c:pt>
              <c:pt idx="11">
                <c:v>85</c:v>
              </c:pt>
              <c:pt idx="12">
                <c:v>22</c:v>
              </c:pt>
              <c:pt idx="13">
                <c:v>81</c:v>
              </c:pt>
              <c:pt idx="14">
                <c:v>40</c:v>
              </c:pt>
              <c:pt idx="15">
                <c:v>16</c:v>
              </c:pt>
              <c:pt idx="16">
                <c:v>50</c:v>
              </c:pt>
              <c:pt idx="17">
                <c:v>35</c:v>
              </c:pt>
              <c:pt idx="18">
                <c:v>18</c:v>
              </c:pt>
              <c:pt idx="19">
                <c:v>80</c:v>
              </c:pt>
              <c:pt idx="20">
                <c:v>0</c:v>
              </c:pt>
              <c:pt idx="21">
                <c:v>9</c:v>
              </c:pt>
              <c:pt idx="22">
                <c:v>83</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41h 40 min</a:t>
                    </a:r>
                  </a:p>
                  <a:p>
                    <a:r>
                      <a:rPr lang="en-US"/>
                      <a:t> 46.5%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10h 55 min</a:t>
                    </a:r>
                  </a:p>
                  <a:p>
                    <a:r>
                      <a:rPr lang="en-US"/>
                      <a:t> 12.2%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110</c:v>
              </c:pt>
              <c:pt idx="2">
                <c:v>119</c:v>
              </c:pt>
              <c:pt idx="3">
                <c:v>216</c:v>
              </c:pt>
              <c:pt idx="4">
                <c:v>500</c:v>
              </c:pt>
              <c:pt idx="5">
                <c:v>131</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3h</a:t>
                    </a:r>
                  </a:p>
                  <a:p>
                    <a:r>
                      <a:rPr lang="en-US"/>
                      <a:t> 4.6%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4h 25 min</a:t>
                    </a:r>
                  </a:p>
                  <a:p>
                    <a:r>
                      <a:rPr lang="en-US"/>
                      <a:t> 6.7%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8h 15 min</a:t>
                    </a:r>
                  </a:p>
                  <a:p>
                    <a:r>
                      <a:rPr lang="en-US"/>
                      <a:t> 12.6%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15h 35 min</a:t>
                    </a:r>
                  </a:p>
                  <a:p>
                    <a:r>
                      <a:rPr lang="en-US"/>
                      <a:t> 23.8%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26h 40 min</a:t>
                    </a:r>
                  </a:p>
                  <a:p>
                    <a:r>
                      <a:rPr lang="en-US"/>
                      <a:t> 40.7%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7h 40 min</a:t>
                    </a:r>
                  </a:p>
                  <a:p>
                    <a:r>
                      <a:rPr lang="en-US"/>
                      <a:t> 11.7%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36</c:v>
              </c:pt>
              <c:pt idx="1">
                <c:v>53</c:v>
              </c:pt>
              <c:pt idx="2">
                <c:v>99</c:v>
              </c:pt>
              <c:pt idx="3">
                <c:v>187</c:v>
              </c:pt>
              <c:pt idx="4">
                <c:v>320</c:v>
              </c:pt>
              <c:pt idx="5">
                <c:v>92</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8.emf"/><Relationship Id="rId3" Type="http://schemas.openxmlformats.org/officeDocument/2006/relationships/hyperlink" Target="https://github.com/Adrtoledocam/P_APPRO1_ProPhotoStock/tree/main/docs/03_Rapport" TargetMode="External"/><Relationship Id="rId7" Type="http://schemas.openxmlformats.org/officeDocument/2006/relationships/printerSettings" Target="../printerSettings/printerSettings4.bin"/><Relationship Id="rId12" Type="http://schemas.openxmlformats.org/officeDocument/2006/relationships/control" Target="../activeX/activeX7.xml"/><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hyperlink" Target="https://app.diagrams.net/" TargetMode="External"/><Relationship Id="rId11" Type="http://schemas.openxmlformats.org/officeDocument/2006/relationships/image" Target="../media/image7.emf"/><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control" Target="../activeX/activeX6.xml"/><Relationship Id="rId4" Type="http://schemas.openxmlformats.org/officeDocument/2006/relationships/hyperlink" Target="https://github.com/Adrtoledocam/P_APPRO1_ProPhotoStock/tree/main/docs/05_JRNTRVL" TargetMode="External"/><Relationship Id="rId9"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9" zoomScale="55" zoomScaleNormal="55" workbookViewId="0">
      <selection activeCell="AE62" sqref="AE62"/>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252</v>
      </c>
      <c r="G45" s="216" t="s">
        <v>1</v>
      </c>
      <c r="H45" s="216"/>
      <c r="I45" s="216"/>
      <c r="J45" s="140" t="s">
        <v>253</v>
      </c>
      <c r="L45" s="217" t="s">
        <v>2</v>
      </c>
      <c r="M45" s="217"/>
      <c r="N45" s="218" t="s">
        <v>254</v>
      </c>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99"/>
  <sheetViews>
    <sheetView showGridLines="0" topLeftCell="A43" zoomScale="55" zoomScaleNormal="55" zoomScaleSheetLayoutView="43" workbookViewId="0">
      <selection activeCell="F94" sqref="F94:BSS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865" width="1.140625" style="2" customWidth="1"/>
    <col min="1866" max="1866" width="2.7109375" style="2" customWidth="1"/>
    <col min="1867" max="16384" width="11.42578125" style="2"/>
  </cols>
  <sheetData>
    <row r="1" spans="1:1866" ht="35.1" customHeight="1" x14ac:dyDescent="0.25">
      <c r="B1" s="141"/>
      <c r="C1" s="240" t="s">
        <v>3</v>
      </c>
      <c r="D1" s="240"/>
      <c r="E1" s="24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6">
        <v>1</v>
      </c>
    </row>
    <row r="2" spans="1:18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3"/>
    </row>
    <row r="3" spans="1:1866"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3"/>
    </row>
    <row r="4" spans="1:1866"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3"/>
    </row>
    <row r="5" spans="1:1866"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3"/>
    </row>
    <row r="6" spans="1:1866"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3"/>
    </row>
    <row r="7" spans="1:1866" ht="20.100000000000001" customHeight="1" thickBot="1" x14ac:dyDescent="0.3">
      <c r="B7" s="51"/>
      <c r="C7" s="241"/>
      <c r="D7" s="241"/>
      <c r="E7" s="24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3"/>
    </row>
    <row r="8" spans="1:1866"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3"/>
    </row>
    <row r="9" spans="1:1866" ht="30" customHeight="1" x14ac:dyDescent="0.25">
      <c r="B9" s="51"/>
      <c r="C9" s="9" t="s">
        <v>9</v>
      </c>
      <c r="D9" s="114"/>
      <c r="E9" s="10" t="s">
        <v>10</v>
      </c>
      <c r="F9" s="11"/>
      <c r="G9" s="244" t="str">
        <f>E96</f>
        <v>90h 40 min</v>
      </c>
      <c r="H9" s="244"/>
      <c r="I9" s="244"/>
      <c r="J9" s="244"/>
      <c r="K9" s="244"/>
      <c r="L9" s="244"/>
      <c r="M9" s="244"/>
      <c r="N9" s="244"/>
      <c r="O9" s="244"/>
      <c r="P9" s="244"/>
      <c r="Q9" s="244"/>
      <c r="R9" s="244"/>
      <c r="S9" s="244"/>
      <c r="T9" s="244"/>
      <c r="U9" s="244"/>
      <c r="V9" s="94"/>
      <c r="W9" s="245" t="s">
        <v>11</v>
      </c>
      <c r="X9" s="245"/>
      <c r="Y9" s="245"/>
      <c r="Z9" s="245"/>
      <c r="AA9" s="245"/>
      <c r="AB9" s="245"/>
      <c r="AC9" s="245"/>
      <c r="AD9" s="245"/>
      <c r="AE9" s="245"/>
      <c r="AF9" s="245"/>
      <c r="AG9" s="245"/>
      <c r="AH9" s="244" t="str">
        <f>E98</f>
        <v>67h 25 min</v>
      </c>
      <c r="AI9" s="244"/>
      <c r="AJ9" s="244"/>
      <c r="AK9" s="244"/>
      <c r="AL9" s="244"/>
      <c r="AM9" s="244"/>
      <c r="AN9" s="244"/>
      <c r="AO9" s="244"/>
      <c r="AP9" s="244"/>
      <c r="AQ9" s="244"/>
      <c r="AR9" s="244"/>
      <c r="AS9" s="244"/>
      <c r="AT9" s="244"/>
      <c r="AU9" s="244"/>
      <c r="AV9" s="244"/>
      <c r="AW9" s="24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3"/>
    </row>
    <row r="10" spans="1:18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3"/>
      <c r="BO10" s="243"/>
      <c r="BP10" s="243"/>
      <c r="BQ10" s="243"/>
      <c r="BR10" s="243"/>
      <c r="BS10" s="243"/>
      <c r="BT10" s="243"/>
      <c r="BU10" s="243"/>
      <c r="BV10" s="243"/>
      <c r="BW10" s="243"/>
      <c r="BX10" s="243"/>
      <c r="BY10" s="243"/>
      <c r="BZ10" s="243"/>
      <c r="CA10" s="243"/>
      <c r="CB10" s="243"/>
      <c r="CC10" s="243"/>
      <c r="CD10" s="243"/>
      <c r="CE10" s="243"/>
      <c r="CF10" s="243"/>
      <c r="CG10" s="243"/>
      <c r="CH10" s="243"/>
      <c r="CI10" s="243"/>
      <c r="CJ10" s="243"/>
      <c r="CK10" s="243"/>
      <c r="CL10" s="243"/>
      <c r="CM10" s="243"/>
      <c r="CN10" s="243"/>
      <c r="CO10" s="243"/>
      <c r="CP10" s="243"/>
      <c r="CQ10" s="75"/>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220"/>
      <c r="BHG10" s="220"/>
      <c r="BHH10" s="220"/>
      <c r="BHI10" s="220"/>
      <c r="BHJ10" s="220"/>
      <c r="BHK10" s="220"/>
      <c r="BHL10" s="220"/>
      <c r="BHM10" s="220"/>
      <c r="BHN10" s="220"/>
      <c r="BHO10" s="220"/>
      <c r="BHP10" s="220"/>
      <c r="BHQ10" s="220"/>
      <c r="BHR10" s="220"/>
      <c r="BHS10" s="220"/>
      <c r="BHT10" s="220"/>
      <c r="BHU10" s="220"/>
      <c r="BHV10" s="220"/>
      <c r="BHW10" s="220"/>
      <c r="BHX10" s="220"/>
      <c r="BHY10" s="220"/>
      <c r="BHZ10" s="220"/>
      <c r="BIA10" s="220"/>
      <c r="BIB10" s="220"/>
      <c r="BIC10" s="220"/>
      <c r="BID10" s="220"/>
      <c r="BIE10" s="220"/>
      <c r="BIF10" s="220"/>
      <c r="BIG10" s="220"/>
      <c r="BIH10" s="220"/>
      <c r="BII10" s="220"/>
      <c r="BIJ10" s="220"/>
      <c r="BIK10" s="220"/>
      <c r="BIL10" s="220"/>
      <c r="BIM10" s="220"/>
      <c r="BIN10" s="220"/>
      <c r="BIO10" s="220"/>
      <c r="BIP10" s="220"/>
      <c r="BIQ10" s="220"/>
      <c r="BIR10" s="220"/>
      <c r="BIS10" s="220"/>
      <c r="BIT10" s="220"/>
      <c r="BIU10" s="220"/>
      <c r="BIV10" s="220"/>
      <c r="BIW10" s="220"/>
      <c r="BIX10" s="220"/>
      <c r="BIY10" s="220"/>
      <c r="BIZ10" s="220"/>
      <c r="BJA10" s="220"/>
      <c r="BJB10" s="220"/>
      <c r="BJC10" s="220"/>
      <c r="BJD10" s="220"/>
      <c r="BJE10" s="220"/>
      <c r="BJF10" s="220"/>
      <c r="BJG10" s="220"/>
      <c r="BJH10" s="220"/>
      <c r="BJI10" s="220"/>
      <c r="BJJ10" s="220"/>
      <c r="BJK10" s="220"/>
      <c r="BJL10" s="220"/>
      <c r="BJM10" s="220"/>
      <c r="BJN10" s="220"/>
      <c r="BJO10" s="220"/>
      <c r="BJP10" s="220"/>
      <c r="BJQ10" s="220"/>
      <c r="BJR10" s="220"/>
      <c r="BJS10" s="220"/>
      <c r="BJT10" s="220"/>
      <c r="BJU10" s="220"/>
      <c r="BJV10" s="220"/>
      <c r="BJW10" s="220"/>
      <c r="BJX10" s="220"/>
      <c r="BJY10" s="220"/>
      <c r="BJZ10" s="220"/>
      <c r="BKA10" s="220"/>
      <c r="BKB10" s="220"/>
      <c r="BKC10" s="220"/>
      <c r="BKD10" s="220"/>
      <c r="BKE10" s="220"/>
      <c r="BKF10" s="220"/>
      <c r="BKG10" s="220"/>
      <c r="BKH10" s="220"/>
      <c r="BKI10" s="220"/>
      <c r="BKJ10" s="220"/>
      <c r="BKK10" s="220"/>
      <c r="BKL10" s="220"/>
      <c r="BKM10" s="220"/>
      <c r="BKN10" s="220"/>
      <c r="BKO10" s="220"/>
      <c r="BKP10" s="220"/>
      <c r="BKQ10" s="220"/>
      <c r="BKR10" s="220"/>
      <c r="BKS10" s="220"/>
      <c r="BKT10" s="220"/>
      <c r="BKU10" s="220"/>
      <c r="BKV10" s="220"/>
      <c r="BKW10" s="220"/>
      <c r="BKX10" s="220"/>
      <c r="BKY10" s="220"/>
      <c r="BKZ10" s="220"/>
      <c r="BLA10" s="220"/>
      <c r="BLB10" s="220"/>
      <c r="BLC10" s="220"/>
      <c r="BLD10" s="220"/>
      <c r="BLE10" s="220"/>
      <c r="BLF10" s="220"/>
      <c r="BLG10" s="220"/>
      <c r="BLH10" s="220"/>
      <c r="BLI10" s="220"/>
      <c r="BLJ10" s="220"/>
      <c r="BLK10" s="220"/>
      <c r="BLL10" s="220"/>
      <c r="BLM10" s="220"/>
      <c r="BLN10" s="220"/>
      <c r="BLO10" s="220"/>
      <c r="BLP10" s="220"/>
      <c r="BLQ10" s="220"/>
      <c r="BLR10" s="220"/>
      <c r="BLS10" s="220"/>
      <c r="BLT10" s="220"/>
      <c r="BLU10" s="220"/>
      <c r="BLV10" s="220"/>
      <c r="BLW10" s="220"/>
      <c r="BLX10" s="220"/>
      <c r="BLY10" s="220"/>
      <c r="BLZ10" s="220"/>
      <c r="BMA10" s="220"/>
      <c r="BMB10" s="220"/>
      <c r="BMC10" s="220"/>
      <c r="BMD10" s="220"/>
      <c r="BME10" s="220"/>
      <c r="BMF10" s="220"/>
      <c r="BMG10" s="220"/>
      <c r="BMH10" s="220"/>
      <c r="BMI10" s="220"/>
      <c r="BMJ10" s="220"/>
      <c r="BMK10" s="220"/>
      <c r="BML10" s="220"/>
      <c r="BMM10" s="220"/>
      <c r="BMN10" s="220"/>
      <c r="BMO10" s="220"/>
      <c r="BMP10" s="220"/>
      <c r="BMQ10" s="220"/>
      <c r="BMR10" s="220"/>
      <c r="BMS10" s="220"/>
      <c r="BMT10" s="220"/>
      <c r="BMU10" s="220"/>
      <c r="BMV10" s="220"/>
      <c r="BMW10" s="220"/>
      <c r="BMX10" s="220"/>
      <c r="BMY10" s="220"/>
      <c r="BMZ10" s="220"/>
      <c r="BNA10" s="220"/>
      <c r="BNB10" s="220"/>
      <c r="BNC10" s="220"/>
      <c r="BND10" s="220"/>
      <c r="BNE10" s="220"/>
      <c r="BNF10" s="220"/>
      <c r="BNG10" s="220"/>
      <c r="BNH10" s="220"/>
      <c r="BNI10" s="220"/>
      <c r="BNJ10" s="220"/>
      <c r="BNK10" s="220"/>
      <c r="BNL10" s="220"/>
      <c r="BNM10" s="220"/>
      <c r="BNN10" s="220"/>
      <c r="BNO10" s="220"/>
      <c r="BNP10" s="220"/>
      <c r="BNQ10" s="220"/>
      <c r="BNR10" s="220"/>
      <c r="BNS10" s="220"/>
      <c r="BNT10" s="220"/>
      <c r="BNU10" s="220"/>
      <c r="BNV10" s="220"/>
      <c r="BNW10" s="220"/>
      <c r="BNX10" s="220"/>
      <c r="BNY10" s="220"/>
      <c r="BNZ10" s="220"/>
      <c r="BOA10" s="220"/>
      <c r="BOB10" s="220"/>
      <c r="BOC10" s="220"/>
      <c r="BOD10" s="220"/>
      <c r="BOE10" s="220"/>
      <c r="BOF10" s="220"/>
      <c r="BOG10" s="220"/>
      <c r="BOH10" s="220"/>
      <c r="BOI10" s="220"/>
      <c r="BOJ10" s="220"/>
      <c r="BOK10" s="220"/>
      <c r="BOL10" s="220"/>
      <c r="BOM10" s="220"/>
      <c r="BON10" s="220"/>
      <c r="BOO10" s="220"/>
      <c r="BOP10" s="220"/>
      <c r="BOQ10" s="220"/>
      <c r="BOR10" s="220"/>
      <c r="BOS10" s="220"/>
      <c r="BOT10" s="220"/>
      <c r="BOU10" s="220"/>
      <c r="BOV10" s="220"/>
      <c r="BOW10" s="220"/>
      <c r="BOX10" s="220"/>
      <c r="BOY10" s="220"/>
      <c r="BOZ10" s="220"/>
      <c r="BPA10" s="220"/>
      <c r="BPB10" s="220"/>
      <c r="BPC10" s="220"/>
      <c r="BPD10" s="220"/>
      <c r="BPE10" s="220"/>
      <c r="BPF10" s="220"/>
      <c r="BPG10" s="220"/>
      <c r="BPH10" s="220"/>
      <c r="BPI10" s="220"/>
      <c r="BPJ10" s="220"/>
      <c r="BPK10" s="220"/>
      <c r="BPL10" s="220"/>
      <c r="BPM10" s="220"/>
      <c r="BPN10" s="220"/>
      <c r="BPO10" s="220"/>
      <c r="BPP10" s="220"/>
      <c r="BPQ10" s="220"/>
      <c r="BPR10" s="220"/>
      <c r="BPS10" s="220"/>
      <c r="BPT10" s="220"/>
      <c r="BPU10" s="220"/>
      <c r="BPV10" s="220"/>
      <c r="BPW10" s="220"/>
      <c r="BPX10" s="220"/>
      <c r="BPY10" s="220"/>
      <c r="BPZ10" s="220"/>
      <c r="BQA10" s="220"/>
      <c r="BQB10" s="220"/>
      <c r="BQC10" s="220"/>
      <c r="BQD10" s="220"/>
      <c r="BQE10" s="220"/>
      <c r="BQF10" s="220"/>
      <c r="BQG10" s="220"/>
      <c r="BQH10" s="220"/>
      <c r="BQI10" s="220"/>
      <c r="BQJ10" s="220"/>
      <c r="BQK10" s="220"/>
      <c r="BQL10" s="220"/>
      <c r="BQM10" s="220"/>
      <c r="BQN10" s="220"/>
      <c r="BQO10" s="220"/>
      <c r="BQP10" s="220"/>
      <c r="BQQ10" s="220"/>
      <c r="BQR10" s="220"/>
      <c r="BQS10" s="220"/>
      <c r="BQT10" s="220"/>
      <c r="BQU10" s="220"/>
      <c r="BQV10" s="220"/>
      <c r="BQW10" s="220"/>
      <c r="BQX10" s="220"/>
      <c r="BQY10" s="220"/>
      <c r="BQZ10" s="220"/>
      <c r="BRA10" s="220"/>
      <c r="BRB10" s="220"/>
      <c r="BRC10" s="220"/>
      <c r="BRD10" s="220"/>
      <c r="BRE10" s="220"/>
      <c r="BRF10" s="220"/>
      <c r="BRG10" s="220"/>
      <c r="BRH10" s="220"/>
      <c r="BRI10" s="220"/>
      <c r="BRJ10" s="220"/>
      <c r="BRK10" s="220"/>
      <c r="BRL10" s="220"/>
      <c r="BRM10" s="220"/>
      <c r="BRN10" s="220"/>
      <c r="BRO10" s="220"/>
      <c r="BRP10" s="220"/>
      <c r="BRQ10" s="220"/>
      <c r="BRR10" s="220"/>
      <c r="BRS10" s="220"/>
      <c r="BRT10" s="220"/>
      <c r="BRU10" s="220"/>
      <c r="BRV10" s="220"/>
      <c r="BRW10" s="220"/>
      <c r="BRX10" s="220"/>
      <c r="BRY10" s="220"/>
      <c r="BRZ10" s="220"/>
      <c r="BSA10" s="220"/>
      <c r="BSB10" s="220"/>
      <c r="BSC10" s="220"/>
      <c r="BSD10" s="220"/>
      <c r="BSE10" s="220"/>
      <c r="BSF10" s="220"/>
      <c r="BSG10" s="220"/>
      <c r="BSH10" s="220"/>
      <c r="BSI10" s="220"/>
      <c r="BSJ10" s="220"/>
      <c r="BSK10" s="220"/>
      <c r="BSL10" s="220"/>
      <c r="BSM10" s="220"/>
      <c r="BSN10" s="220"/>
      <c r="BSO10" s="220"/>
      <c r="BSP10" s="220"/>
      <c r="BSQ10" s="220"/>
      <c r="BSR10" s="220"/>
      <c r="BSS10" s="220"/>
      <c r="BST10" s="73"/>
    </row>
    <row r="11" spans="1:1866" s="71" customFormat="1" ht="20.100000000000001" customHeight="1" x14ac:dyDescent="0.25">
      <c r="A11" s="146"/>
      <c r="B11" s="142"/>
      <c r="C11" s="231"/>
      <c r="D11" s="231"/>
      <c r="E11" s="231"/>
      <c r="F11" s="221" t="s">
        <v>72</v>
      </c>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t="s">
        <v>72</v>
      </c>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t="s">
        <v>71</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71</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68</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68</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65</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65</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151</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151</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148</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148</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145</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145</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142</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142</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139</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139</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136</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136</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133</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133</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64</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64</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61</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61</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221" t="s">
        <v>58</v>
      </c>
      <c r="BHG11" s="221"/>
      <c r="BHH11" s="221"/>
      <c r="BHI11" s="221"/>
      <c r="BHJ11" s="221"/>
      <c r="BHK11" s="221"/>
      <c r="BHL11" s="221"/>
      <c r="BHM11" s="221"/>
      <c r="BHN11" s="221"/>
      <c r="BHO11" s="221"/>
      <c r="BHP11" s="221"/>
      <c r="BHQ11" s="221"/>
      <c r="BHR11" s="221"/>
      <c r="BHS11" s="221"/>
      <c r="BHT11" s="221"/>
      <c r="BHU11" s="221"/>
      <c r="BHV11" s="221"/>
      <c r="BHW11" s="221"/>
      <c r="BHX11" s="221"/>
      <c r="BHY11" s="221"/>
      <c r="BHZ11" s="221"/>
      <c r="BIA11" s="221"/>
      <c r="BIB11" s="221"/>
      <c r="BIC11" s="221"/>
      <c r="BID11" s="221"/>
      <c r="BIE11" s="221"/>
      <c r="BIF11" s="221"/>
      <c r="BIG11" s="221"/>
      <c r="BIH11" s="221"/>
      <c r="BII11" s="221"/>
      <c r="BIJ11" s="221"/>
      <c r="BIK11" s="221"/>
      <c r="BIL11" s="221"/>
      <c r="BIM11" s="221"/>
      <c r="BIN11" s="221"/>
      <c r="BIO11" s="221"/>
      <c r="BIP11" s="221"/>
      <c r="BIQ11" s="221"/>
      <c r="BIR11" s="221"/>
      <c r="BIS11" s="221"/>
      <c r="BIT11" s="221"/>
      <c r="BIU11" s="221"/>
      <c r="BIV11" s="221"/>
      <c r="BIW11" s="221"/>
      <c r="BIX11" s="221"/>
      <c r="BIY11" s="221"/>
      <c r="BIZ11" s="221"/>
      <c r="BJA11" s="221"/>
      <c r="BJB11" s="221"/>
      <c r="BJC11" s="221"/>
      <c r="BJD11" s="221"/>
      <c r="BJE11" s="221"/>
      <c r="BJF11" s="221"/>
      <c r="BJG11" s="221"/>
      <c r="BJH11" s="221"/>
      <c r="BJI11" s="221"/>
      <c r="BJJ11" s="221"/>
      <c r="BJK11" s="221"/>
      <c r="BJL11" s="221"/>
      <c r="BJM11" s="221"/>
      <c r="BJN11" s="221" t="s">
        <v>58</v>
      </c>
      <c r="BJO11" s="221"/>
      <c r="BJP11" s="221"/>
      <c r="BJQ11" s="221"/>
      <c r="BJR11" s="221"/>
      <c r="BJS11" s="221"/>
      <c r="BJT11" s="221"/>
      <c r="BJU11" s="221"/>
      <c r="BJV11" s="221"/>
      <c r="BJW11" s="221"/>
      <c r="BJX11" s="221"/>
      <c r="BJY11" s="221"/>
      <c r="BJZ11" s="221"/>
      <c r="BKA11" s="221"/>
      <c r="BKB11" s="221"/>
      <c r="BKC11" s="221"/>
      <c r="BKD11" s="221"/>
      <c r="BKE11" s="221"/>
      <c r="BKF11" s="221"/>
      <c r="BKG11" s="221"/>
      <c r="BKH11" s="221"/>
      <c r="BKI11" s="221"/>
      <c r="BKJ11" s="221"/>
      <c r="BKK11" s="221"/>
      <c r="BKL11" s="221"/>
      <c r="BKM11" s="221"/>
      <c r="BKN11" s="221"/>
      <c r="BKO11" s="221"/>
      <c r="BKP11" s="221"/>
      <c r="BKQ11" s="221"/>
      <c r="BKR11" s="221"/>
      <c r="BKS11" s="221"/>
      <c r="BKT11" s="221"/>
      <c r="BKU11" s="221"/>
      <c r="BKV11" s="221"/>
      <c r="BKW11" s="221"/>
      <c r="BKX11" s="221"/>
      <c r="BKY11" s="221"/>
      <c r="BKZ11" s="221"/>
      <c r="BLA11" s="221"/>
      <c r="BLB11" s="221"/>
      <c r="BLC11" s="221"/>
      <c r="BLD11" s="221"/>
      <c r="BLE11" s="221"/>
      <c r="BLF11" s="221"/>
      <c r="BLG11" s="221"/>
      <c r="BLH11" s="221"/>
      <c r="BLI11" s="221"/>
      <c r="BLJ11" s="221"/>
      <c r="BLK11" s="221"/>
      <c r="BLL11" s="221"/>
      <c r="BLM11" s="221"/>
      <c r="BLN11" s="221"/>
      <c r="BLO11" s="221"/>
      <c r="BLP11" s="221"/>
      <c r="BLQ11" s="221"/>
      <c r="BLR11" s="221"/>
      <c r="BLS11" s="221"/>
      <c r="BLT11" s="221"/>
      <c r="BLU11" s="221"/>
      <c r="BLV11" s="221"/>
      <c r="BLW11" s="221"/>
      <c r="BLX11" s="221"/>
      <c r="BLY11" s="221"/>
      <c r="BLZ11" s="221"/>
      <c r="BMA11" s="221"/>
      <c r="BMB11" s="221"/>
      <c r="BMC11" s="221"/>
      <c r="BMD11" s="221"/>
      <c r="BME11" s="221"/>
      <c r="BMF11" s="221"/>
      <c r="BMG11" s="221"/>
      <c r="BMH11" s="221"/>
      <c r="BMI11" s="221"/>
      <c r="BMJ11" s="221"/>
      <c r="BMK11" s="221"/>
      <c r="BML11" s="221"/>
      <c r="BMM11" s="221"/>
      <c r="BMN11" s="221"/>
      <c r="BMO11" s="221"/>
      <c r="BMP11" s="221"/>
      <c r="BMQ11" s="221"/>
      <c r="BMR11" s="221"/>
      <c r="BMS11" s="221"/>
      <c r="BMT11" s="221"/>
      <c r="BMU11" s="221"/>
      <c r="BMV11" s="221"/>
      <c r="BMW11" s="221"/>
      <c r="BMX11" s="221"/>
      <c r="BMY11" s="221"/>
      <c r="BMZ11" s="221"/>
      <c r="BNA11" s="221"/>
      <c r="BNB11" s="221"/>
      <c r="BNC11" s="221"/>
      <c r="BND11" s="221"/>
      <c r="BNE11" s="221"/>
      <c r="BNF11" s="221"/>
      <c r="BNG11" s="221"/>
      <c r="BNH11" s="221"/>
      <c r="BNI11" s="221"/>
      <c r="BNJ11" s="221"/>
      <c r="BNK11" s="221"/>
      <c r="BNL11" s="221"/>
      <c r="BNM11" s="221"/>
      <c r="BNN11" s="221"/>
      <c r="BNO11" s="221"/>
      <c r="BNP11" s="221"/>
      <c r="BNQ11" s="221"/>
      <c r="BNR11" s="221"/>
      <c r="BNS11" s="221"/>
      <c r="BNT11" s="221"/>
      <c r="BNU11" s="221"/>
      <c r="BNV11" s="221"/>
      <c r="BNW11" s="221"/>
      <c r="BNX11" s="221"/>
      <c r="BNY11" s="221"/>
      <c r="BNZ11" s="221"/>
      <c r="BOA11" s="221"/>
      <c r="BOB11" s="221"/>
      <c r="BOC11" s="221"/>
      <c r="BOD11" s="221"/>
      <c r="BOE11" s="221"/>
      <c r="BOF11" s="221"/>
      <c r="BOG11" s="221"/>
      <c r="BOH11" s="221"/>
      <c r="BOI11" s="221"/>
      <c r="BOJ11" s="221"/>
      <c r="BOK11" s="221"/>
      <c r="BOL11" s="221"/>
      <c r="BOM11" s="221"/>
      <c r="BON11" s="221"/>
      <c r="BOO11" s="221"/>
      <c r="BOP11" s="221"/>
      <c r="BOQ11" s="221"/>
      <c r="BOR11" s="221"/>
      <c r="BOS11" s="221"/>
      <c r="BOT11" s="221"/>
      <c r="BOU11" s="221"/>
      <c r="BOV11" s="221"/>
      <c r="BOW11" s="221"/>
      <c r="BOX11" s="221"/>
      <c r="BOY11" s="221"/>
      <c r="BOZ11" s="221"/>
      <c r="BPA11" s="221"/>
      <c r="BPB11" s="221"/>
      <c r="BPC11" s="221"/>
      <c r="BPD11" s="221"/>
      <c r="BPE11" s="221"/>
      <c r="BPF11" s="221"/>
      <c r="BPG11" s="221"/>
      <c r="BPH11" s="221"/>
      <c r="BPI11" s="221"/>
      <c r="BPJ11" s="221"/>
      <c r="BPK11" s="221"/>
      <c r="BPL11" s="221"/>
      <c r="BPM11" s="221"/>
      <c r="BPN11" s="221"/>
      <c r="BPO11" s="221"/>
      <c r="BPP11" s="221"/>
      <c r="BPQ11" s="221"/>
      <c r="BPR11" s="221"/>
      <c r="BPS11" s="221"/>
      <c r="BPT11" s="221"/>
      <c r="BPU11" s="221"/>
      <c r="BPV11" s="221"/>
      <c r="BPW11" s="221"/>
      <c r="BPX11" s="221"/>
      <c r="BPY11" s="221"/>
      <c r="BPZ11" s="221"/>
      <c r="BQA11" s="221"/>
      <c r="BQB11" s="221"/>
      <c r="BQC11" s="221"/>
      <c r="BQD11" s="221"/>
      <c r="BQE11" s="221"/>
      <c r="BQF11" s="221"/>
      <c r="BQG11" s="221"/>
      <c r="BQH11" s="221"/>
      <c r="BQI11" s="221"/>
      <c r="BQJ11" s="221"/>
      <c r="BQK11" s="221"/>
      <c r="BQL11" s="221"/>
      <c r="BQM11" s="221"/>
      <c r="BQN11" s="221"/>
      <c r="BQO11" s="221"/>
      <c r="BQP11" s="221"/>
      <c r="BQQ11" s="221"/>
      <c r="BQR11" s="221"/>
      <c r="BQS11" s="221"/>
      <c r="BQT11" s="221"/>
      <c r="BQU11" s="221"/>
      <c r="BQV11" s="221"/>
      <c r="BQW11" s="221"/>
      <c r="BQX11" s="221"/>
      <c r="BQY11" s="221"/>
      <c r="BQZ11" s="221"/>
      <c r="BRA11" s="221"/>
      <c r="BRB11" s="221"/>
      <c r="BRC11" s="221"/>
      <c r="BRD11" s="221"/>
      <c r="BRE11" s="221"/>
      <c r="BRF11" s="221"/>
      <c r="BRG11" s="221"/>
      <c r="BRH11" s="221"/>
      <c r="BRI11" s="221"/>
      <c r="BRJ11" s="221"/>
      <c r="BRK11" s="221"/>
      <c r="BRL11" s="221"/>
      <c r="BRM11" s="221"/>
      <c r="BRN11" s="221"/>
      <c r="BRO11" s="221"/>
      <c r="BRP11" s="221"/>
      <c r="BRQ11" s="221"/>
      <c r="BRR11" s="221"/>
      <c r="BRS11" s="221"/>
      <c r="BRT11" s="221"/>
      <c r="BRU11" s="221"/>
      <c r="BRV11" s="221"/>
      <c r="BRW11" s="221"/>
      <c r="BRX11" s="221"/>
      <c r="BRY11" s="221"/>
      <c r="BRZ11" s="221"/>
      <c r="BSA11" s="221"/>
      <c r="BSB11" s="221"/>
      <c r="BSC11" s="221"/>
      <c r="BSD11" s="221"/>
      <c r="BSE11" s="221"/>
      <c r="BSF11" s="221"/>
      <c r="BSG11" s="221"/>
      <c r="BSH11" s="221"/>
      <c r="BSI11" s="221"/>
      <c r="BSJ11" s="221"/>
      <c r="BSK11" s="221"/>
      <c r="BSL11" s="221"/>
      <c r="BSM11" s="221"/>
      <c r="BSN11" s="221"/>
      <c r="BSO11" s="221"/>
      <c r="BSP11" s="221"/>
      <c r="BSQ11" s="221"/>
      <c r="BSR11" s="221"/>
      <c r="BSS11" s="221"/>
      <c r="BST11" s="73"/>
    </row>
    <row r="12" spans="1:1866" ht="49.5" customHeight="1" thickBot="1" x14ac:dyDescent="0.3">
      <c r="B12" s="143"/>
      <c r="C12" s="232"/>
      <c r="D12" s="232"/>
      <c r="E12" s="232"/>
      <c r="F12" s="242" t="s">
        <v>56</v>
      </c>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c r="AP12" s="242"/>
      <c r="AQ12" s="242"/>
      <c r="AR12" s="242"/>
      <c r="AS12" s="242"/>
      <c r="AT12" s="242"/>
      <c r="AU12" s="242"/>
      <c r="AV12" s="242"/>
      <c r="AW12" s="242"/>
      <c r="AX12" s="242"/>
      <c r="AY12" s="242"/>
      <c r="AZ12" s="242"/>
      <c r="BA12" s="242"/>
      <c r="BB12" s="242"/>
      <c r="BC12" s="242"/>
      <c r="BD12" s="242"/>
      <c r="BE12" s="242"/>
      <c r="BF12" s="242"/>
      <c r="BG12" s="242"/>
      <c r="BH12" s="242"/>
      <c r="BI12" s="242"/>
      <c r="BJ12" s="242"/>
      <c r="BK12" s="242"/>
      <c r="BL12" s="242"/>
      <c r="BM12" s="242"/>
      <c r="BN12" s="242" t="s">
        <v>55</v>
      </c>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c r="DR12" s="242"/>
      <c r="DS12" s="242"/>
      <c r="DT12" s="242"/>
      <c r="DU12" s="242"/>
      <c r="DV12" s="228" t="s">
        <v>56</v>
      </c>
      <c r="DW12" s="228"/>
      <c r="DX12" s="228"/>
      <c r="DY12" s="228"/>
      <c r="DZ12" s="228"/>
      <c r="EA12" s="228"/>
      <c r="EB12" s="228"/>
      <c r="EC12" s="228"/>
      <c r="ED12" s="228"/>
      <c r="EE12" s="228"/>
      <c r="EF12" s="228"/>
      <c r="EG12" s="228"/>
      <c r="EH12" s="228"/>
      <c r="EI12" s="228"/>
      <c r="EJ12" s="228"/>
      <c r="EK12" s="228"/>
      <c r="EL12" s="228"/>
      <c r="EM12" s="228"/>
      <c r="EN12" s="228"/>
      <c r="EO12" s="228"/>
      <c r="EP12" s="228"/>
      <c r="EQ12" s="228"/>
      <c r="ER12" s="228"/>
      <c r="ES12" s="228"/>
      <c r="ET12" s="228"/>
      <c r="EU12" s="228"/>
      <c r="EV12" s="228"/>
      <c r="EW12" s="228"/>
      <c r="EX12" s="228"/>
      <c r="EY12" s="228"/>
      <c r="EZ12" s="228"/>
      <c r="FA12" s="228"/>
      <c r="FB12" s="228"/>
      <c r="FC12" s="228"/>
      <c r="FD12" s="228"/>
      <c r="FE12" s="228"/>
      <c r="FF12" s="228"/>
      <c r="FG12" s="228"/>
      <c r="FH12" s="228"/>
      <c r="FI12" s="228"/>
      <c r="FJ12" s="228"/>
      <c r="FK12" s="228"/>
      <c r="FL12" s="228"/>
      <c r="FM12" s="228"/>
      <c r="FN12" s="228"/>
      <c r="FO12" s="228"/>
      <c r="FP12" s="228"/>
      <c r="FQ12" s="228"/>
      <c r="FR12" s="228"/>
      <c r="FS12" s="228"/>
      <c r="FT12" s="228"/>
      <c r="FU12" s="228"/>
      <c r="FV12" s="228"/>
      <c r="FW12" s="228"/>
      <c r="FX12" s="228"/>
      <c r="FY12" s="228"/>
      <c r="FZ12" s="228"/>
      <c r="GA12" s="228"/>
      <c r="GB12" s="228"/>
      <c r="GC12" s="228"/>
      <c r="GD12" s="222" t="s">
        <v>55</v>
      </c>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t="s">
        <v>56</v>
      </c>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t="s">
        <v>55</v>
      </c>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t="s">
        <v>56</v>
      </c>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t="s">
        <v>55</v>
      </c>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t="s">
        <v>56</v>
      </c>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t="s">
        <v>55</v>
      </c>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t="s">
        <v>56</v>
      </c>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t="s">
        <v>55</v>
      </c>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t="s">
        <v>56</v>
      </c>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t="s">
        <v>55</v>
      </c>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t="s">
        <v>56</v>
      </c>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t="s">
        <v>55</v>
      </c>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t="s">
        <v>56</v>
      </c>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t="s">
        <v>55</v>
      </c>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t="s">
        <v>56</v>
      </c>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t="s">
        <v>55</v>
      </c>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t="s">
        <v>56</v>
      </c>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t="s">
        <v>55</v>
      </c>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t="s">
        <v>56</v>
      </c>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t="s">
        <v>55</v>
      </c>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t="s">
        <v>56</v>
      </c>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t="s">
        <v>55</v>
      </c>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222" t="s">
        <v>56</v>
      </c>
      <c r="BHG12" s="222"/>
      <c r="BHH12" s="222"/>
      <c r="BHI12" s="222"/>
      <c r="BHJ12" s="222"/>
      <c r="BHK12" s="222"/>
      <c r="BHL12" s="222"/>
      <c r="BHM12" s="222"/>
      <c r="BHN12" s="222"/>
      <c r="BHO12" s="222"/>
      <c r="BHP12" s="222"/>
      <c r="BHQ12" s="222"/>
      <c r="BHR12" s="222"/>
      <c r="BHS12" s="222"/>
      <c r="BHT12" s="222"/>
      <c r="BHU12" s="222"/>
      <c r="BHV12" s="222"/>
      <c r="BHW12" s="222"/>
      <c r="BHX12" s="222"/>
      <c r="BHY12" s="222"/>
      <c r="BHZ12" s="222"/>
      <c r="BIA12" s="222"/>
      <c r="BIB12" s="222"/>
      <c r="BIC12" s="222"/>
      <c r="BID12" s="222"/>
      <c r="BIE12" s="222"/>
      <c r="BIF12" s="222"/>
      <c r="BIG12" s="222"/>
      <c r="BIH12" s="222"/>
      <c r="BII12" s="222"/>
      <c r="BIJ12" s="222"/>
      <c r="BIK12" s="222"/>
      <c r="BIL12" s="222"/>
      <c r="BIM12" s="222"/>
      <c r="BIN12" s="222"/>
      <c r="BIO12" s="222"/>
      <c r="BIP12" s="222"/>
      <c r="BIQ12" s="222"/>
      <c r="BIR12" s="222"/>
      <c r="BIS12" s="222"/>
      <c r="BIT12" s="222"/>
      <c r="BIU12" s="222"/>
      <c r="BIV12" s="222"/>
      <c r="BIW12" s="222"/>
      <c r="BIX12" s="222"/>
      <c r="BIY12" s="222"/>
      <c r="BIZ12" s="222"/>
      <c r="BJA12" s="222"/>
      <c r="BJB12" s="222"/>
      <c r="BJC12" s="222"/>
      <c r="BJD12" s="222"/>
      <c r="BJE12" s="222"/>
      <c r="BJF12" s="222"/>
      <c r="BJG12" s="222"/>
      <c r="BJH12" s="222"/>
      <c r="BJI12" s="222"/>
      <c r="BJJ12" s="222"/>
      <c r="BJK12" s="222"/>
      <c r="BJL12" s="222"/>
      <c r="BJM12" s="222"/>
      <c r="BJN12" s="222" t="s">
        <v>55</v>
      </c>
      <c r="BJO12" s="222"/>
      <c r="BJP12" s="222"/>
      <c r="BJQ12" s="222"/>
      <c r="BJR12" s="222"/>
      <c r="BJS12" s="222"/>
      <c r="BJT12" s="222"/>
      <c r="BJU12" s="222"/>
      <c r="BJV12" s="222"/>
      <c r="BJW12" s="222"/>
      <c r="BJX12" s="222"/>
      <c r="BJY12" s="222"/>
      <c r="BJZ12" s="222"/>
      <c r="BKA12" s="222"/>
      <c r="BKB12" s="222"/>
      <c r="BKC12" s="222"/>
      <c r="BKD12" s="222"/>
      <c r="BKE12" s="222"/>
      <c r="BKF12" s="222"/>
      <c r="BKG12" s="222"/>
      <c r="BKH12" s="222"/>
      <c r="BKI12" s="222"/>
      <c r="BKJ12" s="222"/>
      <c r="BKK12" s="222"/>
      <c r="BKL12" s="222"/>
      <c r="BKM12" s="222"/>
      <c r="BKN12" s="222"/>
      <c r="BKO12" s="222"/>
      <c r="BKP12" s="222"/>
      <c r="BKQ12" s="222"/>
      <c r="BKR12" s="222"/>
      <c r="BKS12" s="222"/>
      <c r="BKT12" s="222"/>
      <c r="BKU12" s="222"/>
      <c r="BKV12" s="222"/>
      <c r="BKW12" s="222"/>
      <c r="BKX12" s="222"/>
      <c r="BKY12" s="222"/>
      <c r="BKZ12" s="222"/>
      <c r="BLA12" s="222"/>
      <c r="BLB12" s="222"/>
      <c r="BLC12" s="222"/>
      <c r="BLD12" s="222"/>
      <c r="BLE12" s="222"/>
      <c r="BLF12" s="222"/>
      <c r="BLG12" s="222"/>
      <c r="BLH12" s="222"/>
      <c r="BLI12" s="222"/>
      <c r="BLJ12" s="222"/>
      <c r="BLK12" s="222"/>
      <c r="BLL12" s="222"/>
      <c r="BLM12" s="222"/>
      <c r="BLN12" s="222"/>
      <c r="BLO12" s="222"/>
      <c r="BLP12" s="222"/>
      <c r="BLQ12" s="222"/>
      <c r="BLR12" s="222"/>
      <c r="BLS12" s="222"/>
      <c r="BLT12" s="222"/>
      <c r="BLU12" s="222"/>
      <c r="BLV12" s="222"/>
      <c r="BLW12" s="222"/>
      <c r="BLX12" s="222"/>
      <c r="BLY12" s="222"/>
      <c r="BLZ12" s="222"/>
      <c r="BMA12" s="222"/>
      <c r="BMB12" s="222"/>
      <c r="BMC12" s="222"/>
      <c r="BMD12" s="222"/>
      <c r="BME12" s="222"/>
      <c r="BMF12" s="222"/>
      <c r="BMG12" s="222"/>
      <c r="BMH12" s="222"/>
      <c r="BMI12" s="222"/>
      <c r="BMJ12" s="222"/>
      <c r="BMK12" s="222"/>
      <c r="BML12" s="222"/>
      <c r="BMM12" s="222"/>
      <c r="BMN12" s="222"/>
      <c r="BMO12" s="222"/>
      <c r="BMP12" s="222"/>
      <c r="BMQ12" s="222"/>
      <c r="BMR12" s="222"/>
      <c r="BMS12" s="222"/>
      <c r="BMT12" s="222"/>
      <c r="BMU12" s="222"/>
      <c r="BMV12" s="222"/>
      <c r="BMW12" s="222"/>
      <c r="BMX12" s="222"/>
      <c r="BMY12" s="222"/>
      <c r="BMZ12" s="222"/>
      <c r="BNA12" s="222"/>
      <c r="BNB12" s="222"/>
      <c r="BNC12" s="222"/>
      <c r="BND12" s="222"/>
      <c r="BNE12" s="222"/>
      <c r="BNF12" s="222"/>
      <c r="BNG12" s="222"/>
      <c r="BNH12" s="222"/>
      <c r="BNI12" s="222"/>
      <c r="BNJ12" s="222"/>
      <c r="BNK12" s="222"/>
      <c r="BNL12" s="222"/>
      <c r="BNM12" s="222"/>
      <c r="BNN12" s="222"/>
      <c r="BNO12" s="222"/>
      <c r="BNP12" s="222"/>
      <c r="BNQ12" s="222"/>
      <c r="BNR12" s="222"/>
      <c r="BNS12" s="222"/>
      <c r="BNT12" s="222"/>
      <c r="BNU12" s="222"/>
      <c r="BNV12" s="222"/>
      <c r="BNW12" s="222"/>
      <c r="BNX12" s="222"/>
      <c r="BNY12" s="222"/>
      <c r="BNZ12" s="222"/>
      <c r="BOA12" s="222"/>
      <c r="BOB12" s="222"/>
      <c r="BOC12" s="222"/>
      <c r="BOD12" s="222"/>
      <c r="BOE12" s="222"/>
      <c r="BOF12" s="222"/>
      <c r="BOG12" s="222"/>
      <c r="BOH12" s="222"/>
      <c r="BOI12" s="222"/>
      <c r="BOJ12" s="222"/>
      <c r="BOK12" s="222"/>
      <c r="BOL12" s="222"/>
      <c r="BOM12" s="222"/>
      <c r="BON12" s="222"/>
      <c r="BOO12" s="222"/>
      <c r="BOP12" s="222"/>
      <c r="BOQ12" s="222"/>
      <c r="BOR12" s="222"/>
      <c r="BOS12" s="222"/>
      <c r="BOT12" s="222"/>
      <c r="BOU12" s="222"/>
      <c r="BOV12" s="222"/>
      <c r="BOW12" s="222"/>
      <c r="BOX12" s="222"/>
      <c r="BOY12" s="222"/>
      <c r="BOZ12" s="222"/>
      <c r="BPA12" s="222"/>
      <c r="BPB12" s="222"/>
      <c r="BPC12" s="222"/>
      <c r="BPD12" s="222"/>
      <c r="BPE12" s="222"/>
      <c r="BPF12" s="222"/>
      <c r="BPG12" s="222"/>
      <c r="BPH12" s="222"/>
      <c r="BPI12" s="222"/>
      <c r="BPJ12" s="222"/>
      <c r="BPK12" s="222"/>
      <c r="BPL12" s="222"/>
      <c r="BPM12" s="222"/>
      <c r="BPN12" s="222"/>
      <c r="BPO12" s="222"/>
      <c r="BPP12" s="222"/>
      <c r="BPQ12" s="222"/>
      <c r="BPR12" s="222"/>
      <c r="BPS12" s="222"/>
      <c r="BPT12" s="222"/>
      <c r="BPU12" s="222"/>
      <c r="BPV12" s="222"/>
      <c r="BPW12" s="222"/>
      <c r="BPX12" s="222"/>
      <c r="BPY12" s="222"/>
      <c r="BPZ12" s="222"/>
      <c r="BQA12" s="222"/>
      <c r="BQB12" s="222"/>
      <c r="BQC12" s="222"/>
      <c r="BQD12" s="222"/>
      <c r="BQE12" s="222"/>
      <c r="BQF12" s="222"/>
      <c r="BQG12" s="222"/>
      <c r="BQH12" s="222"/>
      <c r="BQI12" s="222"/>
      <c r="BQJ12" s="222"/>
      <c r="BQK12" s="222"/>
      <c r="BQL12" s="222"/>
      <c r="BQM12" s="222"/>
      <c r="BQN12" s="222"/>
      <c r="BQO12" s="222"/>
      <c r="BQP12" s="222"/>
      <c r="BQQ12" s="222"/>
      <c r="BQR12" s="222"/>
      <c r="BQS12" s="222"/>
      <c r="BQT12" s="222"/>
      <c r="BQU12" s="222"/>
      <c r="BQV12" s="222"/>
      <c r="BQW12" s="222"/>
      <c r="BQX12" s="222"/>
      <c r="BQY12" s="222"/>
      <c r="BQZ12" s="222"/>
      <c r="BRA12" s="222"/>
      <c r="BRB12" s="222"/>
      <c r="BRC12" s="222"/>
      <c r="BRD12" s="222"/>
      <c r="BRE12" s="222"/>
      <c r="BRF12" s="222"/>
      <c r="BRG12" s="222"/>
      <c r="BRH12" s="222"/>
      <c r="BRI12" s="222"/>
      <c r="BRJ12" s="222"/>
      <c r="BRK12" s="222"/>
      <c r="BRL12" s="222"/>
      <c r="BRM12" s="222"/>
      <c r="BRN12" s="222"/>
      <c r="BRO12" s="222"/>
      <c r="BRP12" s="222"/>
      <c r="BRQ12" s="222"/>
      <c r="BRR12" s="222"/>
      <c r="BRS12" s="222"/>
      <c r="BRT12" s="222"/>
      <c r="BRU12" s="222"/>
      <c r="BRV12" s="222"/>
      <c r="BRW12" s="222"/>
      <c r="BRX12" s="222"/>
      <c r="BRY12" s="222"/>
      <c r="BRZ12" s="222"/>
      <c r="BSA12" s="222"/>
      <c r="BSB12" s="222"/>
      <c r="BSC12" s="222"/>
      <c r="BSD12" s="222"/>
      <c r="BSE12" s="222"/>
      <c r="BSF12" s="222"/>
      <c r="BSG12" s="222"/>
      <c r="BSH12" s="222"/>
      <c r="BSI12" s="222"/>
      <c r="BSJ12" s="222"/>
      <c r="BSK12" s="222"/>
      <c r="BSL12" s="222"/>
      <c r="BSM12" s="222"/>
      <c r="BSN12" s="222"/>
      <c r="BSO12" s="222"/>
      <c r="BSP12" s="222"/>
      <c r="BSQ12" s="222"/>
      <c r="BSR12" s="222"/>
      <c r="BSS12" s="222"/>
      <c r="BST12" s="73"/>
    </row>
    <row r="13" spans="1:1866" ht="42.75" customHeight="1" thickBot="1" x14ac:dyDescent="0.3">
      <c r="B13" s="51"/>
      <c r="C13" s="238" t="s">
        <v>12</v>
      </c>
      <c r="D13" s="117"/>
      <c r="E13" s="236" t="s">
        <v>13</v>
      </c>
      <c r="F13" s="223" t="s">
        <v>14</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15</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16</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23" t="s">
        <v>70</v>
      </c>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4"/>
      <c r="IC13" s="224"/>
      <c r="ID13" s="224"/>
      <c r="IE13" s="224"/>
      <c r="IF13" s="224"/>
      <c r="IG13" s="224"/>
      <c r="IH13" s="224"/>
      <c r="II13" s="224"/>
      <c r="IJ13" s="224"/>
      <c r="IK13" s="225"/>
      <c r="IL13" s="223" t="s">
        <v>69</v>
      </c>
      <c r="IM13" s="224"/>
      <c r="IN13" s="224"/>
      <c r="IO13" s="224"/>
      <c r="IP13" s="224"/>
      <c r="IQ13" s="224"/>
      <c r="IR13" s="224"/>
      <c r="IS13" s="224"/>
      <c r="IT13" s="224"/>
      <c r="IU13" s="224"/>
      <c r="IV13" s="224"/>
      <c r="IW13" s="224"/>
      <c r="IX13" s="224"/>
      <c r="IY13" s="224"/>
      <c r="IZ13" s="224"/>
      <c r="JA13" s="224"/>
      <c r="JB13" s="224"/>
      <c r="JC13" s="224"/>
      <c r="JD13" s="224"/>
      <c r="JE13" s="224"/>
      <c r="JF13" s="224"/>
      <c r="JG13" s="224"/>
      <c r="JH13" s="224"/>
      <c r="JI13" s="224"/>
      <c r="JJ13" s="224"/>
      <c r="JK13" s="224"/>
      <c r="JL13" s="224"/>
      <c r="JM13" s="224"/>
      <c r="JN13" s="224"/>
      <c r="JO13" s="224"/>
      <c r="JP13" s="224"/>
      <c r="JQ13" s="224"/>
      <c r="JR13" s="224"/>
      <c r="JS13" s="224"/>
      <c r="JT13" s="224"/>
      <c r="JU13" s="224"/>
      <c r="JV13" s="224"/>
      <c r="JW13" s="224"/>
      <c r="JX13" s="224"/>
      <c r="JY13" s="224"/>
      <c r="JZ13" s="224"/>
      <c r="KA13" s="224"/>
      <c r="KB13" s="224"/>
      <c r="KC13" s="224"/>
      <c r="KD13" s="224"/>
      <c r="KE13" s="224"/>
      <c r="KF13" s="224"/>
      <c r="KG13" s="224"/>
      <c r="KH13" s="224"/>
      <c r="KI13" s="224"/>
      <c r="KJ13" s="224"/>
      <c r="KK13" s="224"/>
      <c r="KL13" s="224"/>
      <c r="KM13" s="224"/>
      <c r="KN13" s="224"/>
      <c r="KO13" s="224"/>
      <c r="KP13" s="224"/>
      <c r="KQ13" s="224"/>
      <c r="KR13" s="224"/>
      <c r="KS13" s="225"/>
      <c r="KT13" s="223" t="s">
        <v>67</v>
      </c>
      <c r="KU13" s="224"/>
      <c r="KV13" s="224"/>
      <c r="KW13" s="224"/>
      <c r="KX13" s="224"/>
      <c r="KY13" s="224"/>
      <c r="KZ13" s="224"/>
      <c r="LA13" s="224"/>
      <c r="LB13" s="224"/>
      <c r="LC13" s="224"/>
      <c r="LD13" s="224"/>
      <c r="LE13" s="224"/>
      <c r="LF13" s="224"/>
      <c r="LG13" s="224"/>
      <c r="LH13" s="224"/>
      <c r="LI13" s="224"/>
      <c r="LJ13" s="224"/>
      <c r="LK13" s="224"/>
      <c r="LL13" s="224"/>
      <c r="LM13" s="224"/>
      <c r="LN13" s="224"/>
      <c r="LO13" s="224"/>
      <c r="LP13" s="224"/>
      <c r="LQ13" s="224"/>
      <c r="LR13" s="224"/>
      <c r="LS13" s="224"/>
      <c r="LT13" s="224"/>
      <c r="LU13" s="224"/>
      <c r="LV13" s="224"/>
      <c r="LW13" s="224"/>
      <c r="LX13" s="224"/>
      <c r="LY13" s="224"/>
      <c r="LZ13" s="224"/>
      <c r="MA13" s="224"/>
      <c r="MB13" s="224"/>
      <c r="MC13" s="224"/>
      <c r="MD13" s="224"/>
      <c r="ME13" s="224"/>
      <c r="MF13" s="224"/>
      <c r="MG13" s="224"/>
      <c r="MH13" s="224"/>
      <c r="MI13" s="224"/>
      <c r="MJ13" s="224"/>
      <c r="MK13" s="224"/>
      <c r="ML13" s="224"/>
      <c r="MM13" s="224"/>
      <c r="MN13" s="224"/>
      <c r="MO13" s="224"/>
      <c r="MP13" s="224"/>
      <c r="MQ13" s="224"/>
      <c r="MR13" s="224"/>
      <c r="MS13" s="224"/>
      <c r="MT13" s="224"/>
      <c r="MU13" s="224"/>
      <c r="MV13" s="224"/>
      <c r="MW13" s="224"/>
      <c r="MX13" s="224"/>
      <c r="MY13" s="224"/>
      <c r="MZ13" s="224"/>
      <c r="NA13" s="225"/>
      <c r="NB13" s="223" t="s">
        <v>66</v>
      </c>
      <c r="NC13" s="224"/>
      <c r="ND13" s="224"/>
      <c r="NE13" s="224"/>
      <c r="NF13" s="224"/>
      <c r="NG13" s="224"/>
      <c r="NH13" s="224"/>
      <c r="NI13" s="224"/>
      <c r="NJ13" s="224"/>
      <c r="NK13" s="224"/>
      <c r="NL13" s="224"/>
      <c r="NM13" s="224"/>
      <c r="NN13" s="224"/>
      <c r="NO13" s="224"/>
      <c r="NP13" s="224"/>
      <c r="NQ13" s="224"/>
      <c r="NR13" s="224"/>
      <c r="NS13" s="224"/>
      <c r="NT13" s="224"/>
      <c r="NU13" s="224"/>
      <c r="NV13" s="224"/>
      <c r="NW13" s="224"/>
      <c r="NX13" s="224"/>
      <c r="NY13" s="224"/>
      <c r="NZ13" s="224"/>
      <c r="OA13" s="224"/>
      <c r="OB13" s="224"/>
      <c r="OC13" s="224"/>
      <c r="OD13" s="224"/>
      <c r="OE13" s="224"/>
      <c r="OF13" s="224"/>
      <c r="OG13" s="224"/>
      <c r="OH13" s="224"/>
      <c r="OI13" s="224"/>
      <c r="OJ13" s="224"/>
      <c r="OK13" s="224"/>
      <c r="OL13" s="224"/>
      <c r="OM13" s="224"/>
      <c r="ON13" s="224"/>
      <c r="OO13" s="224"/>
      <c r="OP13" s="224"/>
      <c r="OQ13" s="224"/>
      <c r="OR13" s="224"/>
      <c r="OS13" s="224"/>
      <c r="OT13" s="224"/>
      <c r="OU13" s="224"/>
      <c r="OV13" s="224"/>
      <c r="OW13" s="224"/>
      <c r="OX13" s="224"/>
      <c r="OY13" s="224"/>
      <c r="OZ13" s="224"/>
      <c r="PA13" s="224"/>
      <c r="PB13" s="224"/>
      <c r="PC13" s="224"/>
      <c r="PD13" s="224"/>
      <c r="PE13" s="224"/>
      <c r="PF13" s="224"/>
      <c r="PG13" s="224"/>
      <c r="PH13" s="224"/>
      <c r="PI13" s="225"/>
      <c r="PJ13" s="223" t="s">
        <v>153</v>
      </c>
      <c r="PK13" s="224"/>
      <c r="PL13" s="224"/>
      <c r="PM13" s="224"/>
      <c r="PN13" s="224"/>
      <c r="PO13" s="224"/>
      <c r="PP13" s="224"/>
      <c r="PQ13" s="224"/>
      <c r="PR13" s="224"/>
      <c r="PS13" s="224"/>
      <c r="PT13" s="224"/>
      <c r="PU13" s="224"/>
      <c r="PV13" s="224"/>
      <c r="PW13" s="224"/>
      <c r="PX13" s="224"/>
      <c r="PY13" s="224"/>
      <c r="PZ13" s="224"/>
      <c r="QA13" s="224"/>
      <c r="QB13" s="224"/>
      <c r="QC13" s="224"/>
      <c r="QD13" s="224"/>
      <c r="QE13" s="224"/>
      <c r="QF13" s="224"/>
      <c r="QG13" s="224"/>
      <c r="QH13" s="224"/>
      <c r="QI13" s="224"/>
      <c r="QJ13" s="224"/>
      <c r="QK13" s="224"/>
      <c r="QL13" s="224"/>
      <c r="QM13" s="224"/>
      <c r="QN13" s="224"/>
      <c r="QO13" s="224"/>
      <c r="QP13" s="224"/>
      <c r="QQ13" s="224"/>
      <c r="QR13" s="224"/>
      <c r="QS13" s="224"/>
      <c r="QT13" s="224"/>
      <c r="QU13" s="224"/>
      <c r="QV13" s="224"/>
      <c r="QW13" s="224"/>
      <c r="QX13" s="224"/>
      <c r="QY13" s="224"/>
      <c r="QZ13" s="224"/>
      <c r="RA13" s="224"/>
      <c r="RB13" s="224"/>
      <c r="RC13" s="224"/>
      <c r="RD13" s="224"/>
      <c r="RE13" s="224"/>
      <c r="RF13" s="224"/>
      <c r="RG13" s="224"/>
      <c r="RH13" s="224"/>
      <c r="RI13" s="224"/>
      <c r="RJ13" s="224"/>
      <c r="RK13" s="224"/>
      <c r="RL13" s="224"/>
      <c r="RM13" s="224"/>
      <c r="RN13" s="224"/>
      <c r="RO13" s="224"/>
      <c r="RP13" s="224"/>
      <c r="RQ13" s="225"/>
      <c r="RR13" s="223" t="s">
        <v>152</v>
      </c>
      <c r="RS13" s="224"/>
      <c r="RT13" s="224"/>
      <c r="RU13" s="224"/>
      <c r="RV13" s="224"/>
      <c r="RW13" s="224"/>
      <c r="RX13" s="224"/>
      <c r="RY13" s="224"/>
      <c r="RZ13" s="224"/>
      <c r="SA13" s="224"/>
      <c r="SB13" s="224"/>
      <c r="SC13" s="224"/>
      <c r="SD13" s="224"/>
      <c r="SE13" s="224"/>
      <c r="SF13" s="224"/>
      <c r="SG13" s="224"/>
      <c r="SH13" s="224"/>
      <c r="SI13" s="224"/>
      <c r="SJ13" s="224"/>
      <c r="SK13" s="224"/>
      <c r="SL13" s="224"/>
      <c r="SM13" s="224"/>
      <c r="SN13" s="224"/>
      <c r="SO13" s="224"/>
      <c r="SP13" s="224"/>
      <c r="SQ13" s="224"/>
      <c r="SR13" s="224"/>
      <c r="SS13" s="224"/>
      <c r="ST13" s="224"/>
      <c r="SU13" s="224"/>
      <c r="SV13" s="224"/>
      <c r="SW13" s="224"/>
      <c r="SX13" s="224"/>
      <c r="SY13" s="224"/>
      <c r="SZ13" s="224"/>
      <c r="TA13" s="224"/>
      <c r="TB13" s="224"/>
      <c r="TC13" s="224"/>
      <c r="TD13" s="224"/>
      <c r="TE13" s="224"/>
      <c r="TF13" s="224"/>
      <c r="TG13" s="224"/>
      <c r="TH13" s="224"/>
      <c r="TI13" s="224"/>
      <c r="TJ13" s="224"/>
      <c r="TK13" s="224"/>
      <c r="TL13" s="224"/>
      <c r="TM13" s="224"/>
      <c r="TN13" s="224"/>
      <c r="TO13" s="224"/>
      <c r="TP13" s="224"/>
      <c r="TQ13" s="224"/>
      <c r="TR13" s="224"/>
      <c r="TS13" s="224"/>
      <c r="TT13" s="224"/>
      <c r="TU13" s="224"/>
      <c r="TV13" s="224"/>
      <c r="TW13" s="224"/>
      <c r="TX13" s="224"/>
      <c r="TY13" s="225"/>
      <c r="TZ13" s="223" t="s">
        <v>150</v>
      </c>
      <c r="UA13" s="224"/>
      <c r="UB13" s="224"/>
      <c r="UC13" s="224"/>
      <c r="UD13" s="224"/>
      <c r="UE13" s="224"/>
      <c r="UF13" s="224"/>
      <c r="UG13" s="224"/>
      <c r="UH13" s="224"/>
      <c r="UI13" s="224"/>
      <c r="UJ13" s="224"/>
      <c r="UK13" s="224"/>
      <c r="UL13" s="224"/>
      <c r="UM13" s="224"/>
      <c r="UN13" s="224"/>
      <c r="UO13" s="224"/>
      <c r="UP13" s="224"/>
      <c r="UQ13" s="224"/>
      <c r="UR13" s="224"/>
      <c r="US13" s="224"/>
      <c r="UT13" s="224"/>
      <c r="UU13" s="224"/>
      <c r="UV13" s="224"/>
      <c r="UW13" s="224"/>
      <c r="UX13" s="224"/>
      <c r="UY13" s="224"/>
      <c r="UZ13" s="224"/>
      <c r="VA13" s="224"/>
      <c r="VB13" s="224"/>
      <c r="VC13" s="224"/>
      <c r="VD13" s="224"/>
      <c r="VE13" s="224"/>
      <c r="VF13" s="224"/>
      <c r="VG13" s="224"/>
      <c r="VH13" s="224"/>
      <c r="VI13" s="224"/>
      <c r="VJ13" s="224"/>
      <c r="VK13" s="224"/>
      <c r="VL13" s="224"/>
      <c r="VM13" s="224"/>
      <c r="VN13" s="224"/>
      <c r="VO13" s="224"/>
      <c r="VP13" s="224"/>
      <c r="VQ13" s="224"/>
      <c r="VR13" s="224"/>
      <c r="VS13" s="224"/>
      <c r="VT13" s="224"/>
      <c r="VU13" s="224"/>
      <c r="VV13" s="224"/>
      <c r="VW13" s="224"/>
      <c r="VX13" s="224"/>
      <c r="VY13" s="224"/>
      <c r="VZ13" s="224"/>
      <c r="WA13" s="224"/>
      <c r="WB13" s="224"/>
      <c r="WC13" s="224"/>
      <c r="WD13" s="224"/>
      <c r="WE13" s="224"/>
      <c r="WF13" s="224"/>
      <c r="WG13" s="225"/>
      <c r="WH13" s="223" t="s">
        <v>149</v>
      </c>
      <c r="WI13" s="224"/>
      <c r="WJ13" s="224"/>
      <c r="WK13" s="224"/>
      <c r="WL13" s="224"/>
      <c r="WM13" s="224"/>
      <c r="WN13" s="224"/>
      <c r="WO13" s="224"/>
      <c r="WP13" s="224"/>
      <c r="WQ13" s="224"/>
      <c r="WR13" s="224"/>
      <c r="WS13" s="224"/>
      <c r="WT13" s="224"/>
      <c r="WU13" s="224"/>
      <c r="WV13" s="224"/>
      <c r="WW13" s="224"/>
      <c r="WX13" s="224"/>
      <c r="WY13" s="224"/>
      <c r="WZ13" s="224"/>
      <c r="XA13" s="224"/>
      <c r="XB13" s="224"/>
      <c r="XC13" s="224"/>
      <c r="XD13" s="224"/>
      <c r="XE13" s="224"/>
      <c r="XF13" s="224"/>
      <c r="XG13" s="224"/>
      <c r="XH13" s="224"/>
      <c r="XI13" s="224"/>
      <c r="XJ13" s="224"/>
      <c r="XK13" s="224"/>
      <c r="XL13" s="224"/>
      <c r="XM13" s="224"/>
      <c r="XN13" s="224"/>
      <c r="XO13" s="224"/>
      <c r="XP13" s="224"/>
      <c r="XQ13" s="224"/>
      <c r="XR13" s="224"/>
      <c r="XS13" s="224"/>
      <c r="XT13" s="224"/>
      <c r="XU13" s="224"/>
      <c r="XV13" s="224"/>
      <c r="XW13" s="224"/>
      <c r="XX13" s="224"/>
      <c r="XY13" s="224"/>
      <c r="XZ13" s="224"/>
      <c r="YA13" s="224"/>
      <c r="YB13" s="224"/>
      <c r="YC13" s="224"/>
      <c r="YD13" s="224"/>
      <c r="YE13" s="224"/>
      <c r="YF13" s="224"/>
      <c r="YG13" s="224"/>
      <c r="YH13" s="224"/>
      <c r="YI13" s="224"/>
      <c r="YJ13" s="224"/>
      <c r="YK13" s="224"/>
      <c r="YL13" s="224"/>
      <c r="YM13" s="224"/>
      <c r="YN13" s="224"/>
      <c r="YO13" s="225"/>
      <c r="YP13" s="223" t="s">
        <v>147</v>
      </c>
      <c r="YQ13" s="224"/>
      <c r="YR13" s="224"/>
      <c r="YS13" s="224"/>
      <c r="YT13" s="224"/>
      <c r="YU13" s="224"/>
      <c r="YV13" s="224"/>
      <c r="YW13" s="224"/>
      <c r="YX13" s="224"/>
      <c r="YY13" s="224"/>
      <c r="YZ13" s="224"/>
      <c r="ZA13" s="224"/>
      <c r="ZB13" s="224"/>
      <c r="ZC13" s="224"/>
      <c r="ZD13" s="224"/>
      <c r="ZE13" s="224"/>
      <c r="ZF13" s="224"/>
      <c r="ZG13" s="224"/>
      <c r="ZH13" s="224"/>
      <c r="ZI13" s="224"/>
      <c r="ZJ13" s="224"/>
      <c r="ZK13" s="224"/>
      <c r="ZL13" s="224"/>
      <c r="ZM13" s="224"/>
      <c r="ZN13" s="224"/>
      <c r="ZO13" s="224"/>
      <c r="ZP13" s="224"/>
      <c r="ZQ13" s="224"/>
      <c r="ZR13" s="224"/>
      <c r="ZS13" s="224"/>
      <c r="ZT13" s="224"/>
      <c r="ZU13" s="224"/>
      <c r="ZV13" s="224"/>
      <c r="ZW13" s="224"/>
      <c r="ZX13" s="224"/>
      <c r="ZY13" s="224"/>
      <c r="ZZ13" s="224"/>
      <c r="AAA13" s="224"/>
      <c r="AAB13" s="224"/>
      <c r="AAC13" s="224"/>
      <c r="AAD13" s="224"/>
      <c r="AAE13" s="224"/>
      <c r="AAF13" s="224"/>
      <c r="AAG13" s="224"/>
      <c r="AAH13" s="224"/>
      <c r="AAI13" s="224"/>
      <c r="AAJ13" s="224"/>
      <c r="AAK13" s="224"/>
      <c r="AAL13" s="224"/>
      <c r="AAM13" s="224"/>
      <c r="AAN13" s="224"/>
      <c r="AAO13" s="224"/>
      <c r="AAP13" s="224"/>
      <c r="AAQ13" s="224"/>
      <c r="AAR13" s="224"/>
      <c r="AAS13" s="224"/>
      <c r="AAT13" s="224"/>
      <c r="AAU13" s="224"/>
      <c r="AAV13" s="224"/>
      <c r="AAW13" s="225"/>
      <c r="AAX13" s="223" t="s">
        <v>146</v>
      </c>
      <c r="AAY13" s="224"/>
      <c r="AAZ13" s="224"/>
      <c r="ABA13" s="224"/>
      <c r="ABB13" s="224"/>
      <c r="ABC13" s="224"/>
      <c r="ABD13" s="224"/>
      <c r="ABE13" s="224"/>
      <c r="ABF13" s="224"/>
      <c r="ABG13" s="224"/>
      <c r="ABH13" s="224"/>
      <c r="ABI13" s="224"/>
      <c r="ABJ13" s="224"/>
      <c r="ABK13" s="224"/>
      <c r="ABL13" s="224"/>
      <c r="ABM13" s="224"/>
      <c r="ABN13" s="224"/>
      <c r="ABO13" s="224"/>
      <c r="ABP13" s="224"/>
      <c r="ABQ13" s="224"/>
      <c r="ABR13" s="224"/>
      <c r="ABS13" s="224"/>
      <c r="ABT13" s="224"/>
      <c r="ABU13" s="224"/>
      <c r="ABV13" s="224"/>
      <c r="ABW13" s="224"/>
      <c r="ABX13" s="224"/>
      <c r="ABY13" s="224"/>
      <c r="ABZ13" s="224"/>
      <c r="ACA13" s="224"/>
      <c r="ACB13" s="224"/>
      <c r="ACC13" s="224"/>
      <c r="ACD13" s="224"/>
      <c r="ACE13" s="224"/>
      <c r="ACF13" s="224"/>
      <c r="ACG13" s="224"/>
      <c r="ACH13" s="224"/>
      <c r="ACI13" s="224"/>
      <c r="ACJ13" s="224"/>
      <c r="ACK13" s="224"/>
      <c r="ACL13" s="224"/>
      <c r="ACM13" s="224"/>
      <c r="ACN13" s="224"/>
      <c r="ACO13" s="224"/>
      <c r="ACP13" s="224"/>
      <c r="ACQ13" s="224"/>
      <c r="ACR13" s="224"/>
      <c r="ACS13" s="224"/>
      <c r="ACT13" s="224"/>
      <c r="ACU13" s="224"/>
      <c r="ACV13" s="224"/>
      <c r="ACW13" s="224"/>
      <c r="ACX13" s="224"/>
      <c r="ACY13" s="224"/>
      <c r="ACZ13" s="224"/>
      <c r="ADA13" s="224"/>
      <c r="ADB13" s="224"/>
      <c r="ADC13" s="224"/>
      <c r="ADD13" s="224"/>
      <c r="ADE13" s="225"/>
      <c r="ADF13" s="223" t="s">
        <v>144</v>
      </c>
      <c r="ADG13" s="224"/>
      <c r="ADH13" s="224"/>
      <c r="ADI13" s="224"/>
      <c r="ADJ13" s="224"/>
      <c r="ADK13" s="224"/>
      <c r="ADL13" s="224"/>
      <c r="ADM13" s="224"/>
      <c r="ADN13" s="224"/>
      <c r="ADO13" s="224"/>
      <c r="ADP13" s="224"/>
      <c r="ADQ13" s="224"/>
      <c r="ADR13" s="224"/>
      <c r="ADS13" s="224"/>
      <c r="ADT13" s="224"/>
      <c r="ADU13" s="224"/>
      <c r="ADV13" s="224"/>
      <c r="ADW13" s="224"/>
      <c r="ADX13" s="224"/>
      <c r="ADY13" s="224"/>
      <c r="ADZ13" s="224"/>
      <c r="AEA13" s="224"/>
      <c r="AEB13" s="224"/>
      <c r="AEC13" s="224"/>
      <c r="AED13" s="224"/>
      <c r="AEE13" s="224"/>
      <c r="AEF13" s="224"/>
      <c r="AEG13" s="224"/>
      <c r="AEH13" s="224"/>
      <c r="AEI13" s="224"/>
      <c r="AEJ13" s="224"/>
      <c r="AEK13" s="224"/>
      <c r="AEL13" s="224"/>
      <c r="AEM13" s="224"/>
      <c r="AEN13" s="224"/>
      <c r="AEO13" s="224"/>
      <c r="AEP13" s="224"/>
      <c r="AEQ13" s="224"/>
      <c r="AER13" s="224"/>
      <c r="AES13" s="224"/>
      <c r="AET13" s="224"/>
      <c r="AEU13" s="224"/>
      <c r="AEV13" s="224"/>
      <c r="AEW13" s="224"/>
      <c r="AEX13" s="224"/>
      <c r="AEY13" s="224"/>
      <c r="AEZ13" s="224"/>
      <c r="AFA13" s="224"/>
      <c r="AFB13" s="224"/>
      <c r="AFC13" s="224"/>
      <c r="AFD13" s="224"/>
      <c r="AFE13" s="224"/>
      <c r="AFF13" s="224"/>
      <c r="AFG13" s="224"/>
      <c r="AFH13" s="224"/>
      <c r="AFI13" s="224"/>
      <c r="AFJ13" s="224"/>
      <c r="AFK13" s="224"/>
      <c r="AFL13" s="224"/>
      <c r="AFM13" s="225"/>
      <c r="AFN13" s="223" t="s">
        <v>143</v>
      </c>
      <c r="AFO13" s="224"/>
      <c r="AFP13" s="224"/>
      <c r="AFQ13" s="224"/>
      <c r="AFR13" s="224"/>
      <c r="AFS13" s="224"/>
      <c r="AFT13" s="224"/>
      <c r="AFU13" s="224"/>
      <c r="AFV13" s="224"/>
      <c r="AFW13" s="224"/>
      <c r="AFX13" s="224"/>
      <c r="AFY13" s="224"/>
      <c r="AFZ13" s="224"/>
      <c r="AGA13" s="224"/>
      <c r="AGB13" s="224"/>
      <c r="AGC13" s="224"/>
      <c r="AGD13" s="224"/>
      <c r="AGE13" s="224"/>
      <c r="AGF13" s="224"/>
      <c r="AGG13" s="224"/>
      <c r="AGH13" s="224"/>
      <c r="AGI13" s="224"/>
      <c r="AGJ13" s="224"/>
      <c r="AGK13" s="224"/>
      <c r="AGL13" s="224"/>
      <c r="AGM13" s="224"/>
      <c r="AGN13" s="224"/>
      <c r="AGO13" s="224"/>
      <c r="AGP13" s="224"/>
      <c r="AGQ13" s="224"/>
      <c r="AGR13" s="224"/>
      <c r="AGS13" s="224"/>
      <c r="AGT13" s="224"/>
      <c r="AGU13" s="224"/>
      <c r="AGV13" s="224"/>
      <c r="AGW13" s="224"/>
      <c r="AGX13" s="224"/>
      <c r="AGY13" s="224"/>
      <c r="AGZ13" s="224"/>
      <c r="AHA13" s="224"/>
      <c r="AHB13" s="224"/>
      <c r="AHC13" s="224"/>
      <c r="AHD13" s="224"/>
      <c r="AHE13" s="224"/>
      <c r="AHF13" s="224"/>
      <c r="AHG13" s="224"/>
      <c r="AHH13" s="224"/>
      <c r="AHI13" s="224"/>
      <c r="AHJ13" s="224"/>
      <c r="AHK13" s="224"/>
      <c r="AHL13" s="224"/>
      <c r="AHM13" s="224"/>
      <c r="AHN13" s="224"/>
      <c r="AHO13" s="224"/>
      <c r="AHP13" s="224"/>
      <c r="AHQ13" s="224"/>
      <c r="AHR13" s="224"/>
      <c r="AHS13" s="224"/>
      <c r="AHT13" s="224"/>
      <c r="AHU13" s="225"/>
      <c r="AHV13" s="223" t="s">
        <v>141</v>
      </c>
      <c r="AHW13" s="224"/>
      <c r="AHX13" s="224"/>
      <c r="AHY13" s="224"/>
      <c r="AHZ13" s="224"/>
      <c r="AIA13" s="224"/>
      <c r="AIB13" s="224"/>
      <c r="AIC13" s="224"/>
      <c r="AID13" s="224"/>
      <c r="AIE13" s="224"/>
      <c r="AIF13" s="224"/>
      <c r="AIG13" s="224"/>
      <c r="AIH13" s="224"/>
      <c r="AII13" s="224"/>
      <c r="AIJ13" s="224"/>
      <c r="AIK13" s="224"/>
      <c r="AIL13" s="224"/>
      <c r="AIM13" s="224"/>
      <c r="AIN13" s="224"/>
      <c r="AIO13" s="224"/>
      <c r="AIP13" s="224"/>
      <c r="AIQ13" s="224"/>
      <c r="AIR13" s="224"/>
      <c r="AIS13" s="224"/>
      <c r="AIT13" s="224"/>
      <c r="AIU13" s="224"/>
      <c r="AIV13" s="224"/>
      <c r="AIW13" s="224"/>
      <c r="AIX13" s="224"/>
      <c r="AIY13" s="224"/>
      <c r="AIZ13" s="224"/>
      <c r="AJA13" s="224"/>
      <c r="AJB13" s="224"/>
      <c r="AJC13" s="224"/>
      <c r="AJD13" s="224"/>
      <c r="AJE13" s="224"/>
      <c r="AJF13" s="224"/>
      <c r="AJG13" s="224"/>
      <c r="AJH13" s="224"/>
      <c r="AJI13" s="224"/>
      <c r="AJJ13" s="224"/>
      <c r="AJK13" s="224"/>
      <c r="AJL13" s="224"/>
      <c r="AJM13" s="224"/>
      <c r="AJN13" s="224"/>
      <c r="AJO13" s="224"/>
      <c r="AJP13" s="224"/>
      <c r="AJQ13" s="224"/>
      <c r="AJR13" s="224"/>
      <c r="AJS13" s="224"/>
      <c r="AJT13" s="224"/>
      <c r="AJU13" s="224"/>
      <c r="AJV13" s="224"/>
      <c r="AJW13" s="224"/>
      <c r="AJX13" s="224"/>
      <c r="AJY13" s="224"/>
      <c r="AJZ13" s="224"/>
      <c r="AKA13" s="224"/>
      <c r="AKB13" s="224"/>
      <c r="AKC13" s="225"/>
      <c r="AKD13" s="223" t="s">
        <v>140</v>
      </c>
      <c r="AKE13" s="224"/>
      <c r="AKF13" s="224"/>
      <c r="AKG13" s="224"/>
      <c r="AKH13" s="224"/>
      <c r="AKI13" s="224"/>
      <c r="AKJ13" s="224"/>
      <c r="AKK13" s="224"/>
      <c r="AKL13" s="224"/>
      <c r="AKM13" s="224"/>
      <c r="AKN13" s="224"/>
      <c r="AKO13" s="224"/>
      <c r="AKP13" s="224"/>
      <c r="AKQ13" s="224"/>
      <c r="AKR13" s="224"/>
      <c r="AKS13" s="224"/>
      <c r="AKT13" s="224"/>
      <c r="AKU13" s="224"/>
      <c r="AKV13" s="224"/>
      <c r="AKW13" s="224"/>
      <c r="AKX13" s="224"/>
      <c r="AKY13" s="224"/>
      <c r="AKZ13" s="224"/>
      <c r="ALA13" s="224"/>
      <c r="ALB13" s="224"/>
      <c r="ALC13" s="224"/>
      <c r="ALD13" s="224"/>
      <c r="ALE13" s="224"/>
      <c r="ALF13" s="224"/>
      <c r="ALG13" s="224"/>
      <c r="ALH13" s="224"/>
      <c r="ALI13" s="224"/>
      <c r="ALJ13" s="224"/>
      <c r="ALK13" s="224"/>
      <c r="ALL13" s="224"/>
      <c r="ALM13" s="224"/>
      <c r="ALN13" s="224"/>
      <c r="ALO13" s="224"/>
      <c r="ALP13" s="224"/>
      <c r="ALQ13" s="224"/>
      <c r="ALR13" s="224"/>
      <c r="ALS13" s="224"/>
      <c r="ALT13" s="224"/>
      <c r="ALU13" s="224"/>
      <c r="ALV13" s="224"/>
      <c r="ALW13" s="224"/>
      <c r="ALX13" s="224"/>
      <c r="ALY13" s="224"/>
      <c r="ALZ13" s="224"/>
      <c r="AMA13" s="224"/>
      <c r="AMB13" s="224"/>
      <c r="AMC13" s="224"/>
      <c r="AMD13" s="224"/>
      <c r="AME13" s="224"/>
      <c r="AMF13" s="224"/>
      <c r="AMG13" s="224"/>
      <c r="AMH13" s="224"/>
      <c r="AMI13" s="224"/>
      <c r="AMJ13" s="224"/>
      <c r="AMK13" s="225"/>
      <c r="AML13" s="223" t="s">
        <v>138</v>
      </c>
      <c r="AMM13" s="224"/>
      <c r="AMN13" s="224"/>
      <c r="AMO13" s="224"/>
      <c r="AMP13" s="224"/>
      <c r="AMQ13" s="224"/>
      <c r="AMR13" s="224"/>
      <c r="AMS13" s="224"/>
      <c r="AMT13" s="224"/>
      <c r="AMU13" s="224"/>
      <c r="AMV13" s="224"/>
      <c r="AMW13" s="224"/>
      <c r="AMX13" s="224"/>
      <c r="AMY13" s="224"/>
      <c r="AMZ13" s="224"/>
      <c r="ANA13" s="224"/>
      <c r="ANB13" s="224"/>
      <c r="ANC13" s="224"/>
      <c r="AND13" s="224"/>
      <c r="ANE13" s="224"/>
      <c r="ANF13" s="224"/>
      <c r="ANG13" s="224"/>
      <c r="ANH13" s="224"/>
      <c r="ANI13" s="224"/>
      <c r="ANJ13" s="224"/>
      <c r="ANK13" s="224"/>
      <c r="ANL13" s="224"/>
      <c r="ANM13" s="224"/>
      <c r="ANN13" s="224"/>
      <c r="ANO13" s="224"/>
      <c r="ANP13" s="224"/>
      <c r="ANQ13" s="224"/>
      <c r="ANR13" s="224"/>
      <c r="ANS13" s="224"/>
      <c r="ANT13" s="224"/>
      <c r="ANU13" s="224"/>
      <c r="ANV13" s="224"/>
      <c r="ANW13" s="224"/>
      <c r="ANX13" s="224"/>
      <c r="ANY13" s="224"/>
      <c r="ANZ13" s="224"/>
      <c r="AOA13" s="224"/>
      <c r="AOB13" s="224"/>
      <c r="AOC13" s="224"/>
      <c r="AOD13" s="224"/>
      <c r="AOE13" s="224"/>
      <c r="AOF13" s="224"/>
      <c r="AOG13" s="224"/>
      <c r="AOH13" s="224"/>
      <c r="AOI13" s="224"/>
      <c r="AOJ13" s="224"/>
      <c r="AOK13" s="224"/>
      <c r="AOL13" s="224"/>
      <c r="AOM13" s="224"/>
      <c r="AON13" s="224"/>
      <c r="AOO13" s="224"/>
      <c r="AOP13" s="224"/>
      <c r="AOQ13" s="224"/>
      <c r="AOR13" s="224"/>
      <c r="AOS13" s="225"/>
      <c r="AOT13" s="223" t="s">
        <v>137</v>
      </c>
      <c r="AOU13" s="224"/>
      <c r="AOV13" s="224"/>
      <c r="AOW13" s="224"/>
      <c r="AOX13" s="224"/>
      <c r="AOY13" s="224"/>
      <c r="AOZ13" s="224"/>
      <c r="APA13" s="224"/>
      <c r="APB13" s="224"/>
      <c r="APC13" s="224"/>
      <c r="APD13" s="224"/>
      <c r="APE13" s="224"/>
      <c r="APF13" s="224"/>
      <c r="APG13" s="224"/>
      <c r="APH13" s="224"/>
      <c r="API13" s="224"/>
      <c r="APJ13" s="224"/>
      <c r="APK13" s="224"/>
      <c r="APL13" s="224"/>
      <c r="APM13" s="224"/>
      <c r="APN13" s="224"/>
      <c r="APO13" s="224"/>
      <c r="APP13" s="224"/>
      <c r="APQ13" s="224"/>
      <c r="APR13" s="224"/>
      <c r="APS13" s="224"/>
      <c r="APT13" s="224"/>
      <c r="APU13" s="224"/>
      <c r="APV13" s="224"/>
      <c r="APW13" s="224"/>
      <c r="APX13" s="224"/>
      <c r="APY13" s="224"/>
      <c r="APZ13" s="224"/>
      <c r="AQA13" s="224"/>
      <c r="AQB13" s="224"/>
      <c r="AQC13" s="224"/>
      <c r="AQD13" s="224"/>
      <c r="AQE13" s="224"/>
      <c r="AQF13" s="224"/>
      <c r="AQG13" s="224"/>
      <c r="AQH13" s="224"/>
      <c r="AQI13" s="224"/>
      <c r="AQJ13" s="224"/>
      <c r="AQK13" s="224"/>
      <c r="AQL13" s="224"/>
      <c r="AQM13" s="224"/>
      <c r="AQN13" s="224"/>
      <c r="AQO13" s="224"/>
      <c r="AQP13" s="224"/>
      <c r="AQQ13" s="224"/>
      <c r="AQR13" s="224"/>
      <c r="AQS13" s="224"/>
      <c r="AQT13" s="224"/>
      <c r="AQU13" s="224"/>
      <c r="AQV13" s="224"/>
      <c r="AQW13" s="224"/>
      <c r="AQX13" s="224"/>
      <c r="AQY13" s="224"/>
      <c r="AQZ13" s="224"/>
      <c r="ARA13" s="225"/>
      <c r="ARB13" s="223" t="s">
        <v>135</v>
      </c>
      <c r="ARC13" s="224"/>
      <c r="ARD13" s="224"/>
      <c r="ARE13" s="224"/>
      <c r="ARF13" s="224"/>
      <c r="ARG13" s="224"/>
      <c r="ARH13" s="224"/>
      <c r="ARI13" s="224"/>
      <c r="ARJ13" s="224"/>
      <c r="ARK13" s="224"/>
      <c r="ARL13" s="224"/>
      <c r="ARM13" s="224"/>
      <c r="ARN13" s="224"/>
      <c r="ARO13" s="224"/>
      <c r="ARP13" s="224"/>
      <c r="ARQ13" s="224"/>
      <c r="ARR13" s="224"/>
      <c r="ARS13" s="224"/>
      <c r="ART13" s="224"/>
      <c r="ARU13" s="224"/>
      <c r="ARV13" s="224"/>
      <c r="ARW13" s="224"/>
      <c r="ARX13" s="224"/>
      <c r="ARY13" s="224"/>
      <c r="ARZ13" s="224"/>
      <c r="ASA13" s="224"/>
      <c r="ASB13" s="224"/>
      <c r="ASC13" s="224"/>
      <c r="ASD13" s="224"/>
      <c r="ASE13" s="224"/>
      <c r="ASF13" s="224"/>
      <c r="ASG13" s="224"/>
      <c r="ASH13" s="224"/>
      <c r="ASI13" s="224"/>
      <c r="ASJ13" s="224"/>
      <c r="ASK13" s="224"/>
      <c r="ASL13" s="224"/>
      <c r="ASM13" s="224"/>
      <c r="ASN13" s="224"/>
      <c r="ASO13" s="224"/>
      <c r="ASP13" s="224"/>
      <c r="ASQ13" s="224"/>
      <c r="ASR13" s="224"/>
      <c r="ASS13" s="224"/>
      <c r="AST13" s="224"/>
      <c r="ASU13" s="224"/>
      <c r="ASV13" s="224"/>
      <c r="ASW13" s="224"/>
      <c r="ASX13" s="224"/>
      <c r="ASY13" s="224"/>
      <c r="ASZ13" s="224"/>
      <c r="ATA13" s="224"/>
      <c r="ATB13" s="224"/>
      <c r="ATC13" s="224"/>
      <c r="ATD13" s="224"/>
      <c r="ATE13" s="224"/>
      <c r="ATF13" s="224"/>
      <c r="ATG13" s="224"/>
      <c r="ATH13" s="224"/>
      <c r="ATI13" s="225"/>
      <c r="ATJ13" s="223" t="s">
        <v>134</v>
      </c>
      <c r="ATK13" s="224"/>
      <c r="ATL13" s="224"/>
      <c r="ATM13" s="224"/>
      <c r="ATN13" s="224"/>
      <c r="ATO13" s="224"/>
      <c r="ATP13" s="224"/>
      <c r="ATQ13" s="224"/>
      <c r="ATR13" s="224"/>
      <c r="ATS13" s="224"/>
      <c r="ATT13" s="224"/>
      <c r="ATU13" s="224"/>
      <c r="ATV13" s="224"/>
      <c r="ATW13" s="224"/>
      <c r="ATX13" s="224"/>
      <c r="ATY13" s="224"/>
      <c r="ATZ13" s="224"/>
      <c r="AUA13" s="224"/>
      <c r="AUB13" s="224"/>
      <c r="AUC13" s="224"/>
      <c r="AUD13" s="224"/>
      <c r="AUE13" s="224"/>
      <c r="AUF13" s="224"/>
      <c r="AUG13" s="224"/>
      <c r="AUH13" s="224"/>
      <c r="AUI13" s="224"/>
      <c r="AUJ13" s="224"/>
      <c r="AUK13" s="224"/>
      <c r="AUL13" s="224"/>
      <c r="AUM13" s="224"/>
      <c r="AUN13" s="224"/>
      <c r="AUO13" s="224"/>
      <c r="AUP13" s="224"/>
      <c r="AUQ13" s="224"/>
      <c r="AUR13" s="224"/>
      <c r="AUS13" s="224"/>
      <c r="AUT13" s="224"/>
      <c r="AUU13" s="224"/>
      <c r="AUV13" s="224"/>
      <c r="AUW13" s="224"/>
      <c r="AUX13" s="224"/>
      <c r="AUY13" s="224"/>
      <c r="AUZ13" s="224"/>
      <c r="AVA13" s="224"/>
      <c r="AVB13" s="224"/>
      <c r="AVC13" s="224"/>
      <c r="AVD13" s="224"/>
      <c r="AVE13" s="224"/>
      <c r="AVF13" s="224"/>
      <c r="AVG13" s="224"/>
      <c r="AVH13" s="224"/>
      <c r="AVI13" s="224"/>
      <c r="AVJ13" s="224"/>
      <c r="AVK13" s="224"/>
      <c r="AVL13" s="224"/>
      <c r="AVM13" s="224"/>
      <c r="AVN13" s="224"/>
      <c r="AVO13" s="224"/>
      <c r="AVP13" s="224"/>
      <c r="AVQ13" s="225"/>
      <c r="AVR13" s="223" t="s">
        <v>132</v>
      </c>
      <c r="AVS13" s="224"/>
      <c r="AVT13" s="224"/>
      <c r="AVU13" s="224"/>
      <c r="AVV13" s="224"/>
      <c r="AVW13" s="224"/>
      <c r="AVX13" s="224"/>
      <c r="AVY13" s="224"/>
      <c r="AVZ13" s="224"/>
      <c r="AWA13" s="224"/>
      <c r="AWB13" s="224"/>
      <c r="AWC13" s="224"/>
      <c r="AWD13" s="224"/>
      <c r="AWE13" s="224"/>
      <c r="AWF13" s="224"/>
      <c r="AWG13" s="224"/>
      <c r="AWH13" s="224"/>
      <c r="AWI13" s="224"/>
      <c r="AWJ13" s="224"/>
      <c r="AWK13" s="224"/>
      <c r="AWL13" s="224"/>
      <c r="AWM13" s="224"/>
      <c r="AWN13" s="224"/>
      <c r="AWO13" s="224"/>
      <c r="AWP13" s="224"/>
      <c r="AWQ13" s="224"/>
      <c r="AWR13" s="224"/>
      <c r="AWS13" s="224"/>
      <c r="AWT13" s="224"/>
      <c r="AWU13" s="224"/>
      <c r="AWV13" s="224"/>
      <c r="AWW13" s="224"/>
      <c r="AWX13" s="224"/>
      <c r="AWY13" s="224"/>
      <c r="AWZ13" s="224"/>
      <c r="AXA13" s="224"/>
      <c r="AXB13" s="224"/>
      <c r="AXC13" s="224"/>
      <c r="AXD13" s="224"/>
      <c r="AXE13" s="224"/>
      <c r="AXF13" s="224"/>
      <c r="AXG13" s="224"/>
      <c r="AXH13" s="224"/>
      <c r="AXI13" s="224"/>
      <c r="AXJ13" s="224"/>
      <c r="AXK13" s="224"/>
      <c r="AXL13" s="224"/>
      <c r="AXM13" s="224"/>
      <c r="AXN13" s="224"/>
      <c r="AXO13" s="224"/>
      <c r="AXP13" s="224"/>
      <c r="AXQ13" s="224"/>
      <c r="AXR13" s="224"/>
      <c r="AXS13" s="224"/>
      <c r="AXT13" s="224"/>
      <c r="AXU13" s="224"/>
      <c r="AXV13" s="224"/>
      <c r="AXW13" s="224"/>
      <c r="AXX13" s="224"/>
      <c r="AXY13" s="225"/>
      <c r="AXZ13" s="223" t="s">
        <v>131</v>
      </c>
      <c r="AYA13" s="224"/>
      <c r="AYB13" s="224"/>
      <c r="AYC13" s="224"/>
      <c r="AYD13" s="224"/>
      <c r="AYE13" s="224"/>
      <c r="AYF13" s="224"/>
      <c r="AYG13" s="224"/>
      <c r="AYH13" s="224"/>
      <c r="AYI13" s="224"/>
      <c r="AYJ13" s="224"/>
      <c r="AYK13" s="224"/>
      <c r="AYL13" s="224"/>
      <c r="AYM13" s="224"/>
      <c r="AYN13" s="224"/>
      <c r="AYO13" s="224"/>
      <c r="AYP13" s="224"/>
      <c r="AYQ13" s="224"/>
      <c r="AYR13" s="224"/>
      <c r="AYS13" s="224"/>
      <c r="AYT13" s="224"/>
      <c r="AYU13" s="224"/>
      <c r="AYV13" s="224"/>
      <c r="AYW13" s="224"/>
      <c r="AYX13" s="224"/>
      <c r="AYY13" s="224"/>
      <c r="AYZ13" s="224"/>
      <c r="AZA13" s="224"/>
      <c r="AZB13" s="224"/>
      <c r="AZC13" s="224"/>
      <c r="AZD13" s="224"/>
      <c r="AZE13" s="224"/>
      <c r="AZF13" s="224"/>
      <c r="AZG13" s="224"/>
      <c r="AZH13" s="224"/>
      <c r="AZI13" s="224"/>
      <c r="AZJ13" s="224"/>
      <c r="AZK13" s="224"/>
      <c r="AZL13" s="224"/>
      <c r="AZM13" s="224"/>
      <c r="AZN13" s="224"/>
      <c r="AZO13" s="224"/>
      <c r="AZP13" s="224"/>
      <c r="AZQ13" s="224"/>
      <c r="AZR13" s="224"/>
      <c r="AZS13" s="224"/>
      <c r="AZT13" s="224"/>
      <c r="AZU13" s="224"/>
      <c r="AZV13" s="224"/>
      <c r="AZW13" s="224"/>
      <c r="AZX13" s="224"/>
      <c r="AZY13" s="224"/>
      <c r="AZZ13" s="224"/>
      <c r="BAA13" s="224"/>
      <c r="BAB13" s="224"/>
      <c r="BAC13" s="224"/>
      <c r="BAD13" s="224"/>
      <c r="BAE13" s="224"/>
      <c r="BAF13" s="224"/>
      <c r="BAG13" s="225"/>
      <c r="BAH13" s="223" t="s">
        <v>63</v>
      </c>
      <c r="BAI13" s="224"/>
      <c r="BAJ13" s="224"/>
      <c r="BAK13" s="224"/>
      <c r="BAL13" s="224"/>
      <c r="BAM13" s="224"/>
      <c r="BAN13" s="224"/>
      <c r="BAO13" s="224"/>
      <c r="BAP13" s="224"/>
      <c r="BAQ13" s="224"/>
      <c r="BAR13" s="224"/>
      <c r="BAS13" s="224"/>
      <c r="BAT13" s="224"/>
      <c r="BAU13" s="224"/>
      <c r="BAV13" s="224"/>
      <c r="BAW13" s="224"/>
      <c r="BAX13" s="224"/>
      <c r="BAY13" s="224"/>
      <c r="BAZ13" s="224"/>
      <c r="BBA13" s="224"/>
      <c r="BBB13" s="224"/>
      <c r="BBC13" s="224"/>
      <c r="BBD13" s="224"/>
      <c r="BBE13" s="224"/>
      <c r="BBF13" s="224"/>
      <c r="BBG13" s="224"/>
      <c r="BBH13" s="224"/>
      <c r="BBI13" s="224"/>
      <c r="BBJ13" s="224"/>
      <c r="BBK13" s="224"/>
      <c r="BBL13" s="224"/>
      <c r="BBM13" s="224"/>
      <c r="BBN13" s="224"/>
      <c r="BBO13" s="224"/>
      <c r="BBP13" s="224"/>
      <c r="BBQ13" s="224"/>
      <c r="BBR13" s="224"/>
      <c r="BBS13" s="224"/>
      <c r="BBT13" s="224"/>
      <c r="BBU13" s="224"/>
      <c r="BBV13" s="224"/>
      <c r="BBW13" s="224"/>
      <c r="BBX13" s="224"/>
      <c r="BBY13" s="224"/>
      <c r="BBZ13" s="224"/>
      <c r="BCA13" s="224"/>
      <c r="BCB13" s="224"/>
      <c r="BCC13" s="224"/>
      <c r="BCD13" s="224"/>
      <c r="BCE13" s="224"/>
      <c r="BCF13" s="224"/>
      <c r="BCG13" s="224"/>
      <c r="BCH13" s="224"/>
      <c r="BCI13" s="224"/>
      <c r="BCJ13" s="224"/>
      <c r="BCK13" s="224"/>
      <c r="BCL13" s="224"/>
      <c r="BCM13" s="224"/>
      <c r="BCN13" s="224"/>
      <c r="BCO13" s="225"/>
      <c r="BCP13" s="223" t="s">
        <v>62</v>
      </c>
      <c r="BCQ13" s="224"/>
      <c r="BCR13" s="224"/>
      <c r="BCS13" s="224"/>
      <c r="BCT13" s="224"/>
      <c r="BCU13" s="224"/>
      <c r="BCV13" s="224"/>
      <c r="BCW13" s="224"/>
      <c r="BCX13" s="224"/>
      <c r="BCY13" s="224"/>
      <c r="BCZ13" s="224"/>
      <c r="BDA13" s="224"/>
      <c r="BDB13" s="224"/>
      <c r="BDC13" s="224"/>
      <c r="BDD13" s="224"/>
      <c r="BDE13" s="224"/>
      <c r="BDF13" s="224"/>
      <c r="BDG13" s="224"/>
      <c r="BDH13" s="224"/>
      <c r="BDI13" s="224"/>
      <c r="BDJ13" s="224"/>
      <c r="BDK13" s="224"/>
      <c r="BDL13" s="224"/>
      <c r="BDM13" s="224"/>
      <c r="BDN13" s="224"/>
      <c r="BDO13" s="224"/>
      <c r="BDP13" s="224"/>
      <c r="BDQ13" s="224"/>
      <c r="BDR13" s="224"/>
      <c r="BDS13" s="224"/>
      <c r="BDT13" s="224"/>
      <c r="BDU13" s="224"/>
      <c r="BDV13" s="224"/>
      <c r="BDW13" s="224"/>
      <c r="BDX13" s="224"/>
      <c r="BDY13" s="224"/>
      <c r="BDZ13" s="224"/>
      <c r="BEA13" s="224"/>
      <c r="BEB13" s="224"/>
      <c r="BEC13" s="224"/>
      <c r="BED13" s="224"/>
      <c r="BEE13" s="224"/>
      <c r="BEF13" s="224"/>
      <c r="BEG13" s="224"/>
      <c r="BEH13" s="224"/>
      <c r="BEI13" s="224"/>
      <c r="BEJ13" s="224"/>
      <c r="BEK13" s="224"/>
      <c r="BEL13" s="224"/>
      <c r="BEM13" s="224"/>
      <c r="BEN13" s="224"/>
      <c r="BEO13" s="224"/>
      <c r="BEP13" s="224"/>
      <c r="BEQ13" s="224"/>
      <c r="BER13" s="224"/>
      <c r="BES13" s="224"/>
      <c r="BET13" s="224"/>
      <c r="BEU13" s="224"/>
      <c r="BEV13" s="224"/>
      <c r="BEW13" s="225"/>
      <c r="BEX13" s="223" t="s">
        <v>60</v>
      </c>
      <c r="BEY13" s="224"/>
      <c r="BEZ13" s="224"/>
      <c r="BFA13" s="224"/>
      <c r="BFB13" s="224"/>
      <c r="BFC13" s="224"/>
      <c r="BFD13" s="224"/>
      <c r="BFE13" s="224"/>
      <c r="BFF13" s="224"/>
      <c r="BFG13" s="224"/>
      <c r="BFH13" s="224"/>
      <c r="BFI13" s="224"/>
      <c r="BFJ13" s="224"/>
      <c r="BFK13" s="224"/>
      <c r="BFL13" s="224"/>
      <c r="BFM13" s="224"/>
      <c r="BFN13" s="224"/>
      <c r="BFO13" s="224"/>
      <c r="BFP13" s="224"/>
      <c r="BFQ13" s="224"/>
      <c r="BFR13" s="224"/>
      <c r="BFS13" s="224"/>
      <c r="BFT13" s="224"/>
      <c r="BFU13" s="224"/>
      <c r="BFV13" s="224"/>
      <c r="BFW13" s="224"/>
      <c r="BFX13" s="224"/>
      <c r="BFY13" s="224"/>
      <c r="BFZ13" s="224"/>
      <c r="BGA13" s="224"/>
      <c r="BGB13" s="224"/>
      <c r="BGC13" s="224"/>
      <c r="BGD13" s="224"/>
      <c r="BGE13" s="224"/>
      <c r="BGF13" s="224"/>
      <c r="BGG13" s="224"/>
      <c r="BGH13" s="224"/>
      <c r="BGI13" s="224"/>
      <c r="BGJ13" s="224"/>
      <c r="BGK13" s="224"/>
      <c r="BGL13" s="224"/>
      <c r="BGM13" s="224"/>
      <c r="BGN13" s="224"/>
      <c r="BGO13" s="224"/>
      <c r="BGP13" s="224"/>
      <c r="BGQ13" s="224"/>
      <c r="BGR13" s="224"/>
      <c r="BGS13" s="224"/>
      <c r="BGT13" s="224"/>
      <c r="BGU13" s="224"/>
      <c r="BGV13" s="224"/>
      <c r="BGW13" s="224"/>
      <c r="BGX13" s="224"/>
      <c r="BGY13" s="224"/>
      <c r="BGZ13" s="224"/>
      <c r="BHA13" s="224"/>
      <c r="BHB13" s="224"/>
      <c r="BHC13" s="224"/>
      <c r="BHD13" s="224"/>
      <c r="BHE13" s="225"/>
      <c r="BHF13" s="223" t="s">
        <v>59</v>
      </c>
      <c r="BHG13" s="224"/>
      <c r="BHH13" s="224"/>
      <c r="BHI13" s="224"/>
      <c r="BHJ13" s="224"/>
      <c r="BHK13" s="224"/>
      <c r="BHL13" s="224"/>
      <c r="BHM13" s="224"/>
      <c r="BHN13" s="224"/>
      <c r="BHO13" s="224"/>
      <c r="BHP13" s="224"/>
      <c r="BHQ13" s="224"/>
      <c r="BHR13" s="224"/>
      <c r="BHS13" s="224"/>
      <c r="BHT13" s="224"/>
      <c r="BHU13" s="224"/>
      <c r="BHV13" s="224"/>
      <c r="BHW13" s="224"/>
      <c r="BHX13" s="224"/>
      <c r="BHY13" s="224"/>
      <c r="BHZ13" s="224"/>
      <c r="BIA13" s="224"/>
      <c r="BIB13" s="224"/>
      <c r="BIC13" s="224"/>
      <c r="BID13" s="224"/>
      <c r="BIE13" s="224"/>
      <c r="BIF13" s="224"/>
      <c r="BIG13" s="224"/>
      <c r="BIH13" s="224"/>
      <c r="BII13" s="224"/>
      <c r="BIJ13" s="224"/>
      <c r="BIK13" s="224"/>
      <c r="BIL13" s="224"/>
      <c r="BIM13" s="224"/>
      <c r="BIN13" s="224"/>
      <c r="BIO13" s="224"/>
      <c r="BIP13" s="224"/>
      <c r="BIQ13" s="224"/>
      <c r="BIR13" s="224"/>
      <c r="BIS13" s="224"/>
      <c r="BIT13" s="224"/>
      <c r="BIU13" s="224"/>
      <c r="BIV13" s="224"/>
      <c r="BIW13" s="224"/>
      <c r="BIX13" s="224"/>
      <c r="BIY13" s="224"/>
      <c r="BIZ13" s="224"/>
      <c r="BJA13" s="224"/>
      <c r="BJB13" s="224"/>
      <c r="BJC13" s="224"/>
      <c r="BJD13" s="224"/>
      <c r="BJE13" s="224"/>
      <c r="BJF13" s="224"/>
      <c r="BJG13" s="224"/>
      <c r="BJH13" s="224"/>
      <c r="BJI13" s="224"/>
      <c r="BJJ13" s="224"/>
      <c r="BJK13" s="224"/>
      <c r="BJL13" s="224"/>
      <c r="BJM13" s="225"/>
      <c r="BJN13" s="223" t="s">
        <v>57</v>
      </c>
      <c r="BJO13" s="224"/>
      <c r="BJP13" s="224"/>
      <c r="BJQ13" s="224"/>
      <c r="BJR13" s="224"/>
      <c r="BJS13" s="224"/>
      <c r="BJT13" s="224"/>
      <c r="BJU13" s="224"/>
      <c r="BJV13" s="224"/>
      <c r="BJW13" s="224"/>
      <c r="BJX13" s="224"/>
      <c r="BJY13" s="224"/>
      <c r="BJZ13" s="224"/>
      <c r="BKA13" s="224"/>
      <c r="BKB13" s="224"/>
      <c r="BKC13" s="224"/>
      <c r="BKD13" s="224"/>
      <c r="BKE13" s="224"/>
      <c r="BKF13" s="224"/>
      <c r="BKG13" s="224"/>
      <c r="BKH13" s="224"/>
      <c r="BKI13" s="224"/>
      <c r="BKJ13" s="224"/>
      <c r="BKK13" s="224"/>
      <c r="BKL13" s="224"/>
      <c r="BKM13" s="224"/>
      <c r="BKN13" s="224"/>
      <c r="BKO13" s="224"/>
      <c r="BKP13" s="224"/>
      <c r="BKQ13" s="224"/>
      <c r="BKR13" s="224"/>
      <c r="BKS13" s="224"/>
      <c r="BKT13" s="224"/>
      <c r="BKU13" s="224"/>
      <c r="BKV13" s="224"/>
      <c r="BKW13" s="224"/>
      <c r="BKX13" s="224"/>
      <c r="BKY13" s="224"/>
      <c r="BKZ13" s="224"/>
      <c r="BLA13" s="224"/>
      <c r="BLB13" s="224"/>
      <c r="BLC13" s="224"/>
      <c r="BLD13" s="224"/>
      <c r="BLE13" s="224"/>
      <c r="BLF13" s="224"/>
      <c r="BLG13" s="224"/>
      <c r="BLH13" s="224"/>
      <c r="BLI13" s="224"/>
      <c r="BLJ13" s="224"/>
      <c r="BLK13" s="224"/>
      <c r="BLL13" s="224"/>
      <c r="BLM13" s="224"/>
      <c r="BLN13" s="224"/>
      <c r="BLO13" s="224"/>
      <c r="BLP13" s="224"/>
      <c r="BLQ13" s="224"/>
      <c r="BLR13" s="224"/>
      <c r="BLS13" s="224"/>
      <c r="BLT13" s="224"/>
      <c r="BLU13" s="225"/>
      <c r="BLV13" s="223" t="s">
        <v>36</v>
      </c>
      <c r="BLW13" s="224"/>
      <c r="BLX13" s="224"/>
      <c r="BLY13" s="224"/>
      <c r="BLZ13" s="224"/>
      <c r="BMA13" s="224"/>
      <c r="BMB13" s="224"/>
      <c r="BMC13" s="224"/>
      <c r="BMD13" s="224"/>
      <c r="BME13" s="224"/>
      <c r="BMF13" s="224"/>
      <c r="BMG13" s="224"/>
      <c r="BMH13" s="224"/>
      <c r="BMI13" s="224"/>
      <c r="BMJ13" s="224"/>
      <c r="BMK13" s="224"/>
      <c r="BML13" s="224"/>
      <c r="BMM13" s="224"/>
      <c r="BMN13" s="224"/>
      <c r="BMO13" s="224"/>
      <c r="BMP13" s="224"/>
      <c r="BMQ13" s="224"/>
      <c r="BMR13" s="224"/>
      <c r="BMS13" s="224"/>
      <c r="BMT13" s="224"/>
      <c r="BMU13" s="224"/>
      <c r="BMV13" s="224"/>
      <c r="BMW13" s="224"/>
      <c r="BMX13" s="224"/>
      <c r="BMY13" s="224"/>
      <c r="BMZ13" s="224"/>
      <c r="BNA13" s="224"/>
      <c r="BNB13" s="224"/>
      <c r="BNC13" s="224"/>
      <c r="BND13" s="224"/>
      <c r="BNE13" s="224"/>
      <c r="BNF13" s="224"/>
      <c r="BNG13" s="224"/>
      <c r="BNH13" s="224"/>
      <c r="BNI13" s="224"/>
      <c r="BNJ13" s="224"/>
      <c r="BNK13" s="224"/>
      <c r="BNL13" s="224"/>
      <c r="BNM13" s="224"/>
      <c r="BNN13" s="224"/>
      <c r="BNO13" s="224"/>
      <c r="BNP13" s="224"/>
      <c r="BNQ13" s="224"/>
      <c r="BNR13" s="224"/>
      <c r="BNS13" s="224"/>
      <c r="BNT13" s="224"/>
      <c r="BNU13" s="224"/>
      <c r="BNV13" s="224"/>
      <c r="BNW13" s="224"/>
      <c r="BNX13" s="224"/>
      <c r="BNY13" s="224"/>
      <c r="BNZ13" s="224"/>
      <c r="BOA13" s="224"/>
      <c r="BOB13" s="224"/>
      <c r="BOC13" s="225"/>
      <c r="BOD13" s="223" t="s">
        <v>36</v>
      </c>
      <c r="BOE13" s="224"/>
      <c r="BOF13" s="224"/>
      <c r="BOG13" s="224"/>
      <c r="BOH13" s="224"/>
      <c r="BOI13" s="224"/>
      <c r="BOJ13" s="224"/>
      <c r="BOK13" s="224"/>
      <c r="BOL13" s="224"/>
      <c r="BOM13" s="224"/>
      <c r="BON13" s="224"/>
      <c r="BOO13" s="224"/>
      <c r="BOP13" s="224"/>
      <c r="BOQ13" s="224"/>
      <c r="BOR13" s="224"/>
      <c r="BOS13" s="224"/>
      <c r="BOT13" s="224"/>
      <c r="BOU13" s="224"/>
      <c r="BOV13" s="224"/>
      <c r="BOW13" s="224"/>
      <c r="BOX13" s="224"/>
      <c r="BOY13" s="224"/>
      <c r="BOZ13" s="224"/>
      <c r="BPA13" s="224"/>
      <c r="BPB13" s="224"/>
      <c r="BPC13" s="224"/>
      <c r="BPD13" s="224"/>
      <c r="BPE13" s="224"/>
      <c r="BPF13" s="224"/>
      <c r="BPG13" s="224"/>
      <c r="BPH13" s="224"/>
      <c r="BPI13" s="224"/>
      <c r="BPJ13" s="224"/>
      <c r="BPK13" s="224"/>
      <c r="BPL13" s="224"/>
      <c r="BPM13" s="224"/>
      <c r="BPN13" s="224"/>
      <c r="BPO13" s="224"/>
      <c r="BPP13" s="224"/>
      <c r="BPQ13" s="224"/>
      <c r="BPR13" s="224"/>
      <c r="BPS13" s="224"/>
      <c r="BPT13" s="224"/>
      <c r="BPU13" s="224"/>
      <c r="BPV13" s="224"/>
      <c r="BPW13" s="224"/>
      <c r="BPX13" s="224"/>
      <c r="BPY13" s="224"/>
      <c r="BPZ13" s="224"/>
      <c r="BQA13" s="224"/>
      <c r="BQB13" s="224"/>
      <c r="BQC13" s="224"/>
      <c r="BQD13" s="224"/>
      <c r="BQE13" s="224"/>
      <c r="BQF13" s="224"/>
      <c r="BQG13" s="224"/>
      <c r="BQH13" s="224"/>
      <c r="BQI13" s="224"/>
      <c r="BQJ13" s="224"/>
      <c r="BQK13" s="225"/>
      <c r="BQL13" s="223" t="s">
        <v>36</v>
      </c>
      <c r="BQM13" s="224"/>
      <c r="BQN13" s="224"/>
      <c r="BQO13" s="224"/>
      <c r="BQP13" s="224"/>
      <c r="BQQ13" s="224"/>
      <c r="BQR13" s="224"/>
      <c r="BQS13" s="224"/>
      <c r="BQT13" s="224"/>
      <c r="BQU13" s="224"/>
      <c r="BQV13" s="224"/>
      <c r="BQW13" s="224"/>
      <c r="BQX13" s="224"/>
      <c r="BQY13" s="224"/>
      <c r="BQZ13" s="224"/>
      <c r="BRA13" s="224"/>
      <c r="BRB13" s="224"/>
      <c r="BRC13" s="224"/>
      <c r="BRD13" s="224"/>
      <c r="BRE13" s="224"/>
      <c r="BRF13" s="224"/>
      <c r="BRG13" s="224"/>
      <c r="BRH13" s="224"/>
      <c r="BRI13" s="224"/>
      <c r="BRJ13" s="224"/>
      <c r="BRK13" s="224"/>
      <c r="BRL13" s="224"/>
      <c r="BRM13" s="224"/>
      <c r="BRN13" s="224"/>
      <c r="BRO13" s="224"/>
      <c r="BRP13" s="224"/>
      <c r="BRQ13" s="224"/>
      <c r="BRR13" s="224"/>
      <c r="BRS13" s="224"/>
      <c r="BRT13" s="224"/>
      <c r="BRU13" s="224"/>
      <c r="BRV13" s="224"/>
      <c r="BRW13" s="224"/>
      <c r="BRX13" s="224"/>
      <c r="BRY13" s="224"/>
      <c r="BRZ13" s="224"/>
      <c r="BSA13" s="224"/>
      <c r="BSB13" s="224"/>
      <c r="BSC13" s="224"/>
      <c r="BSD13" s="224"/>
      <c r="BSE13" s="224"/>
      <c r="BSF13" s="224"/>
      <c r="BSG13" s="224"/>
      <c r="BSH13" s="224"/>
      <c r="BSI13" s="224"/>
      <c r="BSJ13" s="224"/>
      <c r="BSK13" s="224"/>
      <c r="BSL13" s="224"/>
      <c r="BSM13" s="224"/>
      <c r="BSN13" s="224"/>
      <c r="BSO13" s="224"/>
      <c r="BSP13" s="224"/>
      <c r="BSQ13" s="224"/>
      <c r="BSR13" s="224"/>
      <c r="BSS13" s="225"/>
      <c r="BST13" s="73"/>
    </row>
    <row r="14" spans="1:1866" ht="12.75" customHeight="1" thickBot="1" x14ac:dyDescent="0.35">
      <c r="B14" s="51"/>
      <c r="C14" s="239"/>
      <c r="D14" s="118"/>
      <c r="E14" s="237"/>
      <c r="F14" s="81"/>
      <c r="G14" s="82"/>
      <c r="H14" s="82"/>
      <c r="I14" s="82"/>
      <c r="J14" s="226" t="s">
        <v>17</v>
      </c>
      <c r="K14" s="226"/>
      <c r="L14" s="226"/>
      <c r="M14" s="226"/>
      <c r="N14" s="82"/>
      <c r="O14" s="82"/>
      <c r="P14" s="227" t="s">
        <v>18</v>
      </c>
      <c r="Q14" s="227"/>
      <c r="R14" s="227"/>
      <c r="S14" s="227"/>
      <c r="T14" s="102"/>
      <c r="U14" s="102"/>
      <c r="V14" s="226" t="s">
        <v>19</v>
      </c>
      <c r="W14" s="226"/>
      <c r="X14" s="226"/>
      <c r="Y14" s="226"/>
      <c r="Z14" s="82"/>
      <c r="AA14" s="82"/>
      <c r="AB14" s="227" t="s">
        <v>20</v>
      </c>
      <c r="AC14" s="227"/>
      <c r="AD14" s="227"/>
      <c r="AE14" s="227"/>
      <c r="AF14" s="102"/>
      <c r="AG14" s="102"/>
      <c r="AH14" s="226" t="s">
        <v>21</v>
      </c>
      <c r="AI14" s="226"/>
      <c r="AJ14" s="226"/>
      <c r="AK14" s="226"/>
      <c r="AL14" s="82"/>
      <c r="AM14" s="82"/>
      <c r="AN14" s="227" t="s">
        <v>22</v>
      </c>
      <c r="AO14" s="227"/>
      <c r="AP14" s="227"/>
      <c r="AQ14" s="227"/>
      <c r="AR14" s="102"/>
      <c r="AS14" s="102"/>
      <c r="AT14" s="226" t="s">
        <v>23</v>
      </c>
      <c r="AU14" s="226"/>
      <c r="AV14" s="226"/>
      <c r="AW14" s="226"/>
      <c r="AX14" s="82"/>
      <c r="AY14" s="82"/>
      <c r="AZ14" s="227" t="s">
        <v>24</v>
      </c>
      <c r="BA14" s="227"/>
      <c r="BB14" s="227"/>
      <c r="BC14" s="227"/>
      <c r="BD14" s="102"/>
      <c r="BE14" s="102"/>
      <c r="BF14" s="226" t="s">
        <v>25</v>
      </c>
      <c r="BG14" s="226"/>
      <c r="BH14" s="226"/>
      <c r="BI14" s="226"/>
      <c r="BJ14" s="82"/>
      <c r="BK14" s="82"/>
      <c r="BL14" s="82"/>
      <c r="BM14" s="83"/>
      <c r="BN14" s="81"/>
      <c r="BO14" s="82"/>
      <c r="BP14" s="82"/>
      <c r="BQ14" s="82"/>
      <c r="BR14" s="226" t="s">
        <v>17</v>
      </c>
      <c r="BS14" s="226"/>
      <c r="BT14" s="226"/>
      <c r="BU14" s="226"/>
      <c r="BV14" s="82"/>
      <c r="BW14" s="82"/>
      <c r="BX14" s="227" t="s">
        <v>18</v>
      </c>
      <c r="BY14" s="227"/>
      <c r="BZ14" s="227"/>
      <c r="CA14" s="227"/>
      <c r="CB14" s="102"/>
      <c r="CC14" s="102"/>
      <c r="CD14" s="226" t="s">
        <v>19</v>
      </c>
      <c r="CE14" s="226"/>
      <c r="CF14" s="226"/>
      <c r="CG14" s="226"/>
      <c r="CH14" s="82"/>
      <c r="CI14" s="82"/>
      <c r="CJ14" s="227" t="s">
        <v>20</v>
      </c>
      <c r="CK14" s="227"/>
      <c r="CL14" s="227"/>
      <c r="CM14" s="227"/>
      <c r="CN14" s="102"/>
      <c r="CO14" s="102"/>
      <c r="CP14" s="226" t="s">
        <v>21</v>
      </c>
      <c r="CQ14" s="226"/>
      <c r="CR14" s="226"/>
      <c r="CS14" s="226"/>
      <c r="CT14" s="82"/>
      <c r="CU14" s="82"/>
      <c r="CV14" s="227" t="s">
        <v>22</v>
      </c>
      <c r="CW14" s="227"/>
      <c r="CX14" s="227"/>
      <c r="CY14" s="227"/>
      <c r="CZ14" s="102"/>
      <c r="DA14" s="102"/>
      <c r="DB14" s="226" t="s">
        <v>23</v>
      </c>
      <c r="DC14" s="226"/>
      <c r="DD14" s="226"/>
      <c r="DE14" s="226"/>
      <c r="DF14" s="82"/>
      <c r="DG14" s="82"/>
      <c r="DH14" s="227" t="s">
        <v>24</v>
      </c>
      <c r="DI14" s="227"/>
      <c r="DJ14" s="227"/>
      <c r="DK14" s="227"/>
      <c r="DL14" s="102"/>
      <c r="DM14" s="102"/>
      <c r="DN14" s="226" t="s">
        <v>25</v>
      </c>
      <c r="DO14" s="226"/>
      <c r="DP14" s="226"/>
      <c r="DQ14" s="226"/>
      <c r="DR14" s="82"/>
      <c r="DS14" s="82"/>
      <c r="DT14" s="82"/>
      <c r="DU14" s="83"/>
      <c r="DV14" s="81"/>
      <c r="DW14" s="82"/>
      <c r="DX14" s="82"/>
      <c r="DY14" s="82"/>
      <c r="DZ14" s="226" t="s">
        <v>17</v>
      </c>
      <c r="EA14" s="226"/>
      <c r="EB14" s="226"/>
      <c r="EC14" s="226"/>
      <c r="ED14" s="82"/>
      <c r="EE14" s="82"/>
      <c r="EF14" s="227" t="s">
        <v>18</v>
      </c>
      <c r="EG14" s="227"/>
      <c r="EH14" s="227"/>
      <c r="EI14" s="227"/>
      <c r="EJ14" s="102"/>
      <c r="EK14" s="102"/>
      <c r="EL14" s="226" t="s">
        <v>19</v>
      </c>
      <c r="EM14" s="226"/>
      <c r="EN14" s="226"/>
      <c r="EO14" s="226"/>
      <c r="EP14" s="82"/>
      <c r="EQ14" s="82"/>
      <c r="ER14" s="227" t="s">
        <v>20</v>
      </c>
      <c r="ES14" s="227"/>
      <c r="ET14" s="227"/>
      <c r="EU14" s="227"/>
      <c r="EV14" s="102"/>
      <c r="EW14" s="102"/>
      <c r="EX14" s="226" t="s">
        <v>21</v>
      </c>
      <c r="EY14" s="226"/>
      <c r="EZ14" s="226"/>
      <c r="FA14" s="226"/>
      <c r="FB14" s="82"/>
      <c r="FC14" s="82"/>
      <c r="FD14" s="227" t="s">
        <v>22</v>
      </c>
      <c r="FE14" s="227"/>
      <c r="FF14" s="227"/>
      <c r="FG14" s="227"/>
      <c r="FH14" s="102"/>
      <c r="FI14" s="102"/>
      <c r="FJ14" s="226" t="s">
        <v>23</v>
      </c>
      <c r="FK14" s="226"/>
      <c r="FL14" s="226"/>
      <c r="FM14" s="226"/>
      <c r="FN14" s="82"/>
      <c r="FO14" s="82"/>
      <c r="FP14" s="227" t="s">
        <v>24</v>
      </c>
      <c r="FQ14" s="227"/>
      <c r="FR14" s="227"/>
      <c r="FS14" s="227"/>
      <c r="FT14" s="102"/>
      <c r="FU14" s="102"/>
      <c r="FV14" s="226" t="s">
        <v>25</v>
      </c>
      <c r="FW14" s="226"/>
      <c r="FX14" s="226"/>
      <c r="FY14" s="226"/>
      <c r="FZ14" s="82"/>
      <c r="GA14" s="82"/>
      <c r="GB14" s="82"/>
      <c r="GC14" s="83"/>
      <c r="GD14" s="81"/>
      <c r="GE14" s="82"/>
      <c r="GF14" s="82"/>
      <c r="GG14" s="82"/>
      <c r="GH14" s="226" t="s">
        <v>17</v>
      </c>
      <c r="GI14" s="226"/>
      <c r="GJ14" s="226"/>
      <c r="GK14" s="226"/>
      <c r="GL14" s="82"/>
      <c r="GM14" s="82"/>
      <c r="GN14" s="227" t="s">
        <v>18</v>
      </c>
      <c r="GO14" s="227"/>
      <c r="GP14" s="227"/>
      <c r="GQ14" s="227"/>
      <c r="GR14" s="102"/>
      <c r="GS14" s="102"/>
      <c r="GT14" s="226" t="s">
        <v>19</v>
      </c>
      <c r="GU14" s="226"/>
      <c r="GV14" s="226"/>
      <c r="GW14" s="226"/>
      <c r="GX14" s="82"/>
      <c r="GY14" s="82"/>
      <c r="GZ14" s="227" t="s">
        <v>20</v>
      </c>
      <c r="HA14" s="227"/>
      <c r="HB14" s="227"/>
      <c r="HC14" s="227"/>
      <c r="HD14" s="102"/>
      <c r="HE14" s="102"/>
      <c r="HF14" s="226" t="s">
        <v>21</v>
      </c>
      <c r="HG14" s="226"/>
      <c r="HH14" s="226"/>
      <c r="HI14" s="226"/>
      <c r="HJ14" s="82"/>
      <c r="HK14" s="82"/>
      <c r="HL14" s="227" t="s">
        <v>22</v>
      </c>
      <c r="HM14" s="227"/>
      <c r="HN14" s="227"/>
      <c r="HO14" s="227"/>
      <c r="HP14" s="102"/>
      <c r="HQ14" s="102"/>
      <c r="HR14" s="226" t="s">
        <v>23</v>
      </c>
      <c r="HS14" s="226"/>
      <c r="HT14" s="226"/>
      <c r="HU14" s="226"/>
      <c r="HV14" s="82"/>
      <c r="HW14" s="82"/>
      <c r="HX14" s="227" t="s">
        <v>24</v>
      </c>
      <c r="HY14" s="227"/>
      <c r="HZ14" s="227"/>
      <c r="IA14" s="227"/>
      <c r="IB14" s="102"/>
      <c r="IC14" s="102"/>
      <c r="ID14" s="226" t="s">
        <v>25</v>
      </c>
      <c r="IE14" s="226"/>
      <c r="IF14" s="226"/>
      <c r="IG14" s="226"/>
      <c r="IH14" s="82"/>
      <c r="II14" s="82"/>
      <c r="IJ14" s="82"/>
      <c r="IK14" s="83"/>
      <c r="IL14" s="81"/>
      <c r="IM14" s="82"/>
      <c r="IN14" s="82"/>
      <c r="IO14" s="82"/>
      <c r="IP14" s="226" t="s">
        <v>17</v>
      </c>
      <c r="IQ14" s="226"/>
      <c r="IR14" s="226"/>
      <c r="IS14" s="226"/>
      <c r="IT14" s="82"/>
      <c r="IU14" s="82"/>
      <c r="IV14" s="227" t="s">
        <v>18</v>
      </c>
      <c r="IW14" s="227"/>
      <c r="IX14" s="227"/>
      <c r="IY14" s="227"/>
      <c r="IZ14" s="102"/>
      <c r="JA14" s="102"/>
      <c r="JB14" s="226" t="s">
        <v>19</v>
      </c>
      <c r="JC14" s="226"/>
      <c r="JD14" s="226"/>
      <c r="JE14" s="226"/>
      <c r="JF14" s="82"/>
      <c r="JG14" s="82"/>
      <c r="JH14" s="227" t="s">
        <v>20</v>
      </c>
      <c r="JI14" s="227"/>
      <c r="JJ14" s="227"/>
      <c r="JK14" s="227"/>
      <c r="JL14" s="102"/>
      <c r="JM14" s="102"/>
      <c r="JN14" s="226" t="s">
        <v>21</v>
      </c>
      <c r="JO14" s="226"/>
      <c r="JP14" s="226"/>
      <c r="JQ14" s="226"/>
      <c r="JR14" s="82"/>
      <c r="JS14" s="82"/>
      <c r="JT14" s="227" t="s">
        <v>22</v>
      </c>
      <c r="JU14" s="227"/>
      <c r="JV14" s="227"/>
      <c r="JW14" s="227"/>
      <c r="JX14" s="102"/>
      <c r="JY14" s="102"/>
      <c r="JZ14" s="226" t="s">
        <v>23</v>
      </c>
      <c r="KA14" s="226"/>
      <c r="KB14" s="226"/>
      <c r="KC14" s="226"/>
      <c r="KD14" s="82"/>
      <c r="KE14" s="82"/>
      <c r="KF14" s="227" t="s">
        <v>24</v>
      </c>
      <c r="KG14" s="227"/>
      <c r="KH14" s="227"/>
      <c r="KI14" s="227"/>
      <c r="KJ14" s="102"/>
      <c r="KK14" s="102"/>
      <c r="KL14" s="226" t="s">
        <v>25</v>
      </c>
      <c r="KM14" s="226"/>
      <c r="KN14" s="226"/>
      <c r="KO14" s="226"/>
      <c r="KP14" s="82"/>
      <c r="KQ14" s="82"/>
      <c r="KR14" s="82"/>
      <c r="KS14" s="83"/>
      <c r="KT14" s="81"/>
      <c r="KU14" s="82"/>
      <c r="KV14" s="82"/>
      <c r="KW14" s="82"/>
      <c r="KX14" s="226" t="s">
        <v>17</v>
      </c>
      <c r="KY14" s="226"/>
      <c r="KZ14" s="226"/>
      <c r="LA14" s="226"/>
      <c r="LB14" s="82"/>
      <c r="LC14" s="82"/>
      <c r="LD14" s="227" t="s">
        <v>18</v>
      </c>
      <c r="LE14" s="227"/>
      <c r="LF14" s="227"/>
      <c r="LG14" s="227"/>
      <c r="LH14" s="102"/>
      <c r="LI14" s="102"/>
      <c r="LJ14" s="226" t="s">
        <v>19</v>
      </c>
      <c r="LK14" s="226"/>
      <c r="LL14" s="226"/>
      <c r="LM14" s="226"/>
      <c r="LN14" s="82"/>
      <c r="LO14" s="82"/>
      <c r="LP14" s="227" t="s">
        <v>20</v>
      </c>
      <c r="LQ14" s="227"/>
      <c r="LR14" s="227"/>
      <c r="LS14" s="227"/>
      <c r="LT14" s="102"/>
      <c r="LU14" s="102"/>
      <c r="LV14" s="226" t="s">
        <v>21</v>
      </c>
      <c r="LW14" s="226"/>
      <c r="LX14" s="226"/>
      <c r="LY14" s="226"/>
      <c r="LZ14" s="82"/>
      <c r="MA14" s="82"/>
      <c r="MB14" s="227" t="s">
        <v>22</v>
      </c>
      <c r="MC14" s="227"/>
      <c r="MD14" s="227"/>
      <c r="ME14" s="227"/>
      <c r="MF14" s="102"/>
      <c r="MG14" s="102"/>
      <c r="MH14" s="226" t="s">
        <v>23</v>
      </c>
      <c r="MI14" s="226"/>
      <c r="MJ14" s="226"/>
      <c r="MK14" s="226"/>
      <c r="ML14" s="82"/>
      <c r="MM14" s="82"/>
      <c r="MN14" s="227" t="s">
        <v>24</v>
      </c>
      <c r="MO14" s="227"/>
      <c r="MP14" s="227"/>
      <c r="MQ14" s="227"/>
      <c r="MR14" s="102"/>
      <c r="MS14" s="102"/>
      <c r="MT14" s="226" t="s">
        <v>25</v>
      </c>
      <c r="MU14" s="226"/>
      <c r="MV14" s="226"/>
      <c r="MW14" s="226"/>
      <c r="MX14" s="82"/>
      <c r="MY14" s="82"/>
      <c r="MZ14" s="82"/>
      <c r="NA14" s="83"/>
      <c r="NB14" s="81"/>
      <c r="NC14" s="82"/>
      <c r="ND14" s="82"/>
      <c r="NE14" s="82"/>
      <c r="NF14" s="226" t="s">
        <v>17</v>
      </c>
      <c r="NG14" s="226"/>
      <c r="NH14" s="226"/>
      <c r="NI14" s="226"/>
      <c r="NJ14" s="82"/>
      <c r="NK14" s="82"/>
      <c r="NL14" s="227" t="s">
        <v>18</v>
      </c>
      <c r="NM14" s="227"/>
      <c r="NN14" s="227"/>
      <c r="NO14" s="227"/>
      <c r="NP14" s="102"/>
      <c r="NQ14" s="102"/>
      <c r="NR14" s="226" t="s">
        <v>19</v>
      </c>
      <c r="NS14" s="226"/>
      <c r="NT14" s="226"/>
      <c r="NU14" s="226"/>
      <c r="NV14" s="82"/>
      <c r="NW14" s="82"/>
      <c r="NX14" s="227" t="s">
        <v>20</v>
      </c>
      <c r="NY14" s="227"/>
      <c r="NZ14" s="227"/>
      <c r="OA14" s="227"/>
      <c r="OB14" s="102"/>
      <c r="OC14" s="102"/>
      <c r="OD14" s="226" t="s">
        <v>21</v>
      </c>
      <c r="OE14" s="226"/>
      <c r="OF14" s="226"/>
      <c r="OG14" s="226"/>
      <c r="OH14" s="82"/>
      <c r="OI14" s="82"/>
      <c r="OJ14" s="227" t="s">
        <v>22</v>
      </c>
      <c r="OK14" s="227"/>
      <c r="OL14" s="227"/>
      <c r="OM14" s="227"/>
      <c r="ON14" s="102"/>
      <c r="OO14" s="102"/>
      <c r="OP14" s="226" t="s">
        <v>23</v>
      </c>
      <c r="OQ14" s="226"/>
      <c r="OR14" s="226"/>
      <c r="OS14" s="226"/>
      <c r="OT14" s="82"/>
      <c r="OU14" s="82"/>
      <c r="OV14" s="227" t="s">
        <v>24</v>
      </c>
      <c r="OW14" s="227"/>
      <c r="OX14" s="227"/>
      <c r="OY14" s="227"/>
      <c r="OZ14" s="102"/>
      <c r="PA14" s="102"/>
      <c r="PB14" s="226" t="s">
        <v>25</v>
      </c>
      <c r="PC14" s="226"/>
      <c r="PD14" s="226"/>
      <c r="PE14" s="226"/>
      <c r="PF14" s="82"/>
      <c r="PG14" s="82"/>
      <c r="PH14" s="82"/>
      <c r="PI14" s="83"/>
      <c r="PJ14" s="81"/>
      <c r="PK14" s="82"/>
      <c r="PL14" s="82"/>
      <c r="PM14" s="82"/>
      <c r="PN14" s="226" t="s">
        <v>17</v>
      </c>
      <c r="PO14" s="226"/>
      <c r="PP14" s="226"/>
      <c r="PQ14" s="226"/>
      <c r="PR14" s="82"/>
      <c r="PS14" s="82"/>
      <c r="PT14" s="227" t="s">
        <v>18</v>
      </c>
      <c r="PU14" s="227"/>
      <c r="PV14" s="227"/>
      <c r="PW14" s="227"/>
      <c r="PX14" s="102"/>
      <c r="PY14" s="102"/>
      <c r="PZ14" s="226" t="s">
        <v>19</v>
      </c>
      <c r="QA14" s="226"/>
      <c r="QB14" s="226"/>
      <c r="QC14" s="226"/>
      <c r="QD14" s="82"/>
      <c r="QE14" s="82"/>
      <c r="QF14" s="227" t="s">
        <v>20</v>
      </c>
      <c r="QG14" s="227"/>
      <c r="QH14" s="227"/>
      <c r="QI14" s="227"/>
      <c r="QJ14" s="102"/>
      <c r="QK14" s="102"/>
      <c r="QL14" s="226" t="s">
        <v>21</v>
      </c>
      <c r="QM14" s="226"/>
      <c r="QN14" s="226"/>
      <c r="QO14" s="226"/>
      <c r="QP14" s="82"/>
      <c r="QQ14" s="82"/>
      <c r="QR14" s="227" t="s">
        <v>22</v>
      </c>
      <c r="QS14" s="227"/>
      <c r="QT14" s="227"/>
      <c r="QU14" s="227"/>
      <c r="QV14" s="102"/>
      <c r="QW14" s="102"/>
      <c r="QX14" s="226" t="s">
        <v>23</v>
      </c>
      <c r="QY14" s="226"/>
      <c r="QZ14" s="226"/>
      <c r="RA14" s="226"/>
      <c r="RB14" s="82"/>
      <c r="RC14" s="82"/>
      <c r="RD14" s="227" t="s">
        <v>24</v>
      </c>
      <c r="RE14" s="227"/>
      <c r="RF14" s="227"/>
      <c r="RG14" s="227"/>
      <c r="RH14" s="102"/>
      <c r="RI14" s="102"/>
      <c r="RJ14" s="226" t="s">
        <v>25</v>
      </c>
      <c r="RK14" s="226"/>
      <c r="RL14" s="226"/>
      <c r="RM14" s="226"/>
      <c r="RN14" s="82"/>
      <c r="RO14" s="82"/>
      <c r="RP14" s="82"/>
      <c r="RQ14" s="83"/>
      <c r="RR14" s="81"/>
      <c r="RS14" s="82"/>
      <c r="RT14" s="82"/>
      <c r="RU14" s="82"/>
      <c r="RV14" s="226" t="s">
        <v>17</v>
      </c>
      <c r="RW14" s="226"/>
      <c r="RX14" s="226"/>
      <c r="RY14" s="226"/>
      <c r="RZ14" s="82"/>
      <c r="SA14" s="82"/>
      <c r="SB14" s="227" t="s">
        <v>18</v>
      </c>
      <c r="SC14" s="227"/>
      <c r="SD14" s="227"/>
      <c r="SE14" s="227"/>
      <c r="SF14" s="102"/>
      <c r="SG14" s="102"/>
      <c r="SH14" s="226" t="s">
        <v>19</v>
      </c>
      <c r="SI14" s="226"/>
      <c r="SJ14" s="226"/>
      <c r="SK14" s="226"/>
      <c r="SL14" s="82"/>
      <c r="SM14" s="82"/>
      <c r="SN14" s="227" t="s">
        <v>20</v>
      </c>
      <c r="SO14" s="227"/>
      <c r="SP14" s="227"/>
      <c r="SQ14" s="227"/>
      <c r="SR14" s="102"/>
      <c r="SS14" s="102"/>
      <c r="ST14" s="226" t="s">
        <v>21</v>
      </c>
      <c r="SU14" s="226"/>
      <c r="SV14" s="226"/>
      <c r="SW14" s="226"/>
      <c r="SX14" s="82"/>
      <c r="SY14" s="82"/>
      <c r="SZ14" s="227" t="s">
        <v>22</v>
      </c>
      <c r="TA14" s="227"/>
      <c r="TB14" s="227"/>
      <c r="TC14" s="227"/>
      <c r="TD14" s="102"/>
      <c r="TE14" s="102"/>
      <c r="TF14" s="226" t="s">
        <v>23</v>
      </c>
      <c r="TG14" s="226"/>
      <c r="TH14" s="226"/>
      <c r="TI14" s="226"/>
      <c r="TJ14" s="82"/>
      <c r="TK14" s="82"/>
      <c r="TL14" s="227" t="s">
        <v>24</v>
      </c>
      <c r="TM14" s="227"/>
      <c r="TN14" s="227"/>
      <c r="TO14" s="227"/>
      <c r="TP14" s="102"/>
      <c r="TQ14" s="102"/>
      <c r="TR14" s="226" t="s">
        <v>25</v>
      </c>
      <c r="TS14" s="226"/>
      <c r="TT14" s="226"/>
      <c r="TU14" s="226"/>
      <c r="TV14" s="82"/>
      <c r="TW14" s="82"/>
      <c r="TX14" s="82"/>
      <c r="TY14" s="83"/>
      <c r="TZ14" s="81"/>
      <c r="UA14" s="82"/>
      <c r="UB14" s="82"/>
      <c r="UC14" s="82"/>
      <c r="UD14" s="226" t="s">
        <v>17</v>
      </c>
      <c r="UE14" s="226"/>
      <c r="UF14" s="226"/>
      <c r="UG14" s="226"/>
      <c r="UH14" s="82"/>
      <c r="UI14" s="82"/>
      <c r="UJ14" s="227" t="s">
        <v>18</v>
      </c>
      <c r="UK14" s="227"/>
      <c r="UL14" s="227"/>
      <c r="UM14" s="227"/>
      <c r="UN14" s="102"/>
      <c r="UO14" s="102"/>
      <c r="UP14" s="226" t="s">
        <v>19</v>
      </c>
      <c r="UQ14" s="226"/>
      <c r="UR14" s="226"/>
      <c r="US14" s="226"/>
      <c r="UT14" s="82"/>
      <c r="UU14" s="82"/>
      <c r="UV14" s="227" t="s">
        <v>20</v>
      </c>
      <c r="UW14" s="227"/>
      <c r="UX14" s="227"/>
      <c r="UY14" s="227"/>
      <c r="UZ14" s="102"/>
      <c r="VA14" s="102"/>
      <c r="VB14" s="226" t="s">
        <v>21</v>
      </c>
      <c r="VC14" s="226"/>
      <c r="VD14" s="226"/>
      <c r="VE14" s="226"/>
      <c r="VF14" s="82"/>
      <c r="VG14" s="82"/>
      <c r="VH14" s="227" t="s">
        <v>22</v>
      </c>
      <c r="VI14" s="227"/>
      <c r="VJ14" s="227"/>
      <c r="VK14" s="227"/>
      <c r="VL14" s="102"/>
      <c r="VM14" s="102"/>
      <c r="VN14" s="226" t="s">
        <v>23</v>
      </c>
      <c r="VO14" s="226"/>
      <c r="VP14" s="226"/>
      <c r="VQ14" s="226"/>
      <c r="VR14" s="82"/>
      <c r="VS14" s="82"/>
      <c r="VT14" s="227" t="s">
        <v>24</v>
      </c>
      <c r="VU14" s="227"/>
      <c r="VV14" s="227"/>
      <c r="VW14" s="227"/>
      <c r="VX14" s="102"/>
      <c r="VY14" s="102"/>
      <c r="VZ14" s="226" t="s">
        <v>25</v>
      </c>
      <c r="WA14" s="226"/>
      <c r="WB14" s="226"/>
      <c r="WC14" s="226"/>
      <c r="WD14" s="82"/>
      <c r="WE14" s="82"/>
      <c r="WF14" s="82"/>
      <c r="WG14" s="83"/>
      <c r="WH14" s="81"/>
      <c r="WI14" s="82"/>
      <c r="WJ14" s="82"/>
      <c r="WK14" s="82"/>
      <c r="WL14" s="226" t="s">
        <v>17</v>
      </c>
      <c r="WM14" s="226"/>
      <c r="WN14" s="226"/>
      <c r="WO14" s="226"/>
      <c r="WP14" s="82"/>
      <c r="WQ14" s="82"/>
      <c r="WR14" s="227" t="s">
        <v>18</v>
      </c>
      <c r="WS14" s="227"/>
      <c r="WT14" s="227"/>
      <c r="WU14" s="227"/>
      <c r="WV14" s="102"/>
      <c r="WW14" s="102"/>
      <c r="WX14" s="226" t="s">
        <v>19</v>
      </c>
      <c r="WY14" s="226"/>
      <c r="WZ14" s="226"/>
      <c r="XA14" s="226"/>
      <c r="XB14" s="82"/>
      <c r="XC14" s="82"/>
      <c r="XD14" s="227" t="s">
        <v>20</v>
      </c>
      <c r="XE14" s="227"/>
      <c r="XF14" s="227"/>
      <c r="XG14" s="227"/>
      <c r="XH14" s="102"/>
      <c r="XI14" s="102"/>
      <c r="XJ14" s="226" t="s">
        <v>21</v>
      </c>
      <c r="XK14" s="226"/>
      <c r="XL14" s="226"/>
      <c r="XM14" s="226"/>
      <c r="XN14" s="82"/>
      <c r="XO14" s="82"/>
      <c r="XP14" s="227" t="s">
        <v>22</v>
      </c>
      <c r="XQ14" s="227"/>
      <c r="XR14" s="227"/>
      <c r="XS14" s="227"/>
      <c r="XT14" s="102"/>
      <c r="XU14" s="102"/>
      <c r="XV14" s="226" t="s">
        <v>23</v>
      </c>
      <c r="XW14" s="226"/>
      <c r="XX14" s="226"/>
      <c r="XY14" s="226"/>
      <c r="XZ14" s="82"/>
      <c r="YA14" s="82"/>
      <c r="YB14" s="227" t="s">
        <v>24</v>
      </c>
      <c r="YC14" s="227"/>
      <c r="YD14" s="227"/>
      <c r="YE14" s="227"/>
      <c r="YF14" s="102"/>
      <c r="YG14" s="102"/>
      <c r="YH14" s="226" t="s">
        <v>25</v>
      </c>
      <c r="YI14" s="226"/>
      <c r="YJ14" s="226"/>
      <c r="YK14" s="226"/>
      <c r="YL14" s="82"/>
      <c r="YM14" s="82"/>
      <c r="YN14" s="82"/>
      <c r="YO14" s="83"/>
      <c r="YP14" s="81"/>
      <c r="YQ14" s="82"/>
      <c r="YR14" s="82"/>
      <c r="YS14" s="82"/>
      <c r="YT14" s="226" t="s">
        <v>17</v>
      </c>
      <c r="YU14" s="226"/>
      <c r="YV14" s="226"/>
      <c r="YW14" s="226"/>
      <c r="YX14" s="82"/>
      <c r="YY14" s="82"/>
      <c r="YZ14" s="227" t="s">
        <v>18</v>
      </c>
      <c r="ZA14" s="227"/>
      <c r="ZB14" s="227"/>
      <c r="ZC14" s="227"/>
      <c r="ZD14" s="102"/>
      <c r="ZE14" s="102"/>
      <c r="ZF14" s="226" t="s">
        <v>19</v>
      </c>
      <c r="ZG14" s="226"/>
      <c r="ZH14" s="226"/>
      <c r="ZI14" s="226"/>
      <c r="ZJ14" s="82"/>
      <c r="ZK14" s="82"/>
      <c r="ZL14" s="227" t="s">
        <v>20</v>
      </c>
      <c r="ZM14" s="227"/>
      <c r="ZN14" s="227"/>
      <c r="ZO14" s="227"/>
      <c r="ZP14" s="102"/>
      <c r="ZQ14" s="102"/>
      <c r="ZR14" s="226" t="s">
        <v>21</v>
      </c>
      <c r="ZS14" s="226"/>
      <c r="ZT14" s="226"/>
      <c r="ZU14" s="226"/>
      <c r="ZV14" s="82"/>
      <c r="ZW14" s="82"/>
      <c r="ZX14" s="227" t="s">
        <v>22</v>
      </c>
      <c r="ZY14" s="227"/>
      <c r="ZZ14" s="227"/>
      <c r="AAA14" s="227"/>
      <c r="AAB14" s="102"/>
      <c r="AAC14" s="102"/>
      <c r="AAD14" s="226" t="s">
        <v>23</v>
      </c>
      <c r="AAE14" s="226"/>
      <c r="AAF14" s="226"/>
      <c r="AAG14" s="226"/>
      <c r="AAH14" s="82"/>
      <c r="AAI14" s="82"/>
      <c r="AAJ14" s="227" t="s">
        <v>24</v>
      </c>
      <c r="AAK14" s="227"/>
      <c r="AAL14" s="227"/>
      <c r="AAM14" s="227"/>
      <c r="AAN14" s="102"/>
      <c r="AAO14" s="102"/>
      <c r="AAP14" s="226" t="s">
        <v>25</v>
      </c>
      <c r="AAQ14" s="226"/>
      <c r="AAR14" s="226"/>
      <c r="AAS14" s="226"/>
      <c r="AAT14" s="82"/>
      <c r="AAU14" s="82"/>
      <c r="AAV14" s="82"/>
      <c r="AAW14" s="83"/>
      <c r="AAX14" s="81"/>
      <c r="AAY14" s="82"/>
      <c r="AAZ14" s="82"/>
      <c r="ABA14" s="82"/>
      <c r="ABB14" s="226" t="s">
        <v>17</v>
      </c>
      <c r="ABC14" s="226"/>
      <c r="ABD14" s="226"/>
      <c r="ABE14" s="226"/>
      <c r="ABF14" s="82"/>
      <c r="ABG14" s="82"/>
      <c r="ABH14" s="227" t="s">
        <v>18</v>
      </c>
      <c r="ABI14" s="227"/>
      <c r="ABJ14" s="227"/>
      <c r="ABK14" s="227"/>
      <c r="ABL14" s="102"/>
      <c r="ABM14" s="102"/>
      <c r="ABN14" s="226" t="s">
        <v>19</v>
      </c>
      <c r="ABO14" s="226"/>
      <c r="ABP14" s="226"/>
      <c r="ABQ14" s="226"/>
      <c r="ABR14" s="82"/>
      <c r="ABS14" s="82"/>
      <c r="ABT14" s="227" t="s">
        <v>20</v>
      </c>
      <c r="ABU14" s="227"/>
      <c r="ABV14" s="227"/>
      <c r="ABW14" s="227"/>
      <c r="ABX14" s="102"/>
      <c r="ABY14" s="102"/>
      <c r="ABZ14" s="226" t="s">
        <v>21</v>
      </c>
      <c r="ACA14" s="226"/>
      <c r="ACB14" s="226"/>
      <c r="ACC14" s="226"/>
      <c r="ACD14" s="82"/>
      <c r="ACE14" s="82"/>
      <c r="ACF14" s="227" t="s">
        <v>22</v>
      </c>
      <c r="ACG14" s="227"/>
      <c r="ACH14" s="227"/>
      <c r="ACI14" s="227"/>
      <c r="ACJ14" s="102"/>
      <c r="ACK14" s="102"/>
      <c r="ACL14" s="226" t="s">
        <v>23</v>
      </c>
      <c r="ACM14" s="226"/>
      <c r="ACN14" s="226"/>
      <c r="ACO14" s="226"/>
      <c r="ACP14" s="82"/>
      <c r="ACQ14" s="82"/>
      <c r="ACR14" s="227" t="s">
        <v>24</v>
      </c>
      <c r="ACS14" s="227"/>
      <c r="ACT14" s="227"/>
      <c r="ACU14" s="227"/>
      <c r="ACV14" s="102"/>
      <c r="ACW14" s="102"/>
      <c r="ACX14" s="226" t="s">
        <v>25</v>
      </c>
      <c r="ACY14" s="226"/>
      <c r="ACZ14" s="226"/>
      <c r="ADA14" s="226"/>
      <c r="ADB14" s="82"/>
      <c r="ADC14" s="82"/>
      <c r="ADD14" s="82"/>
      <c r="ADE14" s="83"/>
      <c r="ADF14" s="81"/>
      <c r="ADG14" s="82"/>
      <c r="ADH14" s="82"/>
      <c r="ADI14" s="82"/>
      <c r="ADJ14" s="226" t="s">
        <v>17</v>
      </c>
      <c r="ADK14" s="226"/>
      <c r="ADL14" s="226"/>
      <c r="ADM14" s="226"/>
      <c r="ADN14" s="82"/>
      <c r="ADO14" s="82"/>
      <c r="ADP14" s="227" t="s">
        <v>18</v>
      </c>
      <c r="ADQ14" s="227"/>
      <c r="ADR14" s="227"/>
      <c r="ADS14" s="227"/>
      <c r="ADT14" s="102"/>
      <c r="ADU14" s="102"/>
      <c r="ADV14" s="226" t="s">
        <v>19</v>
      </c>
      <c r="ADW14" s="226"/>
      <c r="ADX14" s="226"/>
      <c r="ADY14" s="226"/>
      <c r="ADZ14" s="82"/>
      <c r="AEA14" s="82"/>
      <c r="AEB14" s="227" t="s">
        <v>20</v>
      </c>
      <c r="AEC14" s="227"/>
      <c r="AED14" s="227"/>
      <c r="AEE14" s="227"/>
      <c r="AEF14" s="102"/>
      <c r="AEG14" s="102"/>
      <c r="AEH14" s="226" t="s">
        <v>21</v>
      </c>
      <c r="AEI14" s="226"/>
      <c r="AEJ14" s="226"/>
      <c r="AEK14" s="226"/>
      <c r="AEL14" s="82"/>
      <c r="AEM14" s="82"/>
      <c r="AEN14" s="227" t="s">
        <v>22</v>
      </c>
      <c r="AEO14" s="227"/>
      <c r="AEP14" s="227"/>
      <c r="AEQ14" s="227"/>
      <c r="AER14" s="102"/>
      <c r="AES14" s="102"/>
      <c r="AET14" s="226" t="s">
        <v>23</v>
      </c>
      <c r="AEU14" s="226"/>
      <c r="AEV14" s="226"/>
      <c r="AEW14" s="226"/>
      <c r="AEX14" s="82"/>
      <c r="AEY14" s="82"/>
      <c r="AEZ14" s="227" t="s">
        <v>24</v>
      </c>
      <c r="AFA14" s="227"/>
      <c r="AFB14" s="227"/>
      <c r="AFC14" s="227"/>
      <c r="AFD14" s="102"/>
      <c r="AFE14" s="102"/>
      <c r="AFF14" s="226" t="s">
        <v>25</v>
      </c>
      <c r="AFG14" s="226"/>
      <c r="AFH14" s="226"/>
      <c r="AFI14" s="226"/>
      <c r="AFJ14" s="82"/>
      <c r="AFK14" s="82"/>
      <c r="AFL14" s="82"/>
      <c r="AFM14" s="83"/>
      <c r="AFN14" s="81"/>
      <c r="AFO14" s="82"/>
      <c r="AFP14" s="82"/>
      <c r="AFQ14" s="82"/>
      <c r="AFR14" s="226" t="s">
        <v>17</v>
      </c>
      <c r="AFS14" s="226"/>
      <c r="AFT14" s="226"/>
      <c r="AFU14" s="226"/>
      <c r="AFV14" s="82"/>
      <c r="AFW14" s="82"/>
      <c r="AFX14" s="227" t="s">
        <v>18</v>
      </c>
      <c r="AFY14" s="227"/>
      <c r="AFZ14" s="227"/>
      <c r="AGA14" s="227"/>
      <c r="AGB14" s="102"/>
      <c r="AGC14" s="102"/>
      <c r="AGD14" s="226" t="s">
        <v>19</v>
      </c>
      <c r="AGE14" s="226"/>
      <c r="AGF14" s="226"/>
      <c r="AGG14" s="226"/>
      <c r="AGH14" s="82"/>
      <c r="AGI14" s="82"/>
      <c r="AGJ14" s="227" t="s">
        <v>20</v>
      </c>
      <c r="AGK14" s="227"/>
      <c r="AGL14" s="227"/>
      <c r="AGM14" s="227"/>
      <c r="AGN14" s="102"/>
      <c r="AGO14" s="102"/>
      <c r="AGP14" s="226" t="s">
        <v>21</v>
      </c>
      <c r="AGQ14" s="226"/>
      <c r="AGR14" s="226"/>
      <c r="AGS14" s="226"/>
      <c r="AGT14" s="82"/>
      <c r="AGU14" s="82"/>
      <c r="AGV14" s="227" t="s">
        <v>22</v>
      </c>
      <c r="AGW14" s="227"/>
      <c r="AGX14" s="227"/>
      <c r="AGY14" s="227"/>
      <c r="AGZ14" s="102"/>
      <c r="AHA14" s="102"/>
      <c r="AHB14" s="226" t="s">
        <v>23</v>
      </c>
      <c r="AHC14" s="226"/>
      <c r="AHD14" s="226"/>
      <c r="AHE14" s="226"/>
      <c r="AHF14" s="82"/>
      <c r="AHG14" s="82"/>
      <c r="AHH14" s="227" t="s">
        <v>24</v>
      </c>
      <c r="AHI14" s="227"/>
      <c r="AHJ14" s="227"/>
      <c r="AHK14" s="227"/>
      <c r="AHL14" s="102"/>
      <c r="AHM14" s="102"/>
      <c r="AHN14" s="226" t="s">
        <v>25</v>
      </c>
      <c r="AHO14" s="226"/>
      <c r="AHP14" s="226"/>
      <c r="AHQ14" s="226"/>
      <c r="AHR14" s="82"/>
      <c r="AHS14" s="82"/>
      <c r="AHT14" s="82"/>
      <c r="AHU14" s="83"/>
      <c r="AHV14" s="81"/>
      <c r="AHW14" s="82"/>
      <c r="AHX14" s="82"/>
      <c r="AHY14" s="82"/>
      <c r="AHZ14" s="226" t="s">
        <v>17</v>
      </c>
      <c r="AIA14" s="226"/>
      <c r="AIB14" s="226"/>
      <c r="AIC14" s="226"/>
      <c r="AID14" s="82"/>
      <c r="AIE14" s="82"/>
      <c r="AIF14" s="227" t="s">
        <v>18</v>
      </c>
      <c r="AIG14" s="227"/>
      <c r="AIH14" s="227"/>
      <c r="AII14" s="227"/>
      <c r="AIJ14" s="102"/>
      <c r="AIK14" s="102"/>
      <c r="AIL14" s="226" t="s">
        <v>19</v>
      </c>
      <c r="AIM14" s="226"/>
      <c r="AIN14" s="226"/>
      <c r="AIO14" s="226"/>
      <c r="AIP14" s="82"/>
      <c r="AIQ14" s="82"/>
      <c r="AIR14" s="227" t="s">
        <v>20</v>
      </c>
      <c r="AIS14" s="227"/>
      <c r="AIT14" s="227"/>
      <c r="AIU14" s="227"/>
      <c r="AIV14" s="102"/>
      <c r="AIW14" s="102"/>
      <c r="AIX14" s="226" t="s">
        <v>21</v>
      </c>
      <c r="AIY14" s="226"/>
      <c r="AIZ14" s="226"/>
      <c r="AJA14" s="226"/>
      <c r="AJB14" s="82"/>
      <c r="AJC14" s="82"/>
      <c r="AJD14" s="227" t="s">
        <v>22</v>
      </c>
      <c r="AJE14" s="227"/>
      <c r="AJF14" s="227"/>
      <c r="AJG14" s="227"/>
      <c r="AJH14" s="102"/>
      <c r="AJI14" s="102"/>
      <c r="AJJ14" s="226" t="s">
        <v>23</v>
      </c>
      <c r="AJK14" s="226"/>
      <c r="AJL14" s="226"/>
      <c r="AJM14" s="226"/>
      <c r="AJN14" s="82"/>
      <c r="AJO14" s="82"/>
      <c r="AJP14" s="227" t="s">
        <v>24</v>
      </c>
      <c r="AJQ14" s="227"/>
      <c r="AJR14" s="227"/>
      <c r="AJS14" s="227"/>
      <c r="AJT14" s="102"/>
      <c r="AJU14" s="102"/>
      <c r="AJV14" s="226" t="s">
        <v>25</v>
      </c>
      <c r="AJW14" s="226"/>
      <c r="AJX14" s="226"/>
      <c r="AJY14" s="226"/>
      <c r="AJZ14" s="82"/>
      <c r="AKA14" s="82"/>
      <c r="AKB14" s="82"/>
      <c r="AKC14" s="83"/>
      <c r="AKD14" s="81"/>
      <c r="AKE14" s="82"/>
      <c r="AKF14" s="82"/>
      <c r="AKG14" s="82"/>
      <c r="AKH14" s="226" t="s">
        <v>17</v>
      </c>
      <c r="AKI14" s="226"/>
      <c r="AKJ14" s="226"/>
      <c r="AKK14" s="226"/>
      <c r="AKL14" s="82"/>
      <c r="AKM14" s="82"/>
      <c r="AKN14" s="227" t="s">
        <v>18</v>
      </c>
      <c r="AKO14" s="227"/>
      <c r="AKP14" s="227"/>
      <c r="AKQ14" s="227"/>
      <c r="AKR14" s="102"/>
      <c r="AKS14" s="102"/>
      <c r="AKT14" s="226" t="s">
        <v>19</v>
      </c>
      <c r="AKU14" s="226"/>
      <c r="AKV14" s="226"/>
      <c r="AKW14" s="226"/>
      <c r="AKX14" s="82"/>
      <c r="AKY14" s="82"/>
      <c r="AKZ14" s="227" t="s">
        <v>20</v>
      </c>
      <c r="ALA14" s="227"/>
      <c r="ALB14" s="227"/>
      <c r="ALC14" s="227"/>
      <c r="ALD14" s="102"/>
      <c r="ALE14" s="102"/>
      <c r="ALF14" s="226" t="s">
        <v>21</v>
      </c>
      <c r="ALG14" s="226"/>
      <c r="ALH14" s="226"/>
      <c r="ALI14" s="226"/>
      <c r="ALJ14" s="82"/>
      <c r="ALK14" s="82"/>
      <c r="ALL14" s="227" t="s">
        <v>22</v>
      </c>
      <c r="ALM14" s="227"/>
      <c r="ALN14" s="227"/>
      <c r="ALO14" s="227"/>
      <c r="ALP14" s="102"/>
      <c r="ALQ14" s="102"/>
      <c r="ALR14" s="226" t="s">
        <v>23</v>
      </c>
      <c r="ALS14" s="226"/>
      <c r="ALT14" s="226"/>
      <c r="ALU14" s="226"/>
      <c r="ALV14" s="82"/>
      <c r="ALW14" s="82"/>
      <c r="ALX14" s="227" t="s">
        <v>24</v>
      </c>
      <c r="ALY14" s="227"/>
      <c r="ALZ14" s="227"/>
      <c r="AMA14" s="227"/>
      <c r="AMB14" s="102"/>
      <c r="AMC14" s="102"/>
      <c r="AMD14" s="226" t="s">
        <v>25</v>
      </c>
      <c r="AME14" s="226"/>
      <c r="AMF14" s="226"/>
      <c r="AMG14" s="226"/>
      <c r="AMH14" s="82"/>
      <c r="AMI14" s="82"/>
      <c r="AMJ14" s="82"/>
      <c r="AMK14" s="83"/>
      <c r="AML14" s="81"/>
      <c r="AMM14" s="82"/>
      <c r="AMN14" s="82"/>
      <c r="AMO14" s="82"/>
      <c r="AMP14" s="226" t="s">
        <v>17</v>
      </c>
      <c r="AMQ14" s="226"/>
      <c r="AMR14" s="226"/>
      <c r="AMS14" s="226"/>
      <c r="AMT14" s="82"/>
      <c r="AMU14" s="82"/>
      <c r="AMV14" s="227" t="s">
        <v>18</v>
      </c>
      <c r="AMW14" s="227"/>
      <c r="AMX14" s="227"/>
      <c r="AMY14" s="227"/>
      <c r="AMZ14" s="102"/>
      <c r="ANA14" s="102"/>
      <c r="ANB14" s="226" t="s">
        <v>19</v>
      </c>
      <c r="ANC14" s="226"/>
      <c r="AND14" s="226"/>
      <c r="ANE14" s="226"/>
      <c r="ANF14" s="82"/>
      <c r="ANG14" s="82"/>
      <c r="ANH14" s="227" t="s">
        <v>20</v>
      </c>
      <c r="ANI14" s="227"/>
      <c r="ANJ14" s="227"/>
      <c r="ANK14" s="227"/>
      <c r="ANL14" s="102"/>
      <c r="ANM14" s="102"/>
      <c r="ANN14" s="226" t="s">
        <v>21</v>
      </c>
      <c r="ANO14" s="226"/>
      <c r="ANP14" s="226"/>
      <c r="ANQ14" s="226"/>
      <c r="ANR14" s="82"/>
      <c r="ANS14" s="82"/>
      <c r="ANT14" s="227" t="s">
        <v>22</v>
      </c>
      <c r="ANU14" s="227"/>
      <c r="ANV14" s="227"/>
      <c r="ANW14" s="227"/>
      <c r="ANX14" s="102"/>
      <c r="ANY14" s="102"/>
      <c r="ANZ14" s="226" t="s">
        <v>23</v>
      </c>
      <c r="AOA14" s="226"/>
      <c r="AOB14" s="226"/>
      <c r="AOC14" s="226"/>
      <c r="AOD14" s="82"/>
      <c r="AOE14" s="82"/>
      <c r="AOF14" s="227" t="s">
        <v>24</v>
      </c>
      <c r="AOG14" s="227"/>
      <c r="AOH14" s="227"/>
      <c r="AOI14" s="227"/>
      <c r="AOJ14" s="102"/>
      <c r="AOK14" s="102"/>
      <c r="AOL14" s="226" t="s">
        <v>25</v>
      </c>
      <c r="AOM14" s="226"/>
      <c r="AON14" s="226"/>
      <c r="AOO14" s="226"/>
      <c r="AOP14" s="82"/>
      <c r="AOQ14" s="82"/>
      <c r="AOR14" s="82"/>
      <c r="AOS14" s="83"/>
      <c r="AOT14" s="81"/>
      <c r="AOU14" s="82"/>
      <c r="AOV14" s="82"/>
      <c r="AOW14" s="82"/>
      <c r="AOX14" s="226" t="s">
        <v>17</v>
      </c>
      <c r="AOY14" s="226"/>
      <c r="AOZ14" s="226"/>
      <c r="APA14" s="226"/>
      <c r="APB14" s="82"/>
      <c r="APC14" s="82"/>
      <c r="APD14" s="227" t="s">
        <v>18</v>
      </c>
      <c r="APE14" s="227"/>
      <c r="APF14" s="227"/>
      <c r="APG14" s="227"/>
      <c r="APH14" s="102"/>
      <c r="API14" s="102"/>
      <c r="APJ14" s="226" t="s">
        <v>19</v>
      </c>
      <c r="APK14" s="226"/>
      <c r="APL14" s="226"/>
      <c r="APM14" s="226"/>
      <c r="APN14" s="82"/>
      <c r="APO14" s="82"/>
      <c r="APP14" s="227" t="s">
        <v>20</v>
      </c>
      <c r="APQ14" s="227"/>
      <c r="APR14" s="227"/>
      <c r="APS14" s="227"/>
      <c r="APT14" s="102"/>
      <c r="APU14" s="102"/>
      <c r="APV14" s="226" t="s">
        <v>21</v>
      </c>
      <c r="APW14" s="226"/>
      <c r="APX14" s="226"/>
      <c r="APY14" s="226"/>
      <c r="APZ14" s="82"/>
      <c r="AQA14" s="82"/>
      <c r="AQB14" s="227" t="s">
        <v>22</v>
      </c>
      <c r="AQC14" s="227"/>
      <c r="AQD14" s="227"/>
      <c r="AQE14" s="227"/>
      <c r="AQF14" s="102"/>
      <c r="AQG14" s="102"/>
      <c r="AQH14" s="226" t="s">
        <v>23</v>
      </c>
      <c r="AQI14" s="226"/>
      <c r="AQJ14" s="226"/>
      <c r="AQK14" s="226"/>
      <c r="AQL14" s="82"/>
      <c r="AQM14" s="82"/>
      <c r="AQN14" s="227" t="s">
        <v>24</v>
      </c>
      <c r="AQO14" s="227"/>
      <c r="AQP14" s="227"/>
      <c r="AQQ14" s="227"/>
      <c r="AQR14" s="102"/>
      <c r="AQS14" s="102"/>
      <c r="AQT14" s="226" t="s">
        <v>25</v>
      </c>
      <c r="AQU14" s="226"/>
      <c r="AQV14" s="226"/>
      <c r="AQW14" s="226"/>
      <c r="AQX14" s="82"/>
      <c r="AQY14" s="82"/>
      <c r="AQZ14" s="82"/>
      <c r="ARA14" s="83"/>
      <c r="ARB14" s="81"/>
      <c r="ARC14" s="82"/>
      <c r="ARD14" s="82"/>
      <c r="ARE14" s="82"/>
      <c r="ARF14" s="226" t="s">
        <v>17</v>
      </c>
      <c r="ARG14" s="226"/>
      <c r="ARH14" s="226"/>
      <c r="ARI14" s="226"/>
      <c r="ARJ14" s="82"/>
      <c r="ARK14" s="82"/>
      <c r="ARL14" s="227" t="s">
        <v>18</v>
      </c>
      <c r="ARM14" s="227"/>
      <c r="ARN14" s="227"/>
      <c r="ARO14" s="227"/>
      <c r="ARP14" s="102"/>
      <c r="ARQ14" s="102"/>
      <c r="ARR14" s="226" t="s">
        <v>19</v>
      </c>
      <c r="ARS14" s="226"/>
      <c r="ART14" s="226"/>
      <c r="ARU14" s="226"/>
      <c r="ARV14" s="82"/>
      <c r="ARW14" s="82"/>
      <c r="ARX14" s="227" t="s">
        <v>20</v>
      </c>
      <c r="ARY14" s="227"/>
      <c r="ARZ14" s="227"/>
      <c r="ASA14" s="227"/>
      <c r="ASB14" s="102"/>
      <c r="ASC14" s="102"/>
      <c r="ASD14" s="226" t="s">
        <v>21</v>
      </c>
      <c r="ASE14" s="226"/>
      <c r="ASF14" s="226"/>
      <c r="ASG14" s="226"/>
      <c r="ASH14" s="82"/>
      <c r="ASI14" s="82"/>
      <c r="ASJ14" s="227" t="s">
        <v>22</v>
      </c>
      <c r="ASK14" s="227"/>
      <c r="ASL14" s="227"/>
      <c r="ASM14" s="227"/>
      <c r="ASN14" s="102"/>
      <c r="ASO14" s="102"/>
      <c r="ASP14" s="226" t="s">
        <v>23</v>
      </c>
      <c r="ASQ14" s="226"/>
      <c r="ASR14" s="226"/>
      <c r="ASS14" s="226"/>
      <c r="AST14" s="82"/>
      <c r="ASU14" s="82"/>
      <c r="ASV14" s="227" t="s">
        <v>24</v>
      </c>
      <c r="ASW14" s="227"/>
      <c r="ASX14" s="227"/>
      <c r="ASY14" s="227"/>
      <c r="ASZ14" s="102"/>
      <c r="ATA14" s="102"/>
      <c r="ATB14" s="226" t="s">
        <v>25</v>
      </c>
      <c r="ATC14" s="226"/>
      <c r="ATD14" s="226"/>
      <c r="ATE14" s="226"/>
      <c r="ATF14" s="82"/>
      <c r="ATG14" s="82"/>
      <c r="ATH14" s="82"/>
      <c r="ATI14" s="83"/>
      <c r="ATJ14" s="81"/>
      <c r="ATK14" s="82"/>
      <c r="ATL14" s="82"/>
      <c r="ATM14" s="82"/>
      <c r="ATN14" s="226" t="s">
        <v>17</v>
      </c>
      <c r="ATO14" s="226"/>
      <c r="ATP14" s="226"/>
      <c r="ATQ14" s="226"/>
      <c r="ATR14" s="82"/>
      <c r="ATS14" s="82"/>
      <c r="ATT14" s="227" t="s">
        <v>18</v>
      </c>
      <c r="ATU14" s="227"/>
      <c r="ATV14" s="227"/>
      <c r="ATW14" s="227"/>
      <c r="ATX14" s="102"/>
      <c r="ATY14" s="102"/>
      <c r="ATZ14" s="226" t="s">
        <v>19</v>
      </c>
      <c r="AUA14" s="226"/>
      <c r="AUB14" s="226"/>
      <c r="AUC14" s="226"/>
      <c r="AUD14" s="82"/>
      <c r="AUE14" s="82"/>
      <c r="AUF14" s="227" t="s">
        <v>20</v>
      </c>
      <c r="AUG14" s="227"/>
      <c r="AUH14" s="227"/>
      <c r="AUI14" s="227"/>
      <c r="AUJ14" s="102"/>
      <c r="AUK14" s="102"/>
      <c r="AUL14" s="226" t="s">
        <v>21</v>
      </c>
      <c r="AUM14" s="226"/>
      <c r="AUN14" s="226"/>
      <c r="AUO14" s="226"/>
      <c r="AUP14" s="82"/>
      <c r="AUQ14" s="82"/>
      <c r="AUR14" s="227" t="s">
        <v>22</v>
      </c>
      <c r="AUS14" s="227"/>
      <c r="AUT14" s="227"/>
      <c r="AUU14" s="227"/>
      <c r="AUV14" s="102"/>
      <c r="AUW14" s="102"/>
      <c r="AUX14" s="226" t="s">
        <v>23</v>
      </c>
      <c r="AUY14" s="226"/>
      <c r="AUZ14" s="226"/>
      <c r="AVA14" s="226"/>
      <c r="AVB14" s="82"/>
      <c r="AVC14" s="82"/>
      <c r="AVD14" s="227" t="s">
        <v>24</v>
      </c>
      <c r="AVE14" s="227"/>
      <c r="AVF14" s="227"/>
      <c r="AVG14" s="227"/>
      <c r="AVH14" s="102"/>
      <c r="AVI14" s="102"/>
      <c r="AVJ14" s="226" t="s">
        <v>25</v>
      </c>
      <c r="AVK14" s="226"/>
      <c r="AVL14" s="226"/>
      <c r="AVM14" s="226"/>
      <c r="AVN14" s="82"/>
      <c r="AVO14" s="82"/>
      <c r="AVP14" s="82"/>
      <c r="AVQ14" s="83"/>
      <c r="AVR14" s="81"/>
      <c r="AVS14" s="82"/>
      <c r="AVT14" s="82"/>
      <c r="AVU14" s="82"/>
      <c r="AVV14" s="226" t="s">
        <v>17</v>
      </c>
      <c r="AVW14" s="226"/>
      <c r="AVX14" s="226"/>
      <c r="AVY14" s="226"/>
      <c r="AVZ14" s="82"/>
      <c r="AWA14" s="82"/>
      <c r="AWB14" s="227" t="s">
        <v>18</v>
      </c>
      <c r="AWC14" s="227"/>
      <c r="AWD14" s="227"/>
      <c r="AWE14" s="227"/>
      <c r="AWF14" s="102"/>
      <c r="AWG14" s="102"/>
      <c r="AWH14" s="226" t="s">
        <v>19</v>
      </c>
      <c r="AWI14" s="226"/>
      <c r="AWJ14" s="226"/>
      <c r="AWK14" s="226"/>
      <c r="AWL14" s="82"/>
      <c r="AWM14" s="82"/>
      <c r="AWN14" s="227" t="s">
        <v>20</v>
      </c>
      <c r="AWO14" s="227"/>
      <c r="AWP14" s="227"/>
      <c r="AWQ14" s="227"/>
      <c r="AWR14" s="102"/>
      <c r="AWS14" s="102"/>
      <c r="AWT14" s="226" t="s">
        <v>21</v>
      </c>
      <c r="AWU14" s="226"/>
      <c r="AWV14" s="226"/>
      <c r="AWW14" s="226"/>
      <c r="AWX14" s="82"/>
      <c r="AWY14" s="82"/>
      <c r="AWZ14" s="227" t="s">
        <v>22</v>
      </c>
      <c r="AXA14" s="227"/>
      <c r="AXB14" s="227"/>
      <c r="AXC14" s="227"/>
      <c r="AXD14" s="102"/>
      <c r="AXE14" s="102"/>
      <c r="AXF14" s="226" t="s">
        <v>23</v>
      </c>
      <c r="AXG14" s="226"/>
      <c r="AXH14" s="226"/>
      <c r="AXI14" s="226"/>
      <c r="AXJ14" s="82"/>
      <c r="AXK14" s="82"/>
      <c r="AXL14" s="227" t="s">
        <v>24</v>
      </c>
      <c r="AXM14" s="227"/>
      <c r="AXN14" s="227"/>
      <c r="AXO14" s="227"/>
      <c r="AXP14" s="102"/>
      <c r="AXQ14" s="102"/>
      <c r="AXR14" s="226" t="s">
        <v>25</v>
      </c>
      <c r="AXS14" s="226"/>
      <c r="AXT14" s="226"/>
      <c r="AXU14" s="226"/>
      <c r="AXV14" s="82"/>
      <c r="AXW14" s="82"/>
      <c r="AXX14" s="82"/>
      <c r="AXY14" s="83"/>
      <c r="AXZ14" s="81"/>
      <c r="AYA14" s="82"/>
      <c r="AYB14" s="82"/>
      <c r="AYC14" s="82"/>
      <c r="AYD14" s="226" t="s">
        <v>17</v>
      </c>
      <c r="AYE14" s="226"/>
      <c r="AYF14" s="226"/>
      <c r="AYG14" s="226"/>
      <c r="AYH14" s="82"/>
      <c r="AYI14" s="82"/>
      <c r="AYJ14" s="227" t="s">
        <v>18</v>
      </c>
      <c r="AYK14" s="227"/>
      <c r="AYL14" s="227"/>
      <c r="AYM14" s="227"/>
      <c r="AYN14" s="102"/>
      <c r="AYO14" s="102"/>
      <c r="AYP14" s="226" t="s">
        <v>19</v>
      </c>
      <c r="AYQ14" s="226"/>
      <c r="AYR14" s="226"/>
      <c r="AYS14" s="226"/>
      <c r="AYT14" s="82"/>
      <c r="AYU14" s="82"/>
      <c r="AYV14" s="227" t="s">
        <v>20</v>
      </c>
      <c r="AYW14" s="227"/>
      <c r="AYX14" s="227"/>
      <c r="AYY14" s="227"/>
      <c r="AYZ14" s="102"/>
      <c r="AZA14" s="102"/>
      <c r="AZB14" s="226" t="s">
        <v>21</v>
      </c>
      <c r="AZC14" s="226"/>
      <c r="AZD14" s="226"/>
      <c r="AZE14" s="226"/>
      <c r="AZF14" s="82"/>
      <c r="AZG14" s="82"/>
      <c r="AZH14" s="227" t="s">
        <v>22</v>
      </c>
      <c r="AZI14" s="227"/>
      <c r="AZJ14" s="227"/>
      <c r="AZK14" s="227"/>
      <c r="AZL14" s="102"/>
      <c r="AZM14" s="102"/>
      <c r="AZN14" s="226" t="s">
        <v>23</v>
      </c>
      <c r="AZO14" s="226"/>
      <c r="AZP14" s="226"/>
      <c r="AZQ14" s="226"/>
      <c r="AZR14" s="82"/>
      <c r="AZS14" s="82"/>
      <c r="AZT14" s="227" t="s">
        <v>24</v>
      </c>
      <c r="AZU14" s="227"/>
      <c r="AZV14" s="227"/>
      <c r="AZW14" s="227"/>
      <c r="AZX14" s="102"/>
      <c r="AZY14" s="102"/>
      <c r="AZZ14" s="226" t="s">
        <v>25</v>
      </c>
      <c r="BAA14" s="226"/>
      <c r="BAB14" s="226"/>
      <c r="BAC14" s="226"/>
      <c r="BAD14" s="82"/>
      <c r="BAE14" s="82"/>
      <c r="BAF14" s="82"/>
      <c r="BAG14" s="83"/>
      <c r="BAH14" s="81"/>
      <c r="BAI14" s="82"/>
      <c r="BAJ14" s="82"/>
      <c r="BAK14" s="82"/>
      <c r="BAL14" s="226" t="s">
        <v>17</v>
      </c>
      <c r="BAM14" s="226"/>
      <c r="BAN14" s="226"/>
      <c r="BAO14" s="226"/>
      <c r="BAP14" s="82"/>
      <c r="BAQ14" s="82"/>
      <c r="BAR14" s="227" t="s">
        <v>18</v>
      </c>
      <c r="BAS14" s="227"/>
      <c r="BAT14" s="227"/>
      <c r="BAU14" s="227"/>
      <c r="BAV14" s="102"/>
      <c r="BAW14" s="102"/>
      <c r="BAX14" s="226" t="s">
        <v>19</v>
      </c>
      <c r="BAY14" s="226"/>
      <c r="BAZ14" s="226"/>
      <c r="BBA14" s="226"/>
      <c r="BBB14" s="82"/>
      <c r="BBC14" s="82"/>
      <c r="BBD14" s="227" t="s">
        <v>20</v>
      </c>
      <c r="BBE14" s="227"/>
      <c r="BBF14" s="227"/>
      <c r="BBG14" s="227"/>
      <c r="BBH14" s="102"/>
      <c r="BBI14" s="102"/>
      <c r="BBJ14" s="226" t="s">
        <v>21</v>
      </c>
      <c r="BBK14" s="226"/>
      <c r="BBL14" s="226"/>
      <c r="BBM14" s="226"/>
      <c r="BBN14" s="82"/>
      <c r="BBO14" s="82"/>
      <c r="BBP14" s="227" t="s">
        <v>22</v>
      </c>
      <c r="BBQ14" s="227"/>
      <c r="BBR14" s="227"/>
      <c r="BBS14" s="227"/>
      <c r="BBT14" s="102"/>
      <c r="BBU14" s="102"/>
      <c r="BBV14" s="226" t="s">
        <v>23</v>
      </c>
      <c r="BBW14" s="226"/>
      <c r="BBX14" s="226"/>
      <c r="BBY14" s="226"/>
      <c r="BBZ14" s="82"/>
      <c r="BCA14" s="82"/>
      <c r="BCB14" s="227" t="s">
        <v>24</v>
      </c>
      <c r="BCC14" s="227"/>
      <c r="BCD14" s="227"/>
      <c r="BCE14" s="227"/>
      <c r="BCF14" s="102"/>
      <c r="BCG14" s="102"/>
      <c r="BCH14" s="226" t="s">
        <v>25</v>
      </c>
      <c r="BCI14" s="226"/>
      <c r="BCJ14" s="226"/>
      <c r="BCK14" s="226"/>
      <c r="BCL14" s="82"/>
      <c r="BCM14" s="82"/>
      <c r="BCN14" s="82"/>
      <c r="BCO14" s="83"/>
      <c r="BCP14" s="81"/>
      <c r="BCQ14" s="82"/>
      <c r="BCR14" s="82"/>
      <c r="BCS14" s="82"/>
      <c r="BCT14" s="226" t="s">
        <v>17</v>
      </c>
      <c r="BCU14" s="226"/>
      <c r="BCV14" s="226"/>
      <c r="BCW14" s="226"/>
      <c r="BCX14" s="82"/>
      <c r="BCY14" s="82"/>
      <c r="BCZ14" s="227" t="s">
        <v>18</v>
      </c>
      <c r="BDA14" s="227"/>
      <c r="BDB14" s="227"/>
      <c r="BDC14" s="227"/>
      <c r="BDD14" s="102"/>
      <c r="BDE14" s="102"/>
      <c r="BDF14" s="226" t="s">
        <v>19</v>
      </c>
      <c r="BDG14" s="226"/>
      <c r="BDH14" s="226"/>
      <c r="BDI14" s="226"/>
      <c r="BDJ14" s="82"/>
      <c r="BDK14" s="82"/>
      <c r="BDL14" s="227" t="s">
        <v>20</v>
      </c>
      <c r="BDM14" s="227"/>
      <c r="BDN14" s="227"/>
      <c r="BDO14" s="227"/>
      <c r="BDP14" s="102"/>
      <c r="BDQ14" s="102"/>
      <c r="BDR14" s="226" t="s">
        <v>21</v>
      </c>
      <c r="BDS14" s="226"/>
      <c r="BDT14" s="226"/>
      <c r="BDU14" s="226"/>
      <c r="BDV14" s="82"/>
      <c r="BDW14" s="82"/>
      <c r="BDX14" s="227" t="s">
        <v>22</v>
      </c>
      <c r="BDY14" s="227"/>
      <c r="BDZ14" s="227"/>
      <c r="BEA14" s="227"/>
      <c r="BEB14" s="102"/>
      <c r="BEC14" s="102"/>
      <c r="BED14" s="226" t="s">
        <v>23</v>
      </c>
      <c r="BEE14" s="226"/>
      <c r="BEF14" s="226"/>
      <c r="BEG14" s="226"/>
      <c r="BEH14" s="82"/>
      <c r="BEI14" s="82"/>
      <c r="BEJ14" s="227" t="s">
        <v>24</v>
      </c>
      <c r="BEK14" s="227"/>
      <c r="BEL14" s="227"/>
      <c r="BEM14" s="227"/>
      <c r="BEN14" s="102"/>
      <c r="BEO14" s="102"/>
      <c r="BEP14" s="226" t="s">
        <v>25</v>
      </c>
      <c r="BEQ14" s="226"/>
      <c r="BER14" s="226"/>
      <c r="BES14" s="226"/>
      <c r="BET14" s="82"/>
      <c r="BEU14" s="82"/>
      <c r="BEV14" s="82"/>
      <c r="BEW14" s="83"/>
      <c r="BEX14" s="81"/>
      <c r="BEY14" s="82"/>
      <c r="BEZ14" s="82"/>
      <c r="BFA14" s="82"/>
      <c r="BFB14" s="226" t="s">
        <v>17</v>
      </c>
      <c r="BFC14" s="226"/>
      <c r="BFD14" s="226"/>
      <c r="BFE14" s="226"/>
      <c r="BFF14" s="82"/>
      <c r="BFG14" s="82"/>
      <c r="BFH14" s="227" t="s">
        <v>18</v>
      </c>
      <c r="BFI14" s="227"/>
      <c r="BFJ14" s="227"/>
      <c r="BFK14" s="227"/>
      <c r="BFL14" s="102"/>
      <c r="BFM14" s="102"/>
      <c r="BFN14" s="226" t="s">
        <v>19</v>
      </c>
      <c r="BFO14" s="226"/>
      <c r="BFP14" s="226"/>
      <c r="BFQ14" s="226"/>
      <c r="BFR14" s="82"/>
      <c r="BFS14" s="82"/>
      <c r="BFT14" s="227" t="s">
        <v>20</v>
      </c>
      <c r="BFU14" s="227"/>
      <c r="BFV14" s="227"/>
      <c r="BFW14" s="227"/>
      <c r="BFX14" s="102"/>
      <c r="BFY14" s="102"/>
      <c r="BFZ14" s="226" t="s">
        <v>21</v>
      </c>
      <c r="BGA14" s="226"/>
      <c r="BGB14" s="226"/>
      <c r="BGC14" s="226"/>
      <c r="BGD14" s="82"/>
      <c r="BGE14" s="82"/>
      <c r="BGF14" s="227" t="s">
        <v>22</v>
      </c>
      <c r="BGG14" s="227"/>
      <c r="BGH14" s="227"/>
      <c r="BGI14" s="227"/>
      <c r="BGJ14" s="102"/>
      <c r="BGK14" s="102"/>
      <c r="BGL14" s="226" t="s">
        <v>23</v>
      </c>
      <c r="BGM14" s="226"/>
      <c r="BGN14" s="226"/>
      <c r="BGO14" s="226"/>
      <c r="BGP14" s="82"/>
      <c r="BGQ14" s="82"/>
      <c r="BGR14" s="227" t="s">
        <v>24</v>
      </c>
      <c r="BGS14" s="227"/>
      <c r="BGT14" s="227"/>
      <c r="BGU14" s="227"/>
      <c r="BGV14" s="102"/>
      <c r="BGW14" s="102"/>
      <c r="BGX14" s="226" t="s">
        <v>25</v>
      </c>
      <c r="BGY14" s="226"/>
      <c r="BGZ14" s="226"/>
      <c r="BHA14" s="226"/>
      <c r="BHB14" s="82"/>
      <c r="BHC14" s="82"/>
      <c r="BHD14" s="82"/>
      <c r="BHE14" s="83"/>
      <c r="BHF14" s="81"/>
      <c r="BHG14" s="82"/>
      <c r="BHH14" s="82"/>
      <c r="BHI14" s="82"/>
      <c r="BHJ14" s="226" t="s">
        <v>17</v>
      </c>
      <c r="BHK14" s="226"/>
      <c r="BHL14" s="226"/>
      <c r="BHM14" s="226"/>
      <c r="BHN14" s="82"/>
      <c r="BHO14" s="82"/>
      <c r="BHP14" s="227" t="s">
        <v>18</v>
      </c>
      <c r="BHQ14" s="227"/>
      <c r="BHR14" s="227"/>
      <c r="BHS14" s="227"/>
      <c r="BHT14" s="102"/>
      <c r="BHU14" s="102"/>
      <c r="BHV14" s="226" t="s">
        <v>19</v>
      </c>
      <c r="BHW14" s="226"/>
      <c r="BHX14" s="226"/>
      <c r="BHY14" s="226"/>
      <c r="BHZ14" s="82"/>
      <c r="BIA14" s="82"/>
      <c r="BIB14" s="227" t="s">
        <v>20</v>
      </c>
      <c r="BIC14" s="227"/>
      <c r="BID14" s="227"/>
      <c r="BIE14" s="227"/>
      <c r="BIF14" s="102"/>
      <c r="BIG14" s="102"/>
      <c r="BIH14" s="226" t="s">
        <v>21</v>
      </c>
      <c r="BII14" s="226"/>
      <c r="BIJ14" s="226"/>
      <c r="BIK14" s="226"/>
      <c r="BIL14" s="82"/>
      <c r="BIM14" s="82"/>
      <c r="BIN14" s="227" t="s">
        <v>22</v>
      </c>
      <c r="BIO14" s="227"/>
      <c r="BIP14" s="227"/>
      <c r="BIQ14" s="227"/>
      <c r="BIR14" s="102"/>
      <c r="BIS14" s="102"/>
      <c r="BIT14" s="226" t="s">
        <v>23</v>
      </c>
      <c r="BIU14" s="226"/>
      <c r="BIV14" s="226"/>
      <c r="BIW14" s="226"/>
      <c r="BIX14" s="82"/>
      <c r="BIY14" s="82"/>
      <c r="BIZ14" s="227" t="s">
        <v>24</v>
      </c>
      <c r="BJA14" s="227"/>
      <c r="BJB14" s="227"/>
      <c r="BJC14" s="227"/>
      <c r="BJD14" s="102"/>
      <c r="BJE14" s="102"/>
      <c r="BJF14" s="226" t="s">
        <v>25</v>
      </c>
      <c r="BJG14" s="226"/>
      <c r="BJH14" s="226"/>
      <c r="BJI14" s="226"/>
      <c r="BJJ14" s="82"/>
      <c r="BJK14" s="82"/>
      <c r="BJL14" s="82"/>
      <c r="BJM14" s="83"/>
      <c r="BJN14" s="81"/>
      <c r="BJO14" s="82"/>
      <c r="BJP14" s="82"/>
      <c r="BJQ14" s="82"/>
      <c r="BJR14" s="226" t="s">
        <v>17</v>
      </c>
      <c r="BJS14" s="226"/>
      <c r="BJT14" s="226"/>
      <c r="BJU14" s="226"/>
      <c r="BJV14" s="82"/>
      <c r="BJW14" s="82"/>
      <c r="BJX14" s="227" t="s">
        <v>18</v>
      </c>
      <c r="BJY14" s="227"/>
      <c r="BJZ14" s="227"/>
      <c r="BKA14" s="227"/>
      <c r="BKB14" s="102"/>
      <c r="BKC14" s="102"/>
      <c r="BKD14" s="226" t="s">
        <v>19</v>
      </c>
      <c r="BKE14" s="226"/>
      <c r="BKF14" s="226"/>
      <c r="BKG14" s="226"/>
      <c r="BKH14" s="82"/>
      <c r="BKI14" s="82"/>
      <c r="BKJ14" s="227" t="s">
        <v>20</v>
      </c>
      <c r="BKK14" s="227"/>
      <c r="BKL14" s="227"/>
      <c r="BKM14" s="227"/>
      <c r="BKN14" s="102"/>
      <c r="BKO14" s="102"/>
      <c r="BKP14" s="226" t="s">
        <v>21</v>
      </c>
      <c r="BKQ14" s="226"/>
      <c r="BKR14" s="226"/>
      <c r="BKS14" s="226"/>
      <c r="BKT14" s="82"/>
      <c r="BKU14" s="82"/>
      <c r="BKV14" s="227" t="s">
        <v>22</v>
      </c>
      <c r="BKW14" s="227"/>
      <c r="BKX14" s="227"/>
      <c r="BKY14" s="227"/>
      <c r="BKZ14" s="102"/>
      <c r="BLA14" s="102"/>
      <c r="BLB14" s="226" t="s">
        <v>23</v>
      </c>
      <c r="BLC14" s="226"/>
      <c r="BLD14" s="226"/>
      <c r="BLE14" s="226"/>
      <c r="BLF14" s="82"/>
      <c r="BLG14" s="82"/>
      <c r="BLH14" s="227" t="s">
        <v>24</v>
      </c>
      <c r="BLI14" s="227"/>
      <c r="BLJ14" s="227"/>
      <c r="BLK14" s="227"/>
      <c r="BLL14" s="102"/>
      <c r="BLM14" s="102"/>
      <c r="BLN14" s="226" t="s">
        <v>25</v>
      </c>
      <c r="BLO14" s="226"/>
      <c r="BLP14" s="226"/>
      <c r="BLQ14" s="226"/>
      <c r="BLR14" s="82"/>
      <c r="BLS14" s="82"/>
      <c r="BLT14" s="82"/>
      <c r="BLU14" s="83"/>
      <c r="BLV14" s="81"/>
      <c r="BLW14" s="82"/>
      <c r="BLX14" s="82"/>
      <c r="BLY14" s="82"/>
      <c r="BLZ14" s="226" t="s">
        <v>17</v>
      </c>
      <c r="BMA14" s="226"/>
      <c r="BMB14" s="226"/>
      <c r="BMC14" s="226"/>
      <c r="BMD14" s="82"/>
      <c r="BME14" s="82"/>
      <c r="BMF14" s="227" t="s">
        <v>18</v>
      </c>
      <c r="BMG14" s="227"/>
      <c r="BMH14" s="227"/>
      <c r="BMI14" s="227"/>
      <c r="BMJ14" s="102"/>
      <c r="BMK14" s="102"/>
      <c r="BML14" s="226" t="s">
        <v>19</v>
      </c>
      <c r="BMM14" s="226"/>
      <c r="BMN14" s="226"/>
      <c r="BMO14" s="226"/>
      <c r="BMP14" s="82"/>
      <c r="BMQ14" s="82"/>
      <c r="BMR14" s="227" t="s">
        <v>20</v>
      </c>
      <c r="BMS14" s="227"/>
      <c r="BMT14" s="227"/>
      <c r="BMU14" s="227"/>
      <c r="BMV14" s="102"/>
      <c r="BMW14" s="102"/>
      <c r="BMX14" s="226" t="s">
        <v>21</v>
      </c>
      <c r="BMY14" s="226"/>
      <c r="BMZ14" s="226"/>
      <c r="BNA14" s="226"/>
      <c r="BNB14" s="82"/>
      <c r="BNC14" s="82"/>
      <c r="BND14" s="227" t="s">
        <v>22</v>
      </c>
      <c r="BNE14" s="227"/>
      <c r="BNF14" s="227"/>
      <c r="BNG14" s="227"/>
      <c r="BNH14" s="102"/>
      <c r="BNI14" s="102"/>
      <c r="BNJ14" s="226" t="s">
        <v>23</v>
      </c>
      <c r="BNK14" s="226"/>
      <c r="BNL14" s="226"/>
      <c r="BNM14" s="226"/>
      <c r="BNN14" s="82"/>
      <c r="BNO14" s="82"/>
      <c r="BNP14" s="227" t="s">
        <v>24</v>
      </c>
      <c r="BNQ14" s="227"/>
      <c r="BNR14" s="227"/>
      <c r="BNS14" s="227"/>
      <c r="BNT14" s="102"/>
      <c r="BNU14" s="102"/>
      <c r="BNV14" s="226" t="s">
        <v>25</v>
      </c>
      <c r="BNW14" s="226"/>
      <c r="BNX14" s="226"/>
      <c r="BNY14" s="226"/>
      <c r="BNZ14" s="82"/>
      <c r="BOA14" s="82"/>
      <c r="BOB14" s="82"/>
      <c r="BOC14" s="83"/>
      <c r="BOD14" s="81"/>
      <c r="BOE14" s="82"/>
      <c r="BOF14" s="82"/>
      <c r="BOG14" s="82"/>
      <c r="BOH14" s="226" t="s">
        <v>17</v>
      </c>
      <c r="BOI14" s="226"/>
      <c r="BOJ14" s="226"/>
      <c r="BOK14" s="226"/>
      <c r="BOL14" s="82"/>
      <c r="BOM14" s="82"/>
      <c r="BON14" s="227" t="s">
        <v>18</v>
      </c>
      <c r="BOO14" s="227"/>
      <c r="BOP14" s="227"/>
      <c r="BOQ14" s="227"/>
      <c r="BOR14" s="102"/>
      <c r="BOS14" s="102"/>
      <c r="BOT14" s="226" t="s">
        <v>19</v>
      </c>
      <c r="BOU14" s="226"/>
      <c r="BOV14" s="226"/>
      <c r="BOW14" s="226"/>
      <c r="BOX14" s="82"/>
      <c r="BOY14" s="82"/>
      <c r="BOZ14" s="227" t="s">
        <v>20</v>
      </c>
      <c r="BPA14" s="227"/>
      <c r="BPB14" s="227"/>
      <c r="BPC14" s="227"/>
      <c r="BPD14" s="102"/>
      <c r="BPE14" s="102"/>
      <c r="BPF14" s="226" t="s">
        <v>21</v>
      </c>
      <c r="BPG14" s="226"/>
      <c r="BPH14" s="226"/>
      <c r="BPI14" s="226"/>
      <c r="BPJ14" s="82"/>
      <c r="BPK14" s="82"/>
      <c r="BPL14" s="227" t="s">
        <v>22</v>
      </c>
      <c r="BPM14" s="227"/>
      <c r="BPN14" s="227"/>
      <c r="BPO14" s="227"/>
      <c r="BPP14" s="102"/>
      <c r="BPQ14" s="102"/>
      <c r="BPR14" s="226" t="s">
        <v>23</v>
      </c>
      <c r="BPS14" s="226"/>
      <c r="BPT14" s="226"/>
      <c r="BPU14" s="226"/>
      <c r="BPV14" s="82"/>
      <c r="BPW14" s="82"/>
      <c r="BPX14" s="227" t="s">
        <v>24</v>
      </c>
      <c r="BPY14" s="227"/>
      <c r="BPZ14" s="227"/>
      <c r="BQA14" s="227"/>
      <c r="BQB14" s="102"/>
      <c r="BQC14" s="102"/>
      <c r="BQD14" s="226" t="s">
        <v>25</v>
      </c>
      <c r="BQE14" s="226"/>
      <c r="BQF14" s="226"/>
      <c r="BQG14" s="226"/>
      <c r="BQH14" s="82"/>
      <c r="BQI14" s="82"/>
      <c r="BQJ14" s="82"/>
      <c r="BQK14" s="83"/>
      <c r="BQL14" s="81"/>
      <c r="BQM14" s="82"/>
      <c r="BQN14" s="82"/>
      <c r="BQO14" s="82"/>
      <c r="BQP14" s="226" t="s">
        <v>17</v>
      </c>
      <c r="BQQ14" s="226"/>
      <c r="BQR14" s="226"/>
      <c r="BQS14" s="226"/>
      <c r="BQT14" s="82"/>
      <c r="BQU14" s="82"/>
      <c r="BQV14" s="227" t="s">
        <v>18</v>
      </c>
      <c r="BQW14" s="227"/>
      <c r="BQX14" s="227"/>
      <c r="BQY14" s="227"/>
      <c r="BQZ14" s="102"/>
      <c r="BRA14" s="102"/>
      <c r="BRB14" s="226" t="s">
        <v>19</v>
      </c>
      <c r="BRC14" s="226"/>
      <c r="BRD14" s="226"/>
      <c r="BRE14" s="226"/>
      <c r="BRF14" s="82"/>
      <c r="BRG14" s="82"/>
      <c r="BRH14" s="227" t="s">
        <v>20</v>
      </c>
      <c r="BRI14" s="227"/>
      <c r="BRJ14" s="227"/>
      <c r="BRK14" s="227"/>
      <c r="BRL14" s="102"/>
      <c r="BRM14" s="102"/>
      <c r="BRN14" s="226" t="s">
        <v>21</v>
      </c>
      <c r="BRO14" s="226"/>
      <c r="BRP14" s="226"/>
      <c r="BRQ14" s="226"/>
      <c r="BRR14" s="82"/>
      <c r="BRS14" s="82"/>
      <c r="BRT14" s="227" t="s">
        <v>22</v>
      </c>
      <c r="BRU14" s="227"/>
      <c r="BRV14" s="227"/>
      <c r="BRW14" s="227"/>
      <c r="BRX14" s="102"/>
      <c r="BRY14" s="102"/>
      <c r="BRZ14" s="226" t="s">
        <v>23</v>
      </c>
      <c r="BSA14" s="226"/>
      <c r="BSB14" s="226"/>
      <c r="BSC14" s="226"/>
      <c r="BSD14" s="82"/>
      <c r="BSE14" s="82"/>
      <c r="BSF14" s="227" t="s">
        <v>24</v>
      </c>
      <c r="BSG14" s="227"/>
      <c r="BSH14" s="227"/>
      <c r="BSI14" s="227"/>
      <c r="BSJ14" s="102"/>
      <c r="BSK14" s="102"/>
      <c r="BSL14" s="226" t="s">
        <v>25</v>
      </c>
      <c r="BSM14" s="226"/>
      <c r="BSN14" s="226"/>
      <c r="BSO14" s="226"/>
      <c r="BSP14" s="82"/>
      <c r="BSQ14" s="82"/>
      <c r="BSR14" s="82"/>
      <c r="BSS14" s="83"/>
      <c r="BST14" s="73"/>
    </row>
    <row r="15" spans="1:1866" ht="20.100000000000001" customHeight="1" x14ac:dyDescent="0.25">
      <c r="A15" s="78" t="s">
        <v>26</v>
      </c>
      <c r="B15" s="51" t="str">
        <f>IF(LEN(C15)=0,"",C15)</f>
        <v xml:space="preserve">Absences - imprévus </v>
      </c>
      <c r="C15" s="233"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73"/>
    </row>
    <row r="16" spans="1:1866" ht="20.100000000000001" customHeight="1" x14ac:dyDescent="0.25">
      <c r="A16" s="78" t="s">
        <v>28</v>
      </c>
      <c r="B16" s="51" t="str">
        <f>IF(LEN(C17)=0,"",C17)</f>
        <v>Analyse - définition des rôles et permissions</v>
      </c>
      <c r="C16" s="230"/>
      <c r="D16" s="120" t="str">
        <f t="shared" ref="D16:D79" si="0">setValueToTime(E16)</f>
        <v>3h</v>
      </c>
      <c r="E16" s="30">
        <v>36</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206"/>
      <c r="DZ16" s="206"/>
      <c r="EA16" s="213"/>
      <c r="EB16" s="206"/>
      <c r="EC16" s="206"/>
      <c r="ED16" s="206"/>
      <c r="EE16" s="206"/>
      <c r="EF16" s="206"/>
      <c r="EG16" s="21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206"/>
      <c r="AGV16" s="206"/>
      <c r="AGW16" s="214"/>
      <c r="AGX16" s="206"/>
      <c r="AGY16" s="206"/>
      <c r="AGZ16" s="206"/>
      <c r="AHA16" s="206"/>
      <c r="AHB16" s="206"/>
      <c r="AHC16" s="211"/>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206"/>
      <c r="AIO16" s="206"/>
      <c r="AIP16" s="206"/>
      <c r="AIQ16" s="206"/>
      <c r="AIR16" s="206"/>
      <c r="AIS16" s="214"/>
      <c r="AIT16" s="206"/>
      <c r="AIU16" s="206"/>
      <c r="AIV16" s="206"/>
      <c r="AIW16" s="206"/>
      <c r="AIX16" s="206"/>
      <c r="AIY16" s="211"/>
      <c r="AIZ16" s="206"/>
      <c r="AJA16" s="206"/>
      <c r="AJB16" s="206"/>
      <c r="AJC16" s="206"/>
      <c r="AJD16" s="206"/>
      <c r="AJE16" s="21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73"/>
    </row>
    <row r="17" spans="1:1866" ht="20.100000000000001" customHeight="1" x14ac:dyDescent="0.25">
      <c r="A17" s="78" t="s">
        <v>26</v>
      </c>
      <c r="B17" s="51" t="str">
        <f>IF(LEN(C19)=0,"",C19)</f>
        <v>Analyse - exigences fonctionnelles</v>
      </c>
      <c r="C17" s="229" t="s">
        <v>169</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73"/>
    </row>
    <row r="18" spans="1:1866" ht="20.100000000000001" customHeight="1" x14ac:dyDescent="0.3">
      <c r="A18" s="78" t="s">
        <v>28</v>
      </c>
      <c r="B18" s="51" t="str">
        <f>IF(LEN(C21)=0,"",C21)</f>
        <v>Analyse - modèle de données</v>
      </c>
      <c r="C18" s="230"/>
      <c r="D18" s="121" t="str">
        <f t="shared" si="0"/>
        <v xml:space="preserve"> 45 min</v>
      </c>
      <c r="E18" s="30">
        <v>9</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207"/>
      <c r="ABQ18" s="207"/>
      <c r="ABR18" s="207"/>
      <c r="ABS18" s="207"/>
      <c r="ABT18" s="207"/>
      <c r="ABU18" s="209"/>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207"/>
      <c r="ADJ18" s="207"/>
      <c r="ADK18" s="208"/>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73"/>
    </row>
    <row r="19" spans="1:1866" ht="20.100000000000001" customHeight="1" x14ac:dyDescent="0.25">
      <c r="A19" s="78" t="s">
        <v>26</v>
      </c>
      <c r="B19" s="51" t="str">
        <f>IF(LEN(C23)=0,"",C23)</f>
        <v>Analyse - Planification initiale</v>
      </c>
      <c r="C19" s="229" t="s">
        <v>168</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73"/>
    </row>
    <row r="20" spans="1:1866" ht="20.100000000000001" customHeight="1" x14ac:dyDescent="0.25">
      <c r="A20" s="78" t="s">
        <v>28</v>
      </c>
      <c r="B20" s="51" t="str">
        <f>IF(LEN(C25)=0,"",C25)</f>
        <v>Analyse - scénarios</v>
      </c>
      <c r="C20" s="230"/>
      <c r="D20" s="120" t="str">
        <f t="shared" si="0"/>
        <v xml:space="preserve"> 50 min</v>
      </c>
      <c r="E20" s="22">
        <v>10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206"/>
      <c r="NF20" s="206"/>
      <c r="NG20" s="213"/>
      <c r="NH20" s="206"/>
      <c r="NI20" s="206"/>
      <c r="NJ20" s="206"/>
      <c r="NK20" s="206"/>
      <c r="NL20" s="206"/>
      <c r="NM20" s="214"/>
      <c r="NN20" s="206"/>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73"/>
    </row>
    <row r="21" spans="1:1866" ht="20.100000000000001" customHeight="1" x14ac:dyDescent="0.25">
      <c r="A21" s="78" t="s">
        <v>26</v>
      </c>
      <c r="B21" s="51" t="str">
        <f>IF(LEN(C27)=0,"",C27)</f>
        <v>Conception - Backend</v>
      </c>
      <c r="C21" s="229" t="s">
        <v>166</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73"/>
    </row>
    <row r="22" spans="1:1866" ht="20.100000000000001" customHeight="1" x14ac:dyDescent="0.25">
      <c r="A22" s="78" t="s">
        <v>28</v>
      </c>
      <c r="B22" s="51" t="str">
        <f>IF(LEN(C29)=0,"",C29)</f>
        <v>Conception - Interfaces principales</v>
      </c>
      <c r="C22" s="234"/>
      <c r="D22" s="120" t="str">
        <f t="shared" si="0"/>
        <v>2h 20 min</v>
      </c>
      <c r="E22" s="30">
        <v>28</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188"/>
      <c r="BS22" s="189"/>
      <c r="BT22" s="188"/>
      <c r="BU22" s="188"/>
      <c r="BV22" s="188"/>
      <c r="BW22" s="188"/>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207"/>
      <c r="WL22" s="207"/>
      <c r="WM22" s="208"/>
      <c r="WN22" s="207"/>
      <c r="WO22" s="207"/>
      <c r="WP22" s="207"/>
      <c r="WQ22" s="207"/>
      <c r="WR22" s="207"/>
      <c r="WS22" s="209"/>
      <c r="WT22" s="207"/>
      <c r="WU22" s="207"/>
      <c r="WV22" s="207"/>
      <c r="WW22" s="207"/>
      <c r="WX22" s="207"/>
      <c r="WY22" s="210"/>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207"/>
      <c r="YT22" s="207"/>
      <c r="YU22" s="208"/>
      <c r="YV22" s="207"/>
      <c r="YW22" s="207"/>
      <c r="YX22" s="207"/>
      <c r="YY22" s="207"/>
      <c r="YZ22" s="207"/>
      <c r="ZA22" s="209"/>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212"/>
      <c r="AFO22" s="207"/>
      <c r="AFP22" s="207"/>
      <c r="AFQ22" s="207"/>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73"/>
    </row>
    <row r="23" spans="1:1866" ht="20.100000000000001" customHeight="1" x14ac:dyDescent="0.25">
      <c r="A23" s="78" t="s">
        <v>26</v>
      </c>
      <c r="B23" s="51" t="str">
        <f>IF(LEN(C31)=0,"",C31)</f>
        <v xml:space="preserve">Conception - Structure technique </v>
      </c>
      <c r="C23" s="229"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73"/>
    </row>
    <row r="24" spans="1:1866" ht="20.100000000000001" customHeight="1" x14ac:dyDescent="0.25">
      <c r="A24" s="78" t="s">
        <v>28</v>
      </c>
      <c r="B24" s="51" t="str">
        <f>IF(LEN(C33)=0,"",C33)</f>
        <v>Doc - Git</v>
      </c>
      <c r="C24" s="230"/>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73"/>
    </row>
    <row r="25" spans="1:1866" ht="20.100000000000001" customHeight="1" x14ac:dyDescent="0.25">
      <c r="A25" s="78" t="s">
        <v>26</v>
      </c>
      <c r="B25" s="51" t="str">
        <f>IF(LEN(C35)=0,"",C35)</f>
        <v>Doc - Journal de travail</v>
      </c>
      <c r="C25" s="229" t="s">
        <v>167</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73"/>
    </row>
    <row r="26" spans="1:1866" ht="20.100000000000001" customHeight="1" x14ac:dyDescent="0.3">
      <c r="A26" s="78" t="s">
        <v>28</v>
      </c>
      <c r="B26" s="51" t="str">
        <f>IF(LEN(C37)=0,"",C37)</f>
        <v>Doc - Rapport</v>
      </c>
      <c r="C26" s="230"/>
      <c r="D26" s="121" t="str">
        <f t="shared" si="0"/>
        <v xml:space="preserve"> 30 min</v>
      </c>
      <c r="E26" s="30">
        <v>6</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212"/>
      <c r="KU26" s="207"/>
      <c r="KV26" s="207"/>
      <c r="KW26" s="207"/>
      <c r="KX26" s="207"/>
      <c r="KY26" s="208"/>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188"/>
      <c r="BMU26" s="188"/>
      <c r="BMV26" s="188"/>
      <c r="BMW26" s="188"/>
      <c r="BMX26" s="188"/>
      <c r="BMY26" s="191"/>
      <c r="BMZ26" s="188"/>
      <c r="BNA26" s="188"/>
      <c r="BNB26" s="188"/>
      <c r="BNC26" s="188"/>
      <c r="BND26" s="188"/>
      <c r="BNE26" s="190"/>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188"/>
      <c r="BPF26" s="188"/>
      <c r="BPG26" s="191"/>
      <c r="BPH26" s="188"/>
      <c r="BPI26" s="188"/>
      <c r="BPJ26" s="188"/>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73"/>
    </row>
    <row r="27" spans="1:1866" ht="20.100000000000001" customHeight="1" x14ac:dyDescent="0.25">
      <c r="A27" s="78" t="s">
        <v>26</v>
      </c>
      <c r="B27" s="51" t="str">
        <f>IF(LEN(C39)=0,"",C39)</f>
        <v>Meeting</v>
      </c>
      <c r="C27" s="229"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73"/>
    </row>
    <row r="28" spans="1:1866" ht="20.100000000000001" customHeight="1" x14ac:dyDescent="0.3">
      <c r="A28" s="78" t="s">
        <v>28</v>
      </c>
      <c r="B28" s="51" t="str">
        <f>IF(LEN(C41)=0,"",C41)</f>
        <v>Réalisation - API principale</v>
      </c>
      <c r="C28" s="230"/>
      <c r="D28" s="121" t="str">
        <f t="shared" si="0"/>
        <v>1h</v>
      </c>
      <c r="E28" s="22">
        <v>12</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206"/>
      <c r="ZC28" s="206"/>
      <c r="ZD28" s="206"/>
      <c r="ZE28" s="206"/>
      <c r="ZF28" s="206"/>
      <c r="ZG28" s="211"/>
      <c r="ZH28" s="206"/>
      <c r="ZI28" s="206"/>
      <c r="ZJ28" s="206"/>
      <c r="ZK28" s="206"/>
      <c r="ZL28" s="206"/>
      <c r="ZM28" s="21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73"/>
    </row>
    <row r="29" spans="1:1866" ht="20.100000000000001" customHeight="1" x14ac:dyDescent="0.25">
      <c r="A29" s="78" t="s">
        <v>26</v>
      </c>
      <c r="B29" s="51" t="str">
        <f>IF(LEN(C43)=0,"",C43)</f>
        <v>Réalisation - application mobile</v>
      </c>
      <c r="C29" s="229" t="s">
        <v>158</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73"/>
    </row>
    <row r="30" spans="1:1866" ht="20.100000000000001" customHeight="1" x14ac:dyDescent="0.3">
      <c r="A30" s="78" t="s">
        <v>28</v>
      </c>
      <c r="B30" s="51" t="str">
        <f>IF(LEN(C45)=0,"",C45)</f>
        <v>Réalisation - Authentification</v>
      </c>
      <c r="C30" s="230"/>
      <c r="D30" s="121" t="str">
        <f t="shared" si="0"/>
        <v>6h</v>
      </c>
      <c r="E30" s="30">
        <v>72</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207"/>
      <c r="JK30" s="207"/>
      <c r="JL30" s="207"/>
      <c r="JM30" s="207"/>
      <c r="JN30" s="207"/>
      <c r="JO30" s="210"/>
      <c r="JP30" s="207"/>
      <c r="JQ30" s="207"/>
      <c r="JR30" s="207"/>
      <c r="JS30" s="207"/>
      <c r="JT30" s="207"/>
      <c r="JU30" s="209"/>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207"/>
      <c r="LJ30" s="207"/>
      <c r="LK30" s="210"/>
      <c r="LL30" s="207"/>
      <c r="LM30" s="207"/>
      <c r="LN30" s="207"/>
      <c r="LO30" s="207"/>
      <c r="LP30" s="207"/>
      <c r="LQ30" s="209"/>
      <c r="LR30" s="207"/>
      <c r="LS30" s="207"/>
      <c r="LT30" s="207"/>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207"/>
      <c r="NP30" s="207"/>
      <c r="NQ30" s="207"/>
      <c r="NR30" s="207"/>
      <c r="NS30" s="210"/>
      <c r="NT30" s="207"/>
      <c r="NU30" s="207"/>
      <c r="NV30" s="207"/>
      <c r="NW30" s="207"/>
      <c r="NX30" s="207"/>
      <c r="NY30" s="209"/>
      <c r="NZ30" s="207"/>
      <c r="OA30" s="207"/>
      <c r="OB30" s="207"/>
      <c r="OC30" s="207"/>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207"/>
      <c r="QU30" s="207"/>
      <c r="QV30" s="207"/>
      <c r="QW30" s="207"/>
      <c r="QX30" s="207"/>
      <c r="QY30" s="210"/>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207"/>
      <c r="SW30" s="207"/>
      <c r="SX30" s="207"/>
      <c r="SY30" s="207"/>
      <c r="SZ30" s="207"/>
      <c r="TA30" s="209"/>
      <c r="TB30" s="207"/>
      <c r="TC30" s="207"/>
      <c r="TD30" s="207"/>
      <c r="TE30" s="207"/>
      <c r="TF30" s="207"/>
      <c r="TG30" s="210"/>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209"/>
      <c r="UX30" s="207"/>
      <c r="UY30" s="207"/>
      <c r="UZ30" s="207"/>
      <c r="VA30" s="207"/>
      <c r="VB30" s="207"/>
      <c r="VC30" s="210"/>
      <c r="VD30" s="207"/>
      <c r="VE30" s="207"/>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207"/>
      <c r="XA30" s="207"/>
      <c r="XB30" s="207"/>
      <c r="XC30" s="207"/>
      <c r="XD30" s="207"/>
      <c r="XE30" s="209"/>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73"/>
    </row>
    <row r="31" spans="1:1866" ht="20.100000000000001" customHeight="1" x14ac:dyDescent="0.25">
      <c r="A31" s="78" t="s">
        <v>26</v>
      </c>
      <c r="B31" s="51" t="str">
        <f>IF(LEN(C47)=0,"",C47)</f>
        <v xml:space="preserve">Réalisation - backend </v>
      </c>
      <c r="C31" s="229" t="s">
        <v>159</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73"/>
    </row>
    <row r="32" spans="1:1866" ht="20.100000000000001" customHeight="1" x14ac:dyDescent="0.3">
      <c r="A32" s="78" t="s">
        <v>28</v>
      </c>
      <c r="B32" s="51" t="str">
        <f>IF(LEN(C49)=0,"",C49)</f>
        <v>Réalisation - base de données</v>
      </c>
      <c r="C32" s="234"/>
      <c r="D32" s="121" t="str">
        <f t="shared" si="0"/>
        <v>1h 15 min</v>
      </c>
      <c r="E32" s="22">
        <v>15</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206"/>
      <c r="ADM32" s="206"/>
      <c r="ADN32" s="206"/>
      <c r="ADO32" s="206"/>
      <c r="ADP32" s="206"/>
      <c r="ADQ32" s="214"/>
      <c r="ADR32" s="206"/>
      <c r="ADS32" s="206"/>
      <c r="ADT32" s="206"/>
      <c r="ADU32" s="206"/>
      <c r="ADV32" s="206"/>
      <c r="ADW32" s="211"/>
      <c r="ADX32" s="206"/>
      <c r="ADY32" s="206"/>
      <c r="ADZ32" s="206"/>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73"/>
    </row>
    <row r="33" spans="1:1866" ht="20.100000000000001" customHeight="1" x14ac:dyDescent="0.25">
      <c r="A33" s="78" t="s">
        <v>26</v>
      </c>
      <c r="B33" s="51" t="str">
        <f>IF(LEN(C51)=0,"",C51)</f>
        <v>Réalisation - Frontend</v>
      </c>
      <c r="C33" s="229"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73"/>
    </row>
    <row r="34" spans="1:1866" ht="20.100000000000001" customHeight="1" x14ac:dyDescent="0.3">
      <c r="A34" s="78" t="s">
        <v>28</v>
      </c>
      <c r="B34" s="51" t="str">
        <f>IF(LEN(C53)=0,"",C53)</f>
        <v>Réalisation - Git</v>
      </c>
      <c r="C34" s="234"/>
      <c r="D34" s="121" t="str">
        <f t="shared" si="0"/>
        <v>1h 20 min</v>
      </c>
      <c r="E34" s="30">
        <v>16</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207"/>
      <c r="QR34" s="207"/>
      <c r="QS34" s="209"/>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212"/>
      <c r="AVS34" s="207"/>
      <c r="AVT34" s="207"/>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73"/>
    </row>
    <row r="35" spans="1:1866" ht="20.100000000000001" customHeight="1" x14ac:dyDescent="0.25">
      <c r="A35" s="78" t="s">
        <v>26</v>
      </c>
      <c r="B35" s="51" t="str">
        <f>IF(LEN(C55)=0,"",C55)</f>
        <v>Réalisation - intégration mobile–backend</v>
      </c>
      <c r="C35" s="229"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73"/>
    </row>
    <row r="36" spans="1:1866" ht="20.100000000000001" customHeight="1" x14ac:dyDescent="0.25">
      <c r="A36" s="78" t="s">
        <v>28</v>
      </c>
      <c r="B36" s="51" t="str">
        <f>IF(LEN(C57)=0,"",C57)</f>
        <v>Test - corrections</v>
      </c>
      <c r="C36" s="234"/>
      <c r="D36" s="120" t="str">
        <f t="shared" si="0"/>
        <v>7h 10 min</v>
      </c>
      <c r="E36" s="22">
        <v>86</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205"/>
      <c r="BO36" s="206"/>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205"/>
      <c r="IM36" s="206"/>
      <c r="IN36" s="206"/>
      <c r="IO36" s="206"/>
      <c r="IP36" s="206"/>
      <c r="IQ36" s="213"/>
      <c r="IR36" s="206"/>
      <c r="IS36" s="206"/>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206"/>
      <c r="LG36" s="206"/>
      <c r="LH36" s="206"/>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205"/>
      <c r="NC36" s="206"/>
      <c r="ND36" s="206"/>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205"/>
      <c r="PK36" s="206"/>
      <c r="PL36" s="206"/>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205"/>
      <c r="RS36" s="206"/>
      <c r="RT36" s="206"/>
      <c r="RU36" s="206"/>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205"/>
      <c r="UA36" s="206"/>
      <c r="UB36" s="206"/>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205"/>
      <c r="WI36" s="206"/>
      <c r="WJ36" s="206"/>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205"/>
      <c r="YQ36" s="206"/>
      <c r="YR36" s="206"/>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205"/>
      <c r="ADG36" s="206"/>
      <c r="ADH36" s="206"/>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211"/>
      <c r="AGR36" s="206"/>
      <c r="AGS36" s="206"/>
      <c r="AGT36" s="206"/>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206"/>
      <c r="AII36" s="206"/>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205"/>
      <c r="AKE36" s="206"/>
      <c r="AKF36" s="206"/>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205"/>
      <c r="AMM36" s="206"/>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206"/>
      <c r="APM36" s="206"/>
      <c r="APN36" s="206"/>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206"/>
      <c r="ASK36" s="21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205"/>
      <c r="ATK36" s="206"/>
      <c r="ATL36" s="206"/>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206"/>
      <c r="AVV36" s="206"/>
      <c r="AVW36" s="21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205"/>
      <c r="AYA36" s="206"/>
      <c r="AYB36" s="206"/>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206"/>
      <c r="BBA36" s="206"/>
      <c r="BBB36" s="206"/>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182"/>
      <c r="BJX36" s="182"/>
      <c r="BJY36" s="18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181"/>
      <c r="BLW36" s="182"/>
      <c r="BLX36" s="182"/>
      <c r="BLY36" s="182"/>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181"/>
      <c r="BOE36" s="182"/>
      <c r="BOF36" s="182"/>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182"/>
      <c r="BQY36" s="182"/>
      <c r="BQZ36" s="182"/>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73"/>
    </row>
    <row r="37" spans="1:1866" ht="20.100000000000001" customHeight="1" x14ac:dyDescent="0.25">
      <c r="A37" s="78" t="s">
        <v>26</v>
      </c>
      <c r="B37" s="51" t="str">
        <f>IF(LEN(C59)=0,"",C59)</f>
        <v>Test - Unitaire</v>
      </c>
      <c r="C37" s="229"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73"/>
    </row>
    <row r="38" spans="1:1866" ht="20.100000000000001" customHeight="1" x14ac:dyDescent="0.3">
      <c r="A38" s="78" t="s">
        <v>28</v>
      </c>
      <c r="B38" s="51" t="str">
        <f>IF(LEN(C61)=0,"",C61)</f>
        <v/>
      </c>
      <c r="C38" s="230"/>
      <c r="D38" s="121" t="str">
        <f t="shared" si="0"/>
        <v>7h 5 min</v>
      </c>
      <c r="E38" s="30">
        <v>85</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207"/>
      <c r="GG38" s="207"/>
      <c r="GH38" s="207"/>
      <c r="GI38" s="208"/>
      <c r="GJ38" s="207"/>
      <c r="GK38" s="207"/>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207"/>
      <c r="IU38" s="207"/>
      <c r="IV38" s="207"/>
      <c r="IW38" s="209"/>
      <c r="IX38" s="207"/>
      <c r="IY38" s="207"/>
      <c r="IZ38" s="207"/>
      <c r="JA38" s="207"/>
      <c r="JB38" s="207"/>
      <c r="JC38" s="210"/>
      <c r="JD38" s="207"/>
      <c r="JE38" s="207"/>
      <c r="JF38" s="207"/>
      <c r="JG38" s="207"/>
      <c r="JH38" s="207"/>
      <c r="JI38" s="209"/>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207"/>
      <c r="ATN38" s="207"/>
      <c r="ATO38" s="208"/>
      <c r="ATP38" s="207"/>
      <c r="ATQ38" s="207"/>
      <c r="ATR38" s="207"/>
      <c r="ATS38" s="207"/>
      <c r="ATT38" s="207"/>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207"/>
      <c r="AVY38" s="207"/>
      <c r="AVZ38" s="207"/>
      <c r="AWA38" s="207"/>
      <c r="AWB38" s="207"/>
      <c r="AWC38" s="209"/>
      <c r="AWD38" s="207"/>
      <c r="AWE38" s="207"/>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207"/>
      <c r="AYD38" s="207"/>
      <c r="AYE38" s="208"/>
      <c r="AYF38" s="207"/>
      <c r="AYG38" s="207"/>
      <c r="AYH38" s="207"/>
      <c r="AYI38" s="207"/>
      <c r="AYJ38" s="207"/>
      <c r="AYK38" s="209"/>
      <c r="AYL38" s="207"/>
      <c r="AYM38" s="207"/>
      <c r="AYN38" s="207"/>
      <c r="AYO38" s="207"/>
      <c r="AYP38" s="207"/>
      <c r="AYQ38" s="210"/>
      <c r="AYR38" s="207"/>
      <c r="AYS38" s="207"/>
      <c r="AYT38" s="207"/>
      <c r="AYU38" s="207"/>
      <c r="AYV38" s="207"/>
      <c r="AYW38" s="209"/>
      <c r="AYX38" s="207"/>
      <c r="AYY38" s="207"/>
      <c r="AYZ38" s="207"/>
      <c r="AZA38" s="207"/>
      <c r="AZB38" s="207"/>
      <c r="AZC38" s="210"/>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212"/>
      <c r="BAI38" s="207"/>
      <c r="BAJ38" s="207"/>
      <c r="BAK38" s="207"/>
      <c r="BAL38" s="207"/>
      <c r="BAM38" s="208"/>
      <c r="BAN38" s="207"/>
      <c r="BAO38" s="207"/>
      <c r="BAP38" s="207"/>
      <c r="BAQ38" s="207"/>
      <c r="BAR38" s="207"/>
      <c r="BAS38" s="209"/>
      <c r="BAT38" s="207"/>
      <c r="BAU38" s="207"/>
      <c r="BAV38" s="207"/>
      <c r="BAW38" s="207"/>
      <c r="BAX38" s="207"/>
      <c r="BAY38" s="210"/>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188"/>
      <c r="BKA38" s="188"/>
      <c r="BKB38" s="188"/>
      <c r="BKC38" s="188"/>
      <c r="BKD38" s="188"/>
      <c r="BKE38" s="191"/>
      <c r="BKF38" s="188"/>
      <c r="BKG38" s="188"/>
      <c r="BKH38" s="188"/>
      <c r="BKI38" s="188"/>
      <c r="BKJ38" s="188"/>
      <c r="BKK38" s="190"/>
      <c r="BKL38" s="188"/>
      <c r="BKM38" s="188"/>
      <c r="BKN38" s="188"/>
      <c r="BKO38" s="188"/>
      <c r="BKP38" s="188"/>
      <c r="BKQ38" s="191"/>
      <c r="BKR38" s="188"/>
      <c r="BKS38" s="188"/>
      <c r="BKT38" s="188"/>
      <c r="BKU38" s="188"/>
      <c r="BKV38" s="188"/>
      <c r="BKW38" s="190"/>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188"/>
      <c r="BMA38" s="189"/>
      <c r="BMB38" s="188"/>
      <c r="BMC38" s="188"/>
      <c r="BMD38" s="188"/>
      <c r="BME38" s="188"/>
      <c r="BMF38" s="188"/>
      <c r="BMG38" s="190"/>
      <c r="BMH38" s="188"/>
      <c r="BMI38" s="188"/>
      <c r="BMJ38" s="188"/>
      <c r="BMK38" s="188"/>
      <c r="BML38" s="188"/>
      <c r="BMM38" s="191"/>
      <c r="BMN38" s="188"/>
      <c r="BMO38" s="188"/>
      <c r="BMP38" s="188"/>
      <c r="BMQ38" s="188"/>
      <c r="BMR38" s="188"/>
      <c r="BMS38" s="190"/>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188"/>
      <c r="BOH38" s="188"/>
      <c r="BOI38" s="189"/>
      <c r="BOJ38" s="188"/>
      <c r="BOK38" s="188"/>
      <c r="BOL38" s="188"/>
      <c r="BOM38" s="188"/>
      <c r="BON38" s="188"/>
      <c r="BOO38" s="190"/>
      <c r="BOP38" s="188"/>
      <c r="BOQ38" s="188"/>
      <c r="BOR38" s="188"/>
      <c r="BOS38" s="188"/>
      <c r="BOT38" s="188"/>
      <c r="BOU38" s="191"/>
      <c r="BOV38" s="188"/>
      <c r="BOW38" s="188"/>
      <c r="BOX38" s="188"/>
      <c r="BOY38" s="188"/>
      <c r="BOZ38" s="188"/>
      <c r="BPA38" s="190"/>
      <c r="BPB38" s="188"/>
      <c r="BPC38" s="188"/>
      <c r="BPD38" s="188"/>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188"/>
      <c r="BRB38" s="188"/>
      <c r="BRC38" s="191"/>
      <c r="BRD38" s="188"/>
      <c r="BRE38" s="188"/>
      <c r="BRF38" s="188"/>
      <c r="BRG38" s="188"/>
      <c r="BRH38" s="188"/>
      <c r="BRI38" s="190"/>
      <c r="BRJ38" s="188"/>
      <c r="BRK38" s="188"/>
      <c r="BRL38" s="188"/>
      <c r="BRM38" s="188"/>
      <c r="BRN38" s="188"/>
      <c r="BRO38" s="191"/>
      <c r="BRP38" s="188"/>
      <c r="BRQ38" s="188"/>
      <c r="BRR38" s="188"/>
      <c r="BRS38" s="188"/>
      <c r="BRT38" s="188"/>
      <c r="BRU38" s="190"/>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73"/>
    </row>
    <row r="39" spans="1:1866" ht="20.100000000000001" customHeight="1" x14ac:dyDescent="0.25">
      <c r="A39" s="78" t="s">
        <v>26</v>
      </c>
      <c r="B39" s="51" t="str">
        <f>IF(LEN(C63)=0,"",C63)</f>
        <v/>
      </c>
      <c r="C39" s="229"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73"/>
    </row>
    <row r="40" spans="1:1866" ht="20.100000000000001" customHeight="1" x14ac:dyDescent="0.25">
      <c r="A40" s="78" t="s">
        <v>28</v>
      </c>
      <c r="B40" s="51" t="str">
        <f>IF(LEN(C65)=0,"",C65)</f>
        <v/>
      </c>
      <c r="C40" s="230"/>
      <c r="D40" s="120" t="str">
        <f t="shared" si="0"/>
        <v>1h 50 min</v>
      </c>
      <c r="E40" s="22">
        <v>22</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206"/>
      <c r="AK40" s="206"/>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206"/>
      <c r="LA40" s="206"/>
      <c r="LB40" s="206"/>
      <c r="LC40" s="206"/>
      <c r="LD40" s="206"/>
      <c r="LE40" s="21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206"/>
      <c r="VG40" s="206"/>
      <c r="VH40" s="206"/>
      <c r="VI40" s="21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206"/>
      <c r="XG40" s="206"/>
      <c r="XH40" s="206"/>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206"/>
      <c r="AEK40" s="206"/>
      <c r="AEL40" s="206"/>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214"/>
      <c r="AWP40" s="206"/>
      <c r="AWQ40" s="206"/>
      <c r="AWR40" s="206"/>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73"/>
    </row>
    <row r="41" spans="1:1866" ht="20.100000000000001" customHeight="1" x14ac:dyDescent="0.25">
      <c r="A41" s="78" t="s">
        <v>26</v>
      </c>
      <c r="B41" s="51" t="str">
        <f>IF(LEN(C67)=0,"",C67)</f>
        <v/>
      </c>
      <c r="C41" s="229" t="s">
        <v>160</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73"/>
    </row>
    <row r="42" spans="1:1866" ht="20.100000000000001" customHeight="1" x14ac:dyDescent="0.3">
      <c r="A42" s="78" t="s">
        <v>28</v>
      </c>
      <c r="B42" s="51" t="str">
        <f>IF(LEN(C69)=0,"",C69)</f>
        <v/>
      </c>
      <c r="C42" s="230"/>
      <c r="D42" s="121" t="str">
        <f t="shared" si="0"/>
        <v>6h 45 min</v>
      </c>
      <c r="E42" s="30">
        <v>81</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207"/>
      <c r="AGC42" s="207"/>
      <c r="AGD42" s="207"/>
      <c r="AGE42" s="210"/>
      <c r="AGF42" s="207"/>
      <c r="AGG42" s="207"/>
      <c r="AGH42" s="207"/>
      <c r="AGI42" s="207"/>
      <c r="AGJ42" s="207"/>
      <c r="AGK42" s="209"/>
      <c r="AGL42" s="207"/>
      <c r="AGM42" s="207"/>
      <c r="AGN42" s="207"/>
      <c r="AGO42" s="207"/>
      <c r="AGP42" s="207"/>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207"/>
      <c r="AKN42" s="207"/>
      <c r="AKO42" s="209"/>
      <c r="AKP42" s="207"/>
      <c r="AKQ42" s="207"/>
      <c r="AKR42" s="207"/>
      <c r="AKS42" s="207"/>
      <c r="AKT42" s="207"/>
      <c r="AKU42" s="210"/>
      <c r="AKV42" s="207"/>
      <c r="AKW42" s="207"/>
      <c r="AKX42" s="207"/>
      <c r="AKY42" s="207"/>
      <c r="AKZ42" s="207"/>
      <c r="ALA42" s="209"/>
      <c r="ALB42" s="207"/>
      <c r="ALC42" s="207"/>
      <c r="ALD42" s="207"/>
      <c r="ALE42" s="207"/>
      <c r="ALF42" s="207"/>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207"/>
      <c r="AMY42" s="207"/>
      <c r="AMZ42" s="207"/>
      <c r="ANA42" s="207"/>
      <c r="ANB42" s="207"/>
      <c r="ANC42" s="210"/>
      <c r="AND42" s="207"/>
      <c r="ANE42" s="207"/>
      <c r="ANF42" s="207"/>
      <c r="ANG42" s="207"/>
      <c r="ANH42" s="207"/>
      <c r="ANI42" s="209"/>
      <c r="ANJ42" s="207"/>
      <c r="ANK42" s="207"/>
      <c r="ANL42" s="207"/>
      <c r="ANM42" s="207"/>
      <c r="ANN42" s="207"/>
      <c r="ANO42" s="210"/>
      <c r="ANP42" s="207"/>
      <c r="ANQ42" s="207"/>
      <c r="ANR42" s="207"/>
      <c r="ANS42" s="207"/>
      <c r="ANT42" s="207"/>
      <c r="ANU42" s="209"/>
      <c r="ANV42" s="207"/>
      <c r="ANW42" s="207"/>
      <c r="ANX42" s="207"/>
      <c r="ANY42" s="207"/>
      <c r="ANZ42" s="207"/>
      <c r="AOA42" s="210"/>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207"/>
      <c r="APD42" s="207"/>
      <c r="APE42" s="209"/>
      <c r="APF42" s="207"/>
      <c r="APG42" s="207"/>
      <c r="APH42" s="207"/>
      <c r="API42" s="207"/>
      <c r="APJ42" s="207"/>
      <c r="APK42" s="210"/>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212"/>
      <c r="ARC42" s="207"/>
      <c r="ARD42" s="207"/>
      <c r="ARE42" s="207"/>
      <c r="ARF42" s="207"/>
      <c r="ARG42" s="208"/>
      <c r="ARH42" s="207"/>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73"/>
    </row>
    <row r="43" spans="1:1866" ht="20.100000000000001" customHeight="1" x14ac:dyDescent="0.25">
      <c r="A43" s="78" t="s">
        <v>26</v>
      </c>
      <c r="B43" s="51" t="str">
        <f>IF(LEN(C71)=0,"",C71)</f>
        <v/>
      </c>
      <c r="C43" s="229" t="s">
        <v>161</v>
      </c>
      <c r="D43" s="119" t="str">
        <f t="shared" si="0"/>
        <v>10h 25 min</v>
      </c>
      <c r="E43" s="26">
        <v>125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96"/>
      <c r="XE43" s="198"/>
      <c r="XF43" s="196"/>
      <c r="XG43" s="196"/>
      <c r="XH43" s="196"/>
      <c r="XI43" s="196"/>
      <c r="XJ43" s="196"/>
      <c r="XK43" s="199"/>
      <c r="XL43" s="196"/>
      <c r="XM43" s="196"/>
      <c r="XN43" s="196"/>
      <c r="XO43" s="196"/>
      <c r="XP43" s="196"/>
      <c r="XQ43" s="198"/>
      <c r="XR43" s="196"/>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70"/>
      <c r="ZI43" s="170"/>
      <c r="ZJ43" s="170"/>
      <c r="ZK43" s="170"/>
      <c r="ZL43" s="170"/>
      <c r="ZM43" s="172"/>
      <c r="ZN43" s="170"/>
      <c r="ZO43" s="170"/>
      <c r="ZP43" s="170"/>
      <c r="ZQ43" s="170"/>
      <c r="ZR43" s="170"/>
      <c r="ZS43" s="173"/>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70"/>
      <c r="ABA43" s="170"/>
      <c r="ABB43" s="170"/>
      <c r="ABC43" s="171"/>
      <c r="ABD43" s="170"/>
      <c r="ABE43" s="170"/>
      <c r="ABF43" s="170"/>
      <c r="ABG43" s="170"/>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70"/>
      <c r="ADI43" s="170"/>
      <c r="ADJ43" s="170"/>
      <c r="ADK43" s="171"/>
      <c r="ADL43" s="170"/>
      <c r="ADM43" s="170"/>
      <c r="ADN43" s="170"/>
      <c r="ADO43" s="170"/>
      <c r="ADP43" s="170"/>
      <c r="ADQ43" s="172"/>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70"/>
      <c r="AGO43" s="170"/>
      <c r="AGP43" s="170"/>
      <c r="AGQ43" s="173"/>
      <c r="AGR43" s="170"/>
      <c r="AGS43" s="170"/>
      <c r="AGT43" s="170"/>
      <c r="AGU43" s="170"/>
      <c r="AGV43" s="170"/>
      <c r="AGW43" s="172"/>
      <c r="AGX43" s="170"/>
      <c r="AGY43" s="170"/>
      <c r="AGZ43" s="170"/>
      <c r="AHA43" s="170"/>
      <c r="AHB43" s="170"/>
      <c r="AHC43" s="173"/>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73"/>
    </row>
    <row r="44" spans="1:1866" ht="20.100000000000001" customHeight="1" x14ac:dyDescent="0.3">
      <c r="A44" s="78" t="s">
        <v>28</v>
      </c>
      <c r="B44" s="51" t="str">
        <f>IF(LEN(C73)=0,"",C73)</f>
        <v/>
      </c>
      <c r="C44" s="234"/>
      <c r="D44" s="121" t="str">
        <f t="shared" si="0"/>
        <v>3h 20 min</v>
      </c>
      <c r="E44" s="30">
        <v>40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209"/>
      <c r="QH44" s="207"/>
      <c r="QI44" s="207"/>
      <c r="QJ44" s="207"/>
      <c r="QK44" s="207"/>
      <c r="QL44" s="207"/>
      <c r="QM44" s="210"/>
      <c r="QN44" s="207"/>
      <c r="QO44" s="207"/>
      <c r="QP44" s="207"/>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207"/>
      <c r="SK44" s="207"/>
      <c r="SL44" s="207"/>
      <c r="SM44" s="207"/>
      <c r="SN44" s="207"/>
      <c r="SO44" s="209"/>
      <c r="SP44" s="207"/>
      <c r="SQ44" s="207"/>
      <c r="SR44" s="207"/>
      <c r="SS44" s="207"/>
      <c r="ST44" s="207"/>
      <c r="SU44" s="210"/>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210"/>
      <c r="AUN44" s="207"/>
      <c r="AUO44" s="207"/>
      <c r="AUP44" s="207"/>
      <c r="AUQ44" s="207"/>
      <c r="AUR44" s="207"/>
      <c r="AUS44" s="209"/>
      <c r="AUT44" s="207"/>
      <c r="AUU44" s="207"/>
      <c r="AUV44" s="207"/>
      <c r="AUW44" s="207"/>
      <c r="AUX44" s="207"/>
      <c r="AUY44" s="210"/>
      <c r="AUZ44" s="207"/>
      <c r="AVA44" s="207"/>
      <c r="AVB44" s="207"/>
      <c r="AVC44" s="207"/>
      <c r="AVD44" s="207"/>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73"/>
    </row>
    <row r="45" spans="1:1866" ht="20.100000000000001" customHeight="1" x14ac:dyDescent="0.25">
      <c r="A45" s="78" t="s">
        <v>26</v>
      </c>
      <c r="B45" s="51" t="str">
        <f>IF(LEN(C75)=0,"",C75)</f>
        <v/>
      </c>
      <c r="C45" s="229"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73"/>
    </row>
    <row r="46" spans="1:1866" ht="20.100000000000001" customHeight="1" x14ac:dyDescent="0.25">
      <c r="A46" s="78" t="s">
        <v>28</v>
      </c>
      <c r="B46" s="51" t="str">
        <f>IF(LEN(C77)=0,"",C77)</f>
        <v/>
      </c>
      <c r="C46" s="230"/>
      <c r="D46" s="120" t="str">
        <f t="shared" si="0"/>
        <v>1h 20 min</v>
      </c>
      <c r="E46" s="30">
        <v>16</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208"/>
      <c r="AIB46" s="207"/>
      <c r="AIC46" s="207"/>
      <c r="AID46" s="207"/>
      <c r="AIE46" s="207"/>
      <c r="AIF46" s="207"/>
      <c r="AIG46" s="209"/>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212"/>
      <c r="AOU46" s="207"/>
      <c r="AOV46" s="207"/>
      <c r="AOW46" s="207"/>
      <c r="AOX46" s="207"/>
      <c r="AOY46" s="208"/>
      <c r="AOZ46" s="207"/>
      <c r="APA46" s="207"/>
      <c r="APB46" s="207"/>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73"/>
    </row>
    <row r="47" spans="1:1866" ht="20.100000000000001" customHeight="1" x14ac:dyDescent="0.25">
      <c r="A47" s="78" t="s">
        <v>26</v>
      </c>
      <c r="B47" s="51" t="str">
        <f>IF(LEN(C79)=0,"",C79)</f>
        <v/>
      </c>
      <c r="C47" s="229" t="s">
        <v>162</v>
      </c>
      <c r="D47" s="119" t="str">
        <f t="shared" si="0"/>
        <v>2h 45 min</v>
      </c>
      <c r="E47" s="34">
        <v>33</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200"/>
      <c r="XT47" s="200"/>
      <c r="XU47" s="200"/>
      <c r="XV47" s="200"/>
      <c r="XW47" s="204"/>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73"/>
    </row>
    <row r="48" spans="1:1866" ht="20.100000000000001" customHeight="1" x14ac:dyDescent="0.3">
      <c r="A48" s="78" t="s">
        <v>28</v>
      </c>
      <c r="B48" s="51" t="str">
        <f>IF(LEN(C81)=0,"",C81)</f>
        <v/>
      </c>
      <c r="C48" s="230"/>
      <c r="D48" s="121" t="str">
        <f t="shared" si="0"/>
        <v>4h 10 min</v>
      </c>
      <c r="E48" s="22">
        <v>50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206"/>
      <c r="ZO48" s="206"/>
      <c r="ZP48" s="206"/>
      <c r="ZQ48" s="206"/>
      <c r="ZR48" s="206"/>
      <c r="ZS48" s="211"/>
      <c r="ZT48" s="206"/>
      <c r="ZU48" s="206"/>
      <c r="ZV48" s="206"/>
      <c r="ZW48" s="206"/>
      <c r="ZX48" s="206"/>
      <c r="ZY48" s="21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205"/>
      <c r="AAY48" s="206"/>
      <c r="AAZ48" s="206"/>
      <c r="ABA48" s="206"/>
      <c r="ABB48" s="206"/>
      <c r="ABC48" s="21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206"/>
      <c r="AFS48" s="213"/>
      <c r="AFT48" s="206"/>
      <c r="AFU48" s="206"/>
      <c r="AFV48" s="206"/>
      <c r="AFW48" s="206"/>
      <c r="AFX48" s="206"/>
      <c r="AFY48" s="214"/>
      <c r="AFZ48" s="206"/>
      <c r="AGA48" s="206"/>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205"/>
      <c r="AHW48" s="206"/>
      <c r="AHX48" s="206"/>
      <c r="AHY48" s="206"/>
      <c r="AHZ48" s="206"/>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211"/>
      <c r="ALH48" s="206"/>
      <c r="ALI48" s="206"/>
      <c r="ALJ48" s="206"/>
      <c r="ALK48" s="206"/>
      <c r="ALL48" s="206"/>
      <c r="ALM48" s="214"/>
      <c r="ALN48" s="206"/>
      <c r="ALO48" s="206"/>
      <c r="ALP48" s="206"/>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206"/>
      <c r="ARJ48" s="206"/>
      <c r="ARK48" s="206"/>
      <c r="ARL48" s="206"/>
      <c r="ARM48" s="214"/>
      <c r="ARN48" s="206"/>
      <c r="ARO48" s="206"/>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73"/>
    </row>
    <row r="49" spans="1:1866" ht="20.100000000000001" customHeight="1" x14ac:dyDescent="0.25">
      <c r="A49" s="78" t="s">
        <v>26</v>
      </c>
      <c r="B49" s="51" t="str">
        <f>IF(LEN(C83)=0,"",C83)</f>
        <v/>
      </c>
      <c r="C49" s="229" t="s">
        <v>163</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73"/>
    </row>
    <row r="50" spans="1:1866" ht="20.100000000000001" customHeight="1" x14ac:dyDescent="0.3">
      <c r="A50" s="78" t="s">
        <v>28</v>
      </c>
      <c r="B50" s="51" t="str">
        <f>IF(LEN(C85)=0,"",C85)</f>
        <v/>
      </c>
      <c r="C50" s="234"/>
      <c r="D50" s="121" t="str">
        <f t="shared" si="0"/>
        <v>2h 55 min</v>
      </c>
      <c r="E50" s="30">
        <v>35</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207"/>
      <c r="ABE50" s="207"/>
      <c r="ABF50" s="207"/>
      <c r="ABG50" s="207"/>
      <c r="ABH50" s="207"/>
      <c r="ABI50" s="209"/>
      <c r="ABJ50" s="207"/>
      <c r="ABK50" s="207"/>
      <c r="ABL50" s="207"/>
      <c r="ABM50" s="207"/>
      <c r="ABN50" s="207"/>
      <c r="ABO50" s="210"/>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207"/>
      <c r="AEB50" s="207"/>
      <c r="AEC50" s="209"/>
      <c r="AED50" s="207"/>
      <c r="AEE50" s="207"/>
      <c r="AEF50" s="207"/>
      <c r="AEG50" s="207"/>
      <c r="AEH50" s="207"/>
      <c r="AEI50" s="210"/>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207"/>
      <c r="AIK50" s="207"/>
      <c r="AIL50" s="207"/>
      <c r="AIM50" s="210"/>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207"/>
      <c r="AMO50" s="207"/>
      <c r="AMP50" s="207"/>
      <c r="AMQ50" s="208"/>
      <c r="AMR50" s="207"/>
      <c r="AMS50" s="207"/>
      <c r="AMT50" s="207"/>
      <c r="AMU50" s="207"/>
      <c r="AMV50" s="207"/>
      <c r="AMW50" s="209"/>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73"/>
    </row>
    <row r="51" spans="1:1866" ht="20.100000000000001" customHeight="1" x14ac:dyDescent="0.25">
      <c r="A51" s="78" t="s">
        <v>26</v>
      </c>
      <c r="B51" s="51" t="str">
        <f>IF(LEN(C87)=0,"",C87)</f>
        <v/>
      </c>
      <c r="C51" s="229" t="s">
        <v>201</v>
      </c>
      <c r="D51" s="119" t="str">
        <f t="shared" si="0"/>
        <v>8h 45 min</v>
      </c>
      <c r="E51" s="34">
        <v>105</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176"/>
      <c r="WK51" s="176"/>
      <c r="WL51" s="176"/>
      <c r="WM51" s="177"/>
      <c r="WN51" s="176"/>
      <c r="WO51" s="176"/>
      <c r="WP51" s="176"/>
      <c r="WQ51" s="176"/>
      <c r="WR51" s="176"/>
      <c r="WS51" s="178"/>
      <c r="WT51" s="176"/>
      <c r="WU51" s="176"/>
      <c r="WV51" s="176"/>
      <c r="WW51" s="176"/>
      <c r="WX51" s="176"/>
      <c r="WY51" s="179"/>
      <c r="WZ51" s="176"/>
      <c r="XA51" s="176"/>
      <c r="XB51" s="176"/>
      <c r="XC51" s="176"/>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176"/>
      <c r="ZI51" s="176"/>
      <c r="ZJ51" s="176"/>
      <c r="ZK51" s="176"/>
      <c r="ZL51" s="176"/>
      <c r="ZM51" s="178"/>
      <c r="ZN51" s="176"/>
      <c r="ZO51" s="176"/>
      <c r="ZP51" s="176"/>
      <c r="ZQ51" s="176"/>
      <c r="ZR51" s="176"/>
      <c r="ZS51" s="179"/>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176"/>
      <c r="ABA51" s="176"/>
      <c r="ABB51" s="176"/>
      <c r="ABC51" s="177"/>
      <c r="ABD51" s="176"/>
      <c r="ABE51" s="176"/>
      <c r="ABF51" s="176"/>
      <c r="ABG51" s="176"/>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176"/>
      <c r="ADI51" s="176"/>
      <c r="ADJ51" s="176"/>
      <c r="ADK51" s="177"/>
      <c r="ADL51" s="176"/>
      <c r="ADM51" s="176"/>
      <c r="ADN51" s="176"/>
      <c r="ADO51" s="176"/>
      <c r="ADP51" s="176"/>
      <c r="ADQ51" s="178"/>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176"/>
      <c r="AGO51" s="176"/>
      <c r="AGP51" s="176"/>
      <c r="AGQ51" s="179"/>
      <c r="AGR51" s="176"/>
      <c r="AGS51" s="176"/>
      <c r="AGT51" s="176"/>
      <c r="AGU51" s="176"/>
      <c r="AGV51" s="176"/>
      <c r="AGW51" s="178"/>
      <c r="AGX51" s="176"/>
      <c r="AGY51" s="176"/>
      <c r="AGZ51" s="176"/>
      <c r="AHA51" s="176"/>
      <c r="AHB51" s="176"/>
      <c r="AHC51" s="179"/>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200"/>
      <c r="AUU51" s="200"/>
      <c r="AUV51" s="200"/>
      <c r="AUW51" s="200"/>
      <c r="AUX51" s="200"/>
      <c r="AUY51" s="204"/>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200"/>
      <c r="AYW51" s="203"/>
      <c r="AYX51" s="200"/>
      <c r="AYY51" s="200"/>
      <c r="AYZ51" s="200"/>
      <c r="AZA51" s="200"/>
      <c r="AZB51" s="200"/>
      <c r="AZC51" s="204"/>
      <c r="AZD51" s="200"/>
      <c r="AZE51" s="200"/>
      <c r="AZF51" s="200"/>
      <c r="AZG51" s="200"/>
      <c r="AZH51" s="200"/>
      <c r="AZI51" s="203"/>
      <c r="AZJ51" s="200"/>
      <c r="AZK51" s="200"/>
      <c r="AZL51" s="200"/>
      <c r="AZM51" s="200"/>
      <c r="AZN51" s="200"/>
      <c r="AZO51" s="204"/>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200"/>
      <c r="BBJ51" s="200"/>
      <c r="BBK51" s="204"/>
      <c r="BBL51" s="200"/>
      <c r="BBM51" s="200"/>
      <c r="BBN51" s="200"/>
      <c r="BBO51" s="200"/>
      <c r="BBP51" s="200"/>
      <c r="BBQ51" s="203"/>
      <c r="BBR51" s="200"/>
      <c r="BBS51" s="200"/>
      <c r="BBT51" s="200"/>
      <c r="BBU51" s="200"/>
      <c r="BBV51" s="200"/>
      <c r="BBW51" s="204"/>
      <c r="BBX51" s="200"/>
      <c r="BBY51" s="200"/>
      <c r="BBZ51" s="200"/>
      <c r="BCA51" s="200"/>
      <c r="BCB51" s="200"/>
      <c r="BCC51" s="203"/>
      <c r="BCD51" s="200"/>
      <c r="BCE51" s="200"/>
      <c r="BCF51" s="200"/>
      <c r="BCG51" s="200"/>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200"/>
      <c r="BFS51" s="200"/>
      <c r="BFT51" s="200"/>
      <c r="BFU51" s="203"/>
      <c r="BFV51" s="200"/>
      <c r="BFW51" s="200"/>
      <c r="BFX51" s="200"/>
      <c r="BFY51" s="200"/>
      <c r="BFZ51" s="200"/>
      <c r="BGA51" s="204"/>
      <c r="BGB51" s="200"/>
      <c r="BGC51" s="200"/>
      <c r="BGD51" s="200"/>
      <c r="BGE51" s="200"/>
      <c r="BGF51" s="200"/>
      <c r="BGG51" s="203"/>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200"/>
      <c r="BIC51" s="203"/>
      <c r="BID51" s="200"/>
      <c r="BIE51" s="200"/>
      <c r="BIF51" s="200"/>
      <c r="BIG51" s="200"/>
      <c r="BIH51" s="200"/>
      <c r="BII51" s="204"/>
      <c r="BIJ51" s="200"/>
      <c r="BIK51" s="200"/>
      <c r="BIL51" s="200"/>
      <c r="BIM51" s="200"/>
      <c r="BIN51" s="200"/>
      <c r="BIO51" s="203"/>
      <c r="BIP51" s="200"/>
      <c r="BIQ51" s="200"/>
      <c r="BIR51" s="200"/>
      <c r="BIS51" s="200"/>
      <c r="BIT51" s="200"/>
      <c r="BIU51" s="204"/>
      <c r="BIV51" s="176"/>
      <c r="BIW51" s="176"/>
      <c r="BIX51" s="176"/>
      <c r="BIY51" s="176"/>
      <c r="BIZ51" s="176"/>
      <c r="BJA51" s="178"/>
      <c r="BJB51" s="176"/>
      <c r="BJC51" s="176"/>
      <c r="BJD51" s="176"/>
      <c r="BJE51" s="176"/>
      <c r="BJF51" s="176"/>
      <c r="BJG51" s="179"/>
      <c r="BJH51" s="176"/>
      <c r="BJI51" s="176"/>
      <c r="BJJ51" s="176"/>
      <c r="BJK51" s="176"/>
      <c r="BJL51" s="176"/>
      <c r="BJM51" s="180"/>
      <c r="BJN51" s="201"/>
      <c r="BJO51" s="200"/>
      <c r="BJP51" s="200"/>
      <c r="BJQ51" s="200"/>
      <c r="BJR51" s="200"/>
      <c r="BJS51" s="202"/>
      <c r="BJT51" s="200"/>
      <c r="BJU51" s="200"/>
      <c r="BJV51" s="200"/>
      <c r="BJW51" s="200"/>
      <c r="BJX51" s="200"/>
      <c r="BJY51" s="203"/>
      <c r="BJZ51" s="200"/>
      <c r="BKA51" s="200"/>
      <c r="BKB51" s="200"/>
      <c r="BKC51" s="200"/>
      <c r="BKD51" s="200"/>
      <c r="BKE51" s="204"/>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73"/>
    </row>
    <row r="52" spans="1:1866" ht="20.100000000000001" customHeight="1" x14ac:dyDescent="0.25">
      <c r="A52" s="78" t="s">
        <v>28</v>
      </c>
      <c r="B52" s="51" t="str">
        <f>IF(LEN(C89)=0,"",C89)</f>
        <v/>
      </c>
      <c r="C52" s="234"/>
      <c r="D52" s="120" t="str">
        <f t="shared" si="0"/>
        <v>6h 55 min</v>
      </c>
      <c r="E52" s="22">
        <v>83</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206"/>
      <c r="OE52" s="210"/>
      <c r="OF52" s="206"/>
      <c r="OG52" s="206"/>
      <c r="OH52" s="206"/>
      <c r="OI52" s="206"/>
      <c r="OJ52" s="206"/>
      <c r="OK52" s="214"/>
      <c r="OL52" s="206"/>
      <c r="OM52" s="206"/>
      <c r="ON52" s="206"/>
      <c r="OO52" s="206"/>
      <c r="OP52" s="207"/>
      <c r="OQ52" s="210"/>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206"/>
      <c r="PN52" s="206"/>
      <c r="PO52" s="213"/>
      <c r="PP52" s="206"/>
      <c r="PQ52" s="206"/>
      <c r="PR52" s="206"/>
      <c r="PS52" s="206"/>
      <c r="PT52" s="206"/>
      <c r="PU52" s="214"/>
      <c r="PV52" s="206"/>
      <c r="PW52" s="206"/>
      <c r="PX52" s="206"/>
      <c r="PY52" s="206"/>
      <c r="PZ52" s="206"/>
      <c r="QA52" s="210"/>
      <c r="QB52" s="206"/>
      <c r="QC52" s="206"/>
      <c r="QD52" s="206"/>
      <c r="QE52" s="206"/>
      <c r="QF52" s="206"/>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206"/>
      <c r="RW52" s="213"/>
      <c r="RX52" s="206"/>
      <c r="RY52" s="206"/>
      <c r="RZ52" s="206"/>
      <c r="SA52" s="206"/>
      <c r="SB52" s="206"/>
      <c r="SC52" s="214"/>
      <c r="SD52" s="206"/>
      <c r="SE52" s="206"/>
      <c r="SF52" s="206"/>
      <c r="SG52" s="206"/>
      <c r="SH52" s="206"/>
      <c r="SI52" s="210"/>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206"/>
      <c r="UD52" s="206"/>
      <c r="UE52" s="213"/>
      <c r="UF52" s="206"/>
      <c r="UG52" s="206"/>
      <c r="UH52" s="206"/>
      <c r="UI52" s="206"/>
      <c r="UJ52" s="206"/>
      <c r="UK52" s="214"/>
      <c r="UL52" s="206"/>
      <c r="UM52" s="206"/>
      <c r="UN52" s="206"/>
      <c r="UO52" s="206"/>
      <c r="UP52" s="206"/>
      <c r="UQ52" s="210"/>
      <c r="UR52" s="206"/>
      <c r="US52" s="206"/>
      <c r="UT52" s="206"/>
      <c r="UU52" s="206"/>
      <c r="UV52" s="206"/>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206"/>
      <c r="XJ52" s="206"/>
      <c r="XK52" s="210"/>
      <c r="XL52" s="206"/>
      <c r="XM52" s="206"/>
      <c r="XN52" s="206"/>
      <c r="XO52" s="206"/>
      <c r="XP52" s="206"/>
      <c r="XQ52" s="214"/>
      <c r="XR52" s="206"/>
      <c r="XS52" s="206"/>
      <c r="XT52" s="206"/>
      <c r="XU52" s="206"/>
      <c r="XV52" s="207"/>
      <c r="XW52" s="210"/>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73"/>
    </row>
    <row r="53" spans="1:1866" ht="20.100000000000001" customHeight="1" x14ac:dyDescent="0.25">
      <c r="A53" s="78" t="s">
        <v>26</v>
      </c>
      <c r="B53" s="51" t="str">
        <f>IF(LEN(C91)=0,"",C91)</f>
        <v/>
      </c>
      <c r="C53" s="229" t="s">
        <v>109</v>
      </c>
      <c r="D53" s="119" t="str">
        <f t="shared" si="0"/>
        <v>3h 20 min</v>
      </c>
      <c r="E53" s="26">
        <v>40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96"/>
      <c r="YS53" s="196"/>
      <c r="YT53" s="196"/>
      <c r="YU53" s="197"/>
      <c r="YV53" s="196"/>
      <c r="YW53" s="196"/>
      <c r="YX53" s="196"/>
      <c r="YY53" s="196"/>
      <c r="YZ53" s="196"/>
      <c r="ZA53" s="198"/>
      <c r="ZB53" s="196"/>
      <c r="ZC53" s="196"/>
      <c r="ZD53" s="196"/>
      <c r="ZE53" s="196"/>
      <c r="ZF53" s="196"/>
      <c r="ZG53" s="199"/>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96"/>
      <c r="AHY53" s="196"/>
      <c r="AHZ53" s="196"/>
      <c r="AIA53" s="197"/>
      <c r="AIB53" s="196"/>
      <c r="AIC53" s="196"/>
      <c r="AID53" s="196"/>
      <c r="AIE53" s="196"/>
      <c r="AIF53" s="196"/>
      <c r="AIG53" s="198"/>
      <c r="AIH53" s="196"/>
      <c r="AII53" s="196"/>
      <c r="AIJ53" s="196"/>
      <c r="AIK53" s="196"/>
      <c r="AIL53" s="196"/>
      <c r="AIM53" s="199"/>
      <c r="AIN53" s="196"/>
      <c r="AIO53" s="196"/>
      <c r="AIP53" s="196"/>
      <c r="AIQ53" s="196"/>
      <c r="AIR53" s="196"/>
      <c r="AIS53" s="198"/>
      <c r="AIT53" s="196"/>
      <c r="AIU53" s="196"/>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70"/>
      <c r="AUU53" s="170"/>
      <c r="AUV53" s="170"/>
      <c r="AUW53" s="170"/>
      <c r="AUX53" s="170"/>
      <c r="AUY53" s="173"/>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70"/>
      <c r="AYW53" s="172"/>
      <c r="AYX53" s="170"/>
      <c r="AYY53" s="170"/>
      <c r="AYZ53" s="170"/>
      <c r="AZA53" s="170"/>
      <c r="AZB53" s="170"/>
      <c r="AZC53" s="173"/>
      <c r="AZD53" s="170"/>
      <c r="AZE53" s="170"/>
      <c r="AZF53" s="170"/>
      <c r="AZG53" s="170"/>
      <c r="AZH53" s="170"/>
      <c r="AZI53" s="172"/>
      <c r="AZJ53" s="170"/>
      <c r="AZK53" s="170"/>
      <c r="AZL53" s="170"/>
      <c r="AZM53" s="170"/>
      <c r="AZN53" s="170"/>
      <c r="AZO53" s="173"/>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70"/>
      <c r="BBJ53" s="170"/>
      <c r="BBK53" s="173"/>
      <c r="BBL53" s="170"/>
      <c r="BBM53" s="170"/>
      <c r="BBN53" s="170"/>
      <c r="BBO53" s="170"/>
      <c r="BBP53" s="170"/>
      <c r="BBQ53" s="172"/>
      <c r="BBR53" s="170"/>
      <c r="BBS53" s="170"/>
      <c r="BBT53" s="170"/>
      <c r="BBU53" s="170"/>
      <c r="BBV53" s="170"/>
      <c r="BBW53" s="173"/>
      <c r="BBX53" s="170"/>
      <c r="BBY53" s="170"/>
      <c r="BBZ53" s="170"/>
      <c r="BCA53" s="170"/>
      <c r="BCB53" s="170"/>
      <c r="BCC53" s="172"/>
      <c r="BCD53" s="170"/>
      <c r="BCE53" s="170"/>
      <c r="BCF53" s="170"/>
      <c r="BCG53" s="170"/>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70"/>
      <c r="BFS53" s="170"/>
      <c r="BFT53" s="170"/>
      <c r="BFU53" s="172"/>
      <c r="BFV53" s="170"/>
      <c r="BFW53" s="170"/>
      <c r="BFX53" s="170"/>
      <c r="BFY53" s="170"/>
      <c r="BFZ53" s="170"/>
      <c r="BGA53" s="173"/>
      <c r="BGB53" s="170"/>
      <c r="BGC53" s="170"/>
      <c r="BGD53" s="170"/>
      <c r="BGE53" s="170"/>
      <c r="BGF53" s="170"/>
      <c r="BGG53" s="172"/>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70"/>
      <c r="BIC53" s="172"/>
      <c r="BID53" s="170"/>
      <c r="BIE53" s="170"/>
      <c r="BIF53" s="170"/>
      <c r="BIG53" s="170"/>
      <c r="BIH53" s="170"/>
      <c r="BII53" s="173"/>
      <c r="BIJ53" s="170"/>
      <c r="BIK53" s="170"/>
      <c r="BIL53" s="170"/>
      <c r="BIM53" s="170"/>
      <c r="BIN53" s="170"/>
      <c r="BIO53" s="172"/>
      <c r="BIP53" s="170"/>
      <c r="BIQ53" s="170"/>
      <c r="BIR53" s="170"/>
      <c r="BIS53" s="170"/>
      <c r="BIT53" s="170"/>
      <c r="BIU53" s="173"/>
      <c r="BIV53" s="170"/>
      <c r="BIW53" s="170"/>
      <c r="BIX53" s="170"/>
      <c r="BIY53" s="170"/>
      <c r="BIZ53" s="170"/>
      <c r="BJA53" s="172"/>
      <c r="BJB53" s="170"/>
      <c r="BJC53" s="170"/>
      <c r="BJD53" s="170"/>
      <c r="BJE53" s="170"/>
      <c r="BJF53" s="170"/>
      <c r="BJG53" s="173"/>
      <c r="BJH53" s="170"/>
      <c r="BJI53" s="170"/>
      <c r="BJJ53" s="170"/>
      <c r="BJK53" s="170"/>
      <c r="BJL53" s="170"/>
      <c r="BJM53" s="174"/>
      <c r="BJN53" s="169"/>
      <c r="BJO53" s="170"/>
      <c r="BJP53" s="170"/>
      <c r="BJQ53" s="170"/>
      <c r="BJR53" s="170"/>
      <c r="BJS53" s="171"/>
      <c r="BJT53" s="170"/>
      <c r="BJU53" s="170"/>
      <c r="BJV53" s="170"/>
      <c r="BJW53" s="170"/>
      <c r="BJX53" s="170"/>
      <c r="BJY53" s="172"/>
      <c r="BJZ53" s="170"/>
      <c r="BKA53" s="170"/>
      <c r="BKB53" s="170"/>
      <c r="BKC53" s="170"/>
      <c r="BKD53" s="170"/>
      <c r="BKE53" s="173"/>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73"/>
    </row>
    <row r="54" spans="1:1866" ht="20.100000000000001" customHeight="1" x14ac:dyDescent="0.3">
      <c r="A54" s="78" t="s">
        <v>28</v>
      </c>
      <c r="B54" s="51" t="str">
        <f>IF(LEN(C93)=0,"",C93)</f>
        <v/>
      </c>
      <c r="C54" s="234"/>
      <c r="D54" s="121" t="str">
        <f t="shared" si="0"/>
        <v>1h 30 min</v>
      </c>
      <c r="E54" s="30">
        <v>18</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207"/>
      <c r="JW54" s="207"/>
      <c r="JX54" s="207"/>
      <c r="JY54" s="207"/>
      <c r="JZ54" s="207"/>
      <c r="KA54" s="210"/>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207"/>
      <c r="AKH54" s="207"/>
      <c r="AKI54" s="208"/>
      <c r="AKJ54" s="207"/>
      <c r="AKK54" s="207"/>
      <c r="AKL54" s="207"/>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207"/>
      <c r="BBD54" s="207"/>
      <c r="BBE54" s="209"/>
      <c r="BBF54" s="207"/>
      <c r="BBG54" s="207"/>
      <c r="BBH54" s="207"/>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73"/>
    </row>
    <row r="55" spans="1:1866" ht="20.100000000000001" customHeight="1" x14ac:dyDescent="0.25">
      <c r="A55" s="78" t="s">
        <v>26</v>
      </c>
      <c r="B55" s="51"/>
      <c r="C55" s="229" t="s">
        <v>164</v>
      </c>
      <c r="D55" s="119" t="str">
        <f t="shared" si="0"/>
        <v>7h 40 min</v>
      </c>
      <c r="E55" s="34">
        <v>92</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176"/>
      <c r="YS55" s="176"/>
      <c r="YT55" s="176"/>
      <c r="YU55" s="177"/>
      <c r="YV55" s="176"/>
      <c r="YW55" s="176"/>
      <c r="YX55" s="176"/>
      <c r="YY55" s="176"/>
      <c r="YZ55" s="176"/>
      <c r="ZA55" s="178"/>
      <c r="ZB55" s="176"/>
      <c r="ZC55" s="176"/>
      <c r="ZD55" s="176"/>
      <c r="ZE55" s="176"/>
      <c r="ZF55" s="176"/>
      <c r="ZG55" s="179"/>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176"/>
      <c r="AHY55" s="176"/>
      <c r="AHZ55" s="176"/>
      <c r="AIA55" s="177"/>
      <c r="AIB55" s="176"/>
      <c r="AIC55" s="176"/>
      <c r="AID55" s="176"/>
      <c r="AIE55" s="176"/>
      <c r="AIF55" s="176"/>
      <c r="AIG55" s="178"/>
      <c r="AIH55" s="176"/>
      <c r="AII55" s="176"/>
      <c r="AIJ55" s="176"/>
      <c r="AIK55" s="176"/>
      <c r="AIL55" s="176"/>
      <c r="AIM55" s="179"/>
      <c r="AIN55" s="176"/>
      <c r="AIO55" s="176"/>
      <c r="AIP55" s="176"/>
      <c r="AIQ55" s="176"/>
      <c r="AIR55" s="176"/>
      <c r="AIS55" s="178"/>
      <c r="AIT55" s="176"/>
      <c r="AIU55" s="176"/>
      <c r="AIV55" s="200"/>
      <c r="AIW55" s="200"/>
      <c r="AIX55" s="200"/>
      <c r="AIY55" s="204"/>
      <c r="AIZ55" s="200"/>
      <c r="AJA55" s="200"/>
      <c r="AJB55" s="200"/>
      <c r="AJC55" s="200"/>
      <c r="AJD55" s="200"/>
      <c r="AJE55" s="203"/>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200"/>
      <c r="ALG55" s="204"/>
      <c r="ALH55" s="200"/>
      <c r="ALI55" s="200"/>
      <c r="ALJ55" s="200"/>
      <c r="ALK55" s="200"/>
      <c r="ALL55" s="200"/>
      <c r="ALM55" s="203"/>
      <c r="ALN55" s="200"/>
      <c r="ALO55" s="200"/>
      <c r="ALP55" s="200"/>
      <c r="ALQ55" s="200"/>
      <c r="ALR55" s="200"/>
      <c r="ALS55" s="204"/>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200"/>
      <c r="ANM55" s="200"/>
      <c r="ANN55" s="200"/>
      <c r="ANO55" s="204"/>
      <c r="ANP55" s="200"/>
      <c r="ANQ55" s="200"/>
      <c r="ANR55" s="200"/>
      <c r="ANS55" s="200"/>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200"/>
      <c r="AQA55" s="200"/>
      <c r="AQB55" s="200"/>
      <c r="AQC55" s="203"/>
      <c r="AQD55" s="200"/>
      <c r="AQE55" s="200"/>
      <c r="AQF55" s="200"/>
      <c r="AQG55" s="200"/>
      <c r="AQH55" s="200"/>
      <c r="AQI55" s="204"/>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200"/>
      <c r="ASE55" s="204"/>
      <c r="ASF55" s="200"/>
      <c r="ASG55" s="200"/>
      <c r="ASH55" s="200"/>
      <c r="ASI55" s="200"/>
      <c r="ASJ55" s="200"/>
      <c r="ASK55" s="203"/>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200"/>
      <c r="ATM55" s="200"/>
      <c r="ATN55" s="200"/>
      <c r="ATO55" s="202"/>
      <c r="ATP55" s="200"/>
      <c r="ATQ55" s="200"/>
      <c r="ATR55" s="200"/>
      <c r="ATS55" s="200"/>
      <c r="ATT55" s="200"/>
      <c r="ATU55" s="203"/>
      <c r="ATV55" s="200"/>
      <c r="ATW55" s="200"/>
      <c r="ATX55" s="200"/>
      <c r="ATY55" s="200"/>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200"/>
      <c r="BDQ55" s="200"/>
      <c r="BDR55" s="200"/>
      <c r="BDS55" s="204"/>
      <c r="BDT55" s="200"/>
      <c r="BDU55" s="200"/>
      <c r="BDV55" s="200"/>
      <c r="BDW55" s="200"/>
      <c r="BDX55" s="200"/>
      <c r="BDY55" s="203"/>
      <c r="BDZ55" s="200"/>
      <c r="BEA55" s="200"/>
      <c r="BEB55" s="200"/>
      <c r="BEC55" s="200"/>
      <c r="BED55" s="200"/>
      <c r="BEE55" s="204"/>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200"/>
      <c r="BFA55" s="200"/>
      <c r="BFB55" s="200"/>
      <c r="BFC55" s="202"/>
      <c r="BFD55" s="200"/>
      <c r="BFE55" s="200"/>
      <c r="BFF55" s="200"/>
      <c r="BFG55" s="200"/>
      <c r="BFH55" s="200"/>
      <c r="BFI55" s="203"/>
      <c r="BFJ55" s="200"/>
      <c r="BFK55" s="200"/>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73"/>
    </row>
    <row r="56" spans="1:1866" ht="20.100000000000001" customHeight="1" x14ac:dyDescent="0.25">
      <c r="A56" s="78" t="s">
        <v>28</v>
      </c>
      <c r="B56" s="51"/>
      <c r="C56" s="230"/>
      <c r="D56" s="120" t="str">
        <f t="shared" si="0"/>
        <v>6h 40 min</v>
      </c>
      <c r="E56" s="22">
        <v>80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206"/>
      <c r="APP56" s="206"/>
      <c r="APQ56" s="214"/>
      <c r="APR56" s="206"/>
      <c r="APS56" s="206"/>
      <c r="APT56" s="206"/>
      <c r="APU56" s="206"/>
      <c r="APV56" s="206"/>
      <c r="APW56" s="211"/>
      <c r="APX56" s="206"/>
      <c r="APY56" s="206"/>
      <c r="APZ56" s="206"/>
      <c r="AQA56" s="206"/>
      <c r="AQB56" s="206"/>
      <c r="AQC56" s="214"/>
      <c r="AQD56" s="206"/>
      <c r="AQE56" s="206"/>
      <c r="AQF56" s="206"/>
      <c r="AQG56" s="206"/>
      <c r="AQH56" s="206"/>
      <c r="AQI56" s="211"/>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206"/>
      <c r="ARQ56" s="206"/>
      <c r="ARR56" s="206"/>
      <c r="ARS56" s="211"/>
      <c r="ART56" s="206"/>
      <c r="ARU56" s="206"/>
      <c r="ARV56" s="206"/>
      <c r="ARW56" s="206"/>
      <c r="ARX56" s="206"/>
      <c r="ARY56" s="214"/>
      <c r="ARZ56" s="206"/>
      <c r="ASA56" s="206"/>
      <c r="ASB56" s="206"/>
      <c r="ASC56" s="206"/>
      <c r="ASD56" s="206"/>
      <c r="ASE56" s="211"/>
      <c r="ASF56" s="206"/>
      <c r="ASG56" s="206"/>
      <c r="ASH56" s="206"/>
      <c r="ASI56" s="206"/>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214"/>
      <c r="ATV56" s="206"/>
      <c r="ATW56" s="206"/>
      <c r="ATX56" s="206"/>
      <c r="ATY56" s="206"/>
      <c r="ATZ56" s="206"/>
      <c r="AUA56" s="211"/>
      <c r="AUB56" s="206"/>
      <c r="AUC56" s="206"/>
      <c r="AUD56" s="206"/>
      <c r="AUE56" s="206"/>
      <c r="AUF56" s="206"/>
      <c r="AUG56" s="214"/>
      <c r="AUH56" s="206"/>
      <c r="AUI56" s="206"/>
      <c r="AUJ56" s="206"/>
      <c r="AUK56" s="206"/>
      <c r="AUL56" s="206"/>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206"/>
      <c r="AWG56" s="206"/>
      <c r="AWH56" s="206"/>
      <c r="AWI56" s="211"/>
      <c r="AWJ56" s="206"/>
      <c r="AWK56" s="206"/>
      <c r="AWL56" s="206"/>
      <c r="AWM56" s="206"/>
      <c r="AWN56" s="206"/>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206"/>
      <c r="AZE56" s="206"/>
      <c r="AZF56" s="206"/>
      <c r="AZG56" s="206"/>
      <c r="AZH56" s="206"/>
      <c r="AZI56" s="214"/>
      <c r="AZJ56" s="206"/>
      <c r="AZK56" s="206"/>
      <c r="AZL56" s="206"/>
      <c r="AZM56" s="206"/>
      <c r="AZN56" s="206"/>
      <c r="AZO56" s="211"/>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73"/>
    </row>
    <row r="57" spans="1:1866" ht="20.100000000000001" customHeight="1" x14ac:dyDescent="0.25">
      <c r="A57" s="78" t="s">
        <v>26</v>
      </c>
      <c r="B57" s="51"/>
      <c r="C57" s="229" t="s">
        <v>165</v>
      </c>
      <c r="D57" s="119" t="str">
        <f t="shared" si="0"/>
        <v>5h 25 min</v>
      </c>
      <c r="E57" s="26">
        <v>65</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70"/>
      <c r="AIW57" s="170"/>
      <c r="AIX57" s="170"/>
      <c r="AIY57" s="173"/>
      <c r="AIZ57" s="170"/>
      <c r="AJA57" s="170"/>
      <c r="AJB57" s="170"/>
      <c r="AJC57" s="170"/>
      <c r="AJD57" s="170"/>
      <c r="AJE57" s="172"/>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70"/>
      <c r="ALG57" s="173"/>
      <c r="ALH57" s="170"/>
      <c r="ALI57" s="170"/>
      <c r="ALJ57" s="170"/>
      <c r="ALK57" s="170"/>
      <c r="ALL57" s="170"/>
      <c r="ALM57" s="172"/>
      <c r="ALN57" s="170"/>
      <c r="ALO57" s="170"/>
      <c r="ALP57" s="170"/>
      <c r="ALQ57" s="170"/>
      <c r="ALR57" s="170"/>
      <c r="ALS57" s="173"/>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70"/>
      <c r="ANM57" s="170"/>
      <c r="ANN57" s="170"/>
      <c r="ANO57" s="173"/>
      <c r="ANP57" s="170"/>
      <c r="ANQ57" s="170"/>
      <c r="ANR57" s="170"/>
      <c r="ANS57" s="170"/>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70"/>
      <c r="AQA57" s="170"/>
      <c r="AQB57" s="170"/>
      <c r="AQC57" s="172"/>
      <c r="AQD57" s="170"/>
      <c r="AQE57" s="170"/>
      <c r="AQF57" s="170"/>
      <c r="AQG57" s="170"/>
      <c r="AQH57" s="170"/>
      <c r="AQI57" s="173"/>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70"/>
      <c r="ASE57" s="173"/>
      <c r="ASF57" s="170"/>
      <c r="ASG57" s="170"/>
      <c r="ASH57" s="170"/>
      <c r="ASI57" s="170"/>
      <c r="ASJ57" s="170"/>
      <c r="ASK57" s="172"/>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70"/>
      <c r="ATM57" s="170"/>
      <c r="ATN57" s="170"/>
      <c r="ATO57" s="171"/>
      <c r="ATP57" s="170"/>
      <c r="ATQ57" s="170"/>
      <c r="ATR57" s="170"/>
      <c r="ATS57" s="170"/>
      <c r="ATT57" s="170"/>
      <c r="ATU57" s="172"/>
      <c r="ATV57" s="170"/>
      <c r="ATW57" s="170"/>
      <c r="ATX57" s="170"/>
      <c r="ATY57" s="170"/>
      <c r="ATZ57" s="196"/>
      <c r="AUA57" s="199"/>
      <c r="AUB57" s="196"/>
      <c r="AUC57" s="196"/>
      <c r="AUD57" s="196"/>
      <c r="AUE57" s="196"/>
      <c r="AUF57" s="196"/>
      <c r="AUG57" s="198"/>
      <c r="AUH57" s="196"/>
      <c r="AUI57" s="196"/>
      <c r="AUJ57" s="196"/>
      <c r="AUK57" s="196"/>
      <c r="AUL57" s="196"/>
      <c r="AUM57" s="199"/>
      <c r="AUN57" s="196"/>
      <c r="AUO57" s="196"/>
      <c r="AUP57" s="196"/>
      <c r="AUQ57" s="196"/>
      <c r="AUR57" s="196"/>
      <c r="AUS57" s="198"/>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96"/>
      <c r="AVU57" s="196"/>
      <c r="AVV57" s="196"/>
      <c r="AVW57" s="197"/>
      <c r="AVX57" s="196"/>
      <c r="AVY57" s="196"/>
      <c r="AVZ57" s="196"/>
      <c r="AWA57" s="196"/>
      <c r="AWB57" s="196"/>
      <c r="AWC57" s="198"/>
      <c r="AWD57" s="196"/>
      <c r="AWE57" s="196"/>
      <c r="AWF57" s="196"/>
      <c r="AWG57" s="196"/>
      <c r="AWH57" s="196"/>
      <c r="AWI57" s="199"/>
      <c r="AWJ57" s="196"/>
      <c r="AWK57" s="196"/>
      <c r="AWL57" s="196"/>
      <c r="AWM57" s="196"/>
      <c r="AWN57" s="196"/>
      <c r="AWO57" s="198"/>
      <c r="AWP57" s="196"/>
      <c r="AWQ57" s="196"/>
      <c r="AWR57" s="196"/>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96"/>
      <c r="AYC57" s="196"/>
      <c r="AYD57" s="196"/>
      <c r="AYE57" s="197"/>
      <c r="AYF57" s="196"/>
      <c r="AYG57" s="196"/>
      <c r="AYH57" s="196"/>
      <c r="AYI57" s="196"/>
      <c r="AYJ57" s="196"/>
      <c r="AYK57" s="198"/>
      <c r="AYL57" s="196"/>
      <c r="AYM57" s="196"/>
      <c r="AYN57" s="196"/>
      <c r="AYO57" s="196"/>
      <c r="AYP57" s="196"/>
      <c r="AYQ57" s="199"/>
      <c r="AYR57" s="196"/>
      <c r="AYS57" s="196"/>
      <c r="AYT57" s="196"/>
      <c r="AYU57" s="196"/>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70"/>
      <c r="BDQ57" s="170"/>
      <c r="BDR57" s="170"/>
      <c r="BDS57" s="173"/>
      <c r="BDT57" s="170"/>
      <c r="BDU57" s="170"/>
      <c r="BDV57" s="170"/>
      <c r="BDW57" s="170"/>
      <c r="BDX57" s="170"/>
      <c r="BDY57" s="172"/>
      <c r="BDZ57" s="170"/>
      <c r="BEA57" s="170"/>
      <c r="BEB57" s="170"/>
      <c r="BEC57" s="170"/>
      <c r="BED57" s="170"/>
      <c r="BEE57" s="173"/>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70"/>
      <c r="BFA57" s="170"/>
      <c r="BFB57" s="170"/>
      <c r="BFC57" s="171"/>
      <c r="BFD57" s="170"/>
      <c r="BFE57" s="170"/>
      <c r="BFF57" s="170"/>
      <c r="BFG57" s="170"/>
      <c r="BFH57" s="170"/>
      <c r="BFI57" s="172"/>
      <c r="BFJ57" s="170"/>
      <c r="BFK57" s="170"/>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73"/>
    </row>
    <row r="58" spans="1:1866" ht="20.100000000000001" customHeight="1" x14ac:dyDescent="0.3">
      <c r="A58" s="78" t="s">
        <v>28</v>
      </c>
      <c r="B58" s="51"/>
      <c r="C58" s="230"/>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73"/>
    </row>
    <row r="59" spans="1:1866" ht="20.100000000000001" customHeight="1" x14ac:dyDescent="0.25">
      <c r="A59" s="78" t="s">
        <v>26</v>
      </c>
      <c r="B59" s="51"/>
      <c r="C59" s="229" t="s">
        <v>33</v>
      </c>
      <c r="D59" s="119" t="str">
        <f t="shared" si="0"/>
        <v>5h 30 min</v>
      </c>
      <c r="E59" s="26">
        <v>66</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200"/>
      <c r="WK59" s="200"/>
      <c r="WL59" s="200"/>
      <c r="WM59" s="202"/>
      <c r="WN59" s="200"/>
      <c r="WO59" s="200"/>
      <c r="WP59" s="200"/>
      <c r="WQ59" s="200"/>
      <c r="WR59" s="200"/>
      <c r="WS59" s="203"/>
      <c r="WT59" s="200"/>
      <c r="WU59" s="200"/>
      <c r="WV59" s="200"/>
      <c r="WW59" s="200"/>
      <c r="WX59" s="200"/>
      <c r="WY59" s="204"/>
      <c r="WZ59" s="200"/>
      <c r="XA59" s="200"/>
      <c r="XB59" s="200"/>
      <c r="XC59" s="200"/>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200"/>
      <c r="ZI59" s="200"/>
      <c r="ZJ59" s="200"/>
      <c r="ZK59" s="200"/>
      <c r="ZL59" s="200"/>
      <c r="ZM59" s="203"/>
      <c r="ZN59" s="200"/>
      <c r="ZO59" s="200"/>
      <c r="ZP59" s="200"/>
      <c r="ZQ59" s="200"/>
      <c r="ZR59" s="200"/>
      <c r="ZS59" s="204"/>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200"/>
      <c r="ABA59" s="200"/>
      <c r="ABB59" s="200"/>
      <c r="ABC59" s="202"/>
      <c r="ABD59" s="200"/>
      <c r="ABE59" s="200"/>
      <c r="ABF59" s="200"/>
      <c r="ABG59" s="200"/>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200"/>
      <c r="ADI59" s="200"/>
      <c r="ADJ59" s="200"/>
      <c r="ADK59" s="202"/>
      <c r="ADL59" s="200"/>
      <c r="ADM59" s="200"/>
      <c r="ADN59" s="200"/>
      <c r="ADO59" s="200"/>
      <c r="ADP59" s="200"/>
      <c r="ADQ59" s="203"/>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200"/>
      <c r="AGO59" s="200"/>
      <c r="AGP59" s="200"/>
      <c r="AGQ59" s="204"/>
      <c r="AGR59" s="200"/>
      <c r="AGS59" s="200"/>
      <c r="AGT59" s="200"/>
      <c r="AGU59" s="200"/>
      <c r="AGV59" s="200"/>
      <c r="AGW59" s="203"/>
      <c r="AGX59" s="200"/>
      <c r="AGY59" s="200"/>
      <c r="AGZ59" s="200"/>
      <c r="AHA59" s="200"/>
      <c r="AHB59" s="200"/>
      <c r="AHC59" s="204"/>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176"/>
      <c r="AUA59" s="179"/>
      <c r="AUB59" s="176"/>
      <c r="AUC59" s="176"/>
      <c r="AUD59" s="176"/>
      <c r="AUE59" s="176"/>
      <c r="AUF59" s="176"/>
      <c r="AUG59" s="178"/>
      <c r="AUH59" s="176"/>
      <c r="AUI59" s="176"/>
      <c r="AUJ59" s="176"/>
      <c r="AUK59" s="176"/>
      <c r="AUL59" s="176"/>
      <c r="AUM59" s="179"/>
      <c r="AUN59" s="176"/>
      <c r="AUO59" s="176"/>
      <c r="AUP59" s="176"/>
      <c r="AUQ59" s="176"/>
      <c r="AUR59" s="176"/>
      <c r="AUS59" s="178"/>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176"/>
      <c r="AVU59" s="176"/>
      <c r="AVV59" s="176"/>
      <c r="AVW59" s="177"/>
      <c r="AVX59" s="176"/>
      <c r="AVY59" s="176"/>
      <c r="AVZ59" s="176"/>
      <c r="AWA59" s="176"/>
      <c r="AWB59" s="176"/>
      <c r="AWC59" s="178"/>
      <c r="AWD59" s="176"/>
      <c r="AWE59" s="176"/>
      <c r="AWF59" s="176"/>
      <c r="AWG59" s="176"/>
      <c r="AWH59" s="176"/>
      <c r="AWI59" s="179"/>
      <c r="AWJ59" s="176"/>
      <c r="AWK59" s="176"/>
      <c r="AWL59" s="176"/>
      <c r="AWM59" s="176"/>
      <c r="AWN59" s="176"/>
      <c r="AWO59" s="178"/>
      <c r="AWP59" s="176"/>
      <c r="AWQ59" s="176"/>
      <c r="AWR59" s="176"/>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176"/>
      <c r="AYC59" s="176"/>
      <c r="AYD59" s="176"/>
      <c r="AYE59" s="177"/>
      <c r="AYF59" s="176"/>
      <c r="AYG59" s="176"/>
      <c r="AYH59" s="176"/>
      <c r="AYI59" s="176"/>
      <c r="AYJ59" s="176"/>
      <c r="AYK59" s="178"/>
      <c r="AYL59" s="176"/>
      <c r="AYM59" s="176"/>
      <c r="AYN59" s="176"/>
      <c r="AYO59" s="176"/>
      <c r="AYP59" s="176"/>
      <c r="AYQ59" s="179"/>
      <c r="AYR59" s="176"/>
      <c r="AYS59" s="176"/>
      <c r="AYT59" s="176"/>
      <c r="AYU59" s="176"/>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73"/>
    </row>
    <row r="60" spans="1:1866" ht="20.100000000000001" customHeight="1" x14ac:dyDescent="0.3">
      <c r="A60" s="78" t="s">
        <v>28</v>
      </c>
      <c r="B60" s="51"/>
      <c r="C60" s="234"/>
      <c r="D60" s="121" t="str">
        <f t="shared" si="0"/>
        <v xml:space="preserve"> 45 min</v>
      </c>
      <c r="E60" s="30">
        <v>9</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206"/>
      <c r="BBJ60" s="206"/>
      <c r="BBK60" s="211"/>
      <c r="BBL60" s="206"/>
      <c r="BBM60" s="206"/>
      <c r="BBN60" s="206"/>
      <c r="BBO60" s="206"/>
      <c r="BBP60" s="206"/>
      <c r="BBQ60" s="21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181"/>
      <c r="BJO60" s="182"/>
      <c r="BJP60" s="182"/>
      <c r="BJQ60" s="182"/>
      <c r="BJR60" s="182"/>
      <c r="BJS60" s="183"/>
      <c r="BJT60" s="182"/>
      <c r="BJU60" s="182"/>
      <c r="BJV60" s="182"/>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181"/>
      <c r="BQM60" s="182"/>
      <c r="BQN60" s="182"/>
      <c r="BQO60" s="182"/>
      <c r="BQP60" s="182"/>
      <c r="BQQ60" s="183"/>
      <c r="BQR60" s="182"/>
      <c r="BQS60" s="182"/>
      <c r="BQT60" s="182"/>
      <c r="BQU60" s="182"/>
      <c r="BQV60" s="182"/>
      <c r="BQW60" s="18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73"/>
    </row>
    <row r="61" spans="1:1866" ht="20.100000000000001" customHeight="1" x14ac:dyDescent="0.25">
      <c r="A61" s="78" t="s">
        <v>26</v>
      </c>
      <c r="B61" s="51"/>
      <c r="C61" s="229"/>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73"/>
    </row>
    <row r="62" spans="1:1866" ht="20.100000000000001" customHeight="1" x14ac:dyDescent="0.25">
      <c r="A62" s="78" t="s">
        <v>28</v>
      </c>
      <c r="B62" s="51"/>
      <c r="C62" s="234"/>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73"/>
    </row>
    <row r="63" spans="1:1866" ht="20.100000000000001" customHeight="1" x14ac:dyDescent="0.25">
      <c r="A63" s="78" t="s">
        <v>26</v>
      </c>
      <c r="B63" s="51"/>
      <c r="C63" s="229"/>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73"/>
    </row>
    <row r="64" spans="1:1866" ht="20.100000000000001" customHeight="1" x14ac:dyDescent="0.3">
      <c r="A64" s="78" t="s">
        <v>28</v>
      </c>
      <c r="B64" s="51"/>
      <c r="C64" s="235"/>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73"/>
    </row>
    <row r="65" spans="1:1866" ht="20.100000000000001" customHeight="1" x14ac:dyDescent="0.25">
      <c r="A65" s="78" t="s">
        <v>26</v>
      </c>
      <c r="B65" s="51"/>
      <c r="C65" s="229"/>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73"/>
    </row>
    <row r="66" spans="1:1866" ht="20.100000000000001" customHeight="1" x14ac:dyDescent="0.3">
      <c r="A66" s="78" t="s">
        <v>28</v>
      </c>
      <c r="B66" s="51"/>
      <c r="C66" s="235"/>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73"/>
    </row>
    <row r="67" spans="1:1866" ht="20.100000000000001" customHeight="1" x14ac:dyDescent="0.25">
      <c r="A67" s="78" t="s">
        <v>26</v>
      </c>
      <c r="B67" s="51"/>
      <c r="C67" s="229"/>
      <c r="D67" s="119" t="str">
        <f t="shared" si="0"/>
        <v/>
      </c>
      <c r="E67" s="34">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73"/>
    </row>
    <row r="68" spans="1:1866" ht="20.100000000000001" customHeight="1" x14ac:dyDescent="0.25">
      <c r="A68" s="78" t="s">
        <v>28</v>
      </c>
      <c r="B68" s="51"/>
      <c r="C68" s="234"/>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73"/>
    </row>
    <row r="69" spans="1:1866" ht="20.100000000000001" customHeight="1" x14ac:dyDescent="0.25">
      <c r="A69" s="78" t="s">
        <v>26</v>
      </c>
      <c r="B69" s="51"/>
      <c r="C69" s="229"/>
      <c r="D69" s="119" t="str">
        <f t="shared" si="0"/>
        <v/>
      </c>
      <c r="E69" s="26">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73"/>
    </row>
    <row r="70" spans="1:1866" ht="20.100000000000001" customHeight="1" x14ac:dyDescent="0.3">
      <c r="A70" s="78" t="s">
        <v>28</v>
      </c>
      <c r="B70" s="51"/>
      <c r="C70" s="235"/>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73"/>
    </row>
    <row r="71" spans="1:1866" ht="20.100000000000001" customHeight="1" x14ac:dyDescent="0.25">
      <c r="A71" s="78" t="s">
        <v>26</v>
      </c>
      <c r="B71" s="51"/>
      <c r="C71" s="229"/>
      <c r="D71" s="119" t="str">
        <f t="shared" si="0"/>
        <v/>
      </c>
      <c r="E71" s="34">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73"/>
    </row>
    <row r="72" spans="1:1866" ht="20.100000000000001" customHeight="1" x14ac:dyDescent="0.25">
      <c r="A72" s="78" t="s">
        <v>28</v>
      </c>
      <c r="B72" s="51"/>
      <c r="C72" s="234"/>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73"/>
    </row>
    <row r="73" spans="1:1866" ht="20.100000000000001" customHeight="1" x14ac:dyDescent="0.25">
      <c r="A73" s="78" t="s">
        <v>26</v>
      </c>
      <c r="B73" s="51"/>
      <c r="C73" s="229"/>
      <c r="D73" s="119" t="str">
        <f t="shared" si="0"/>
        <v/>
      </c>
      <c r="E73" s="26">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73"/>
    </row>
    <row r="74" spans="1:1866" ht="20.100000000000001" customHeight="1" x14ac:dyDescent="0.3">
      <c r="A74" s="78" t="s">
        <v>28</v>
      </c>
      <c r="B74" s="51"/>
      <c r="C74" s="235"/>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73"/>
    </row>
    <row r="75" spans="1:1866" ht="20.100000000000001" customHeight="1" x14ac:dyDescent="0.25">
      <c r="A75" s="78" t="s">
        <v>26</v>
      </c>
      <c r="B75" s="51"/>
      <c r="C75" s="229"/>
      <c r="D75" s="119" t="str">
        <f t="shared" si="0"/>
        <v/>
      </c>
      <c r="E75" s="26">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73"/>
    </row>
    <row r="76" spans="1:1866" ht="20.100000000000001" customHeight="1" x14ac:dyDescent="0.3">
      <c r="A76" s="78" t="s">
        <v>28</v>
      </c>
      <c r="B76" s="51"/>
      <c r="C76" s="235"/>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73"/>
    </row>
    <row r="77" spans="1:1866" ht="20.100000000000001" customHeight="1" x14ac:dyDescent="0.25">
      <c r="A77" s="78" t="s">
        <v>26</v>
      </c>
      <c r="B77" s="51"/>
      <c r="C77" s="229"/>
      <c r="D77" s="119" t="str">
        <f t="shared" si="0"/>
        <v/>
      </c>
      <c r="E77" s="34">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73"/>
    </row>
    <row r="78" spans="1:1866" ht="20.100000000000001" customHeight="1" x14ac:dyDescent="0.25">
      <c r="A78" s="78" t="s">
        <v>28</v>
      </c>
      <c r="B78" s="51"/>
      <c r="C78" s="234"/>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73"/>
    </row>
    <row r="79" spans="1:1866" ht="20.100000000000001" customHeight="1" x14ac:dyDescent="0.25">
      <c r="A79" s="78" t="s">
        <v>26</v>
      </c>
      <c r="B79" s="51"/>
      <c r="C79" s="229"/>
      <c r="D79" s="119" t="str">
        <f t="shared" si="0"/>
        <v/>
      </c>
      <c r="E79" s="34">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73"/>
    </row>
    <row r="80" spans="1:1866" ht="20.100000000000001" customHeight="1" x14ac:dyDescent="0.3">
      <c r="A80" s="78" t="s">
        <v>28</v>
      </c>
      <c r="B80" s="51"/>
      <c r="C80" s="235"/>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73"/>
    </row>
    <row r="81" spans="1:1866" ht="20.100000000000001" customHeight="1" x14ac:dyDescent="0.25">
      <c r="A81" s="78" t="s">
        <v>26</v>
      </c>
      <c r="B81" s="51"/>
      <c r="C81" s="229"/>
      <c r="D81" s="119" t="str">
        <f t="shared" si="1"/>
        <v/>
      </c>
      <c r="E81" s="26">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73"/>
    </row>
    <row r="82" spans="1:1866" ht="20.100000000000001" customHeight="1" x14ac:dyDescent="0.3">
      <c r="A82" s="78" t="s">
        <v>28</v>
      </c>
      <c r="B82" s="51"/>
      <c r="C82" s="235"/>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73"/>
    </row>
    <row r="83" spans="1:1866" ht="20.100000000000001" customHeight="1" x14ac:dyDescent="0.25">
      <c r="A83" s="78" t="s">
        <v>26</v>
      </c>
      <c r="B83" s="51"/>
      <c r="C83" s="229"/>
      <c r="D83" s="119" t="str">
        <f t="shared" si="1"/>
        <v/>
      </c>
      <c r="E83" s="34">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73"/>
    </row>
    <row r="84" spans="1:1866" ht="20.100000000000001" customHeight="1" x14ac:dyDescent="0.25">
      <c r="A84" s="78" t="s">
        <v>28</v>
      </c>
      <c r="B84" s="51"/>
      <c r="C84" s="234"/>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73"/>
    </row>
    <row r="85" spans="1:1866" ht="20.100000000000001" customHeight="1" x14ac:dyDescent="0.25">
      <c r="A85" s="78" t="s">
        <v>26</v>
      </c>
      <c r="B85" s="51"/>
      <c r="C85" s="229"/>
      <c r="D85" s="119" t="str">
        <f t="shared" si="1"/>
        <v/>
      </c>
      <c r="E85" s="26">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73"/>
    </row>
    <row r="86" spans="1:1866" ht="20.100000000000001" customHeight="1" x14ac:dyDescent="0.3">
      <c r="A86" s="78" t="s">
        <v>28</v>
      </c>
      <c r="B86" s="51"/>
      <c r="C86" s="235"/>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73"/>
    </row>
    <row r="87" spans="1:1866" ht="20.100000000000001" customHeight="1" x14ac:dyDescent="0.25">
      <c r="A87" s="78" t="s">
        <v>26</v>
      </c>
      <c r="B87" s="51"/>
      <c r="C87" s="229"/>
      <c r="D87" s="119" t="str">
        <f t="shared" si="1"/>
        <v/>
      </c>
      <c r="E87" s="34">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73"/>
    </row>
    <row r="88" spans="1:1866" ht="20.100000000000001" customHeight="1" x14ac:dyDescent="0.25">
      <c r="A88" s="78" t="s">
        <v>28</v>
      </c>
      <c r="B88" s="51"/>
      <c r="C88" s="234"/>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73"/>
    </row>
    <row r="89" spans="1:1866" ht="20.100000000000001" customHeight="1" x14ac:dyDescent="0.25">
      <c r="A89" s="78" t="s">
        <v>26</v>
      </c>
      <c r="B89" s="51"/>
      <c r="C89" s="229"/>
      <c r="D89" s="119" t="str">
        <f t="shared" si="1"/>
        <v/>
      </c>
      <c r="E89" s="26">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73"/>
    </row>
    <row r="90" spans="1:1866" ht="20.100000000000001" customHeight="1" x14ac:dyDescent="0.3">
      <c r="A90" s="78" t="s">
        <v>28</v>
      </c>
      <c r="B90" s="51"/>
      <c r="C90" s="235"/>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73"/>
    </row>
    <row r="91" spans="1:1866" ht="20.100000000000001" customHeight="1" x14ac:dyDescent="0.25">
      <c r="A91" s="78" t="s">
        <v>26</v>
      </c>
      <c r="B91" s="51"/>
      <c r="C91" s="229"/>
      <c r="D91" s="119" t="str">
        <f t="shared" si="1"/>
        <v/>
      </c>
      <c r="E91" s="26">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73"/>
    </row>
    <row r="92" spans="1:1866" ht="20.100000000000001" customHeight="1" x14ac:dyDescent="0.3">
      <c r="A92" s="78" t="s">
        <v>28</v>
      </c>
      <c r="B92" s="51"/>
      <c r="C92" s="235"/>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73"/>
    </row>
    <row r="93" spans="1:1866" ht="20.100000000000001" customHeight="1" x14ac:dyDescent="0.25">
      <c r="A93" s="78" t="s">
        <v>26</v>
      </c>
      <c r="B93" s="51"/>
      <c r="C93" s="229"/>
      <c r="D93" s="119" t="str">
        <f t="shared" si="1"/>
        <v/>
      </c>
      <c r="E93" s="34">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73"/>
    </row>
    <row r="94" spans="1:1866" ht="20.100000000000001" customHeight="1" x14ac:dyDescent="0.25">
      <c r="A94" s="78" t="s">
        <v>28</v>
      </c>
      <c r="B94" s="51"/>
      <c r="C94" s="234"/>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73"/>
    </row>
    <row r="95" spans="1:1866" ht="20.100000000000001" customHeight="1" x14ac:dyDescent="0.25">
      <c r="B95" s="51"/>
      <c r="C95" s="250" t="s">
        <v>34</v>
      </c>
      <c r="D95" s="251"/>
      <c r="E95" s="92">
        <f>SUM(E15,E17,E19,E21,E23,E25,E27,E29,E31,E33,E35,E37,E39,E41,E43,E45,E47,E49,E51,E53,E55,E57,E59,E61,E63,E65,E67,E69,E71,E73,E75,E77,E79,E81,E83,E85,E87,E89,E91,E93)</f>
        <v>1088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73"/>
    </row>
    <row r="96" spans="1:1866" ht="20.100000000000001" customHeight="1" thickBot="1" x14ac:dyDescent="0.3">
      <c r="B96" s="51"/>
      <c r="C96" s="252"/>
      <c r="D96" s="253"/>
      <c r="E96" s="98" t="str">
        <f xml:space="preserve"> setValueToTime(E95)</f>
        <v>90h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73"/>
    </row>
    <row r="97" spans="2:1866" ht="20.100000000000001" customHeight="1" x14ac:dyDescent="0.25">
      <c r="B97" s="51"/>
      <c r="C97" s="246" t="s">
        <v>35</v>
      </c>
      <c r="D97" s="247"/>
      <c r="E97" s="93">
        <f>SUM(E16,E18,E20,E22,E24,E26,E28,E30,E32,E34,E36,E38,E40,E42,E44,E46,E48,E50,E52,E54,E56,E58,E60,E62,E64,E66,E68,E70,E72,E74,E76,E78,E80,E82,E84,E86,E88,E90,E92,E94)</f>
        <v>809</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9"/>
    </row>
    <row r="98" spans="2:1866" ht="20.100000000000001" customHeight="1" thickBot="1" x14ac:dyDescent="0.3">
      <c r="B98" s="51"/>
      <c r="C98" s="248"/>
      <c r="D98" s="249"/>
      <c r="E98" s="97" t="str">
        <f xml:space="preserve"> setValueToTime(E97)</f>
        <v>67h 25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73"/>
    </row>
    <row r="99" spans="2:18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4"/>
    </row>
  </sheetData>
  <sheetProtection insertRows="0" insertHyperlinks="0" selectLockedCells="1"/>
  <sortState xmlns:xlrd2="http://schemas.microsoft.com/office/spreadsheetml/2017/richdata2" ref="C15:C94">
    <sortCondition ref="C15:C94"/>
  </sortState>
  <mergeCells count="45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115" zoomScaleNormal="115" zoomScaleSheetLayoutView="98" workbookViewId="0">
      <pane ySplit="1" topLeftCell="A361"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60"/>
      <c r="G3" s="261"/>
      <c r="H3" s="151"/>
    </row>
    <row r="4" spans="1:8" s="43" customFormat="1" hidden="1" x14ac:dyDescent="0.3">
      <c r="B4" s="40"/>
      <c r="C4" s="41"/>
      <c r="D4" s="125"/>
      <c r="E4" s="42"/>
      <c r="F4" s="262"/>
      <c r="G4" s="263"/>
      <c r="H4" s="152"/>
    </row>
    <row r="5" spans="1:8" s="43" customFormat="1" hidden="1" x14ac:dyDescent="0.3">
      <c r="B5" s="44"/>
      <c r="C5" s="45"/>
      <c r="D5" s="126"/>
      <c r="E5" s="46"/>
      <c r="F5" s="254"/>
      <c r="G5" s="255"/>
      <c r="H5" s="152"/>
    </row>
    <row r="6" spans="1:8" s="43" customFormat="1" hidden="1" x14ac:dyDescent="0.3">
      <c r="B6" s="44"/>
      <c r="C6" s="45"/>
      <c r="D6" s="126"/>
      <c r="E6" s="46"/>
      <c r="F6" s="254"/>
      <c r="G6" s="255"/>
      <c r="H6" s="152"/>
    </row>
    <row r="7" spans="1:8" s="43" customFormat="1" hidden="1" x14ac:dyDescent="0.3">
      <c r="B7" s="44"/>
      <c r="C7" s="45"/>
      <c r="D7" s="126"/>
      <c r="E7" s="46"/>
      <c r="F7" s="254"/>
      <c r="G7" s="255"/>
      <c r="H7" s="152"/>
    </row>
    <row r="8" spans="1:8" s="43" customFormat="1" hidden="1" x14ac:dyDescent="0.3">
      <c r="B8" s="44"/>
      <c r="C8" s="45"/>
      <c r="D8" s="127"/>
      <c r="E8" s="46"/>
      <c r="F8" s="254"/>
      <c r="G8" s="255"/>
      <c r="H8" s="152"/>
    </row>
    <row r="9" spans="1:8" s="43" customFormat="1" hidden="1" x14ac:dyDescent="0.3">
      <c r="B9" s="44"/>
      <c r="C9" s="45"/>
      <c r="D9" s="127"/>
      <c r="E9" s="46"/>
      <c r="F9" s="254"/>
      <c r="G9" s="255"/>
      <c r="H9" s="152"/>
    </row>
    <row r="10" spans="1:8" s="43" customFormat="1" hidden="1" x14ac:dyDescent="0.3">
      <c r="B10" s="44"/>
      <c r="C10" s="45"/>
      <c r="D10" s="127"/>
      <c r="E10" s="46"/>
      <c r="F10" s="254"/>
      <c r="G10" s="255"/>
      <c r="H10" s="152"/>
    </row>
    <row r="11" spans="1:8" s="43" customFormat="1" ht="15" hidden="1" thickBot="1" x14ac:dyDescent="0.35">
      <c r="B11" s="44"/>
      <c r="C11" s="47"/>
      <c r="D11" s="128"/>
      <c r="E11" s="48"/>
      <c r="F11" s="256"/>
      <c r="G11" s="257"/>
      <c r="H11" s="152"/>
    </row>
    <row r="12" spans="1:8" s="43" customFormat="1" ht="15" hidden="1" thickBot="1" x14ac:dyDescent="0.35">
      <c r="B12" s="86"/>
      <c r="C12" s="67"/>
      <c r="D12" s="86"/>
      <c r="E12" s="95"/>
      <c r="F12" s="258"/>
      <c r="G12" s="259"/>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60"/>
      <c r="G15" s="261"/>
      <c r="H15" s="151"/>
    </row>
    <row r="16" spans="1:8" s="43" customFormat="1" hidden="1" x14ac:dyDescent="0.3">
      <c r="B16" s="40"/>
      <c r="C16" s="41"/>
      <c r="D16" s="125"/>
      <c r="E16" s="42"/>
      <c r="F16" s="262"/>
      <c r="G16" s="263"/>
      <c r="H16" s="152"/>
    </row>
    <row r="17" spans="2:8" s="43" customFormat="1" hidden="1" x14ac:dyDescent="0.3">
      <c r="B17" s="44"/>
      <c r="C17" s="45"/>
      <c r="D17" s="126"/>
      <c r="E17" s="46"/>
      <c r="F17" s="254"/>
      <c r="G17" s="255"/>
      <c r="H17" s="152"/>
    </row>
    <row r="18" spans="2:8" s="43" customFormat="1" hidden="1" x14ac:dyDescent="0.3">
      <c r="B18" s="44"/>
      <c r="C18" s="45"/>
      <c r="D18" s="126"/>
      <c r="E18" s="46"/>
      <c r="F18" s="254"/>
      <c r="G18" s="255"/>
      <c r="H18" s="152"/>
    </row>
    <row r="19" spans="2:8" s="43" customFormat="1" hidden="1" x14ac:dyDescent="0.3">
      <c r="B19" s="44"/>
      <c r="C19" s="45"/>
      <c r="D19" s="126"/>
      <c r="E19" s="46"/>
      <c r="F19" s="254"/>
      <c r="G19" s="255"/>
      <c r="H19" s="152"/>
    </row>
    <row r="20" spans="2:8" s="43" customFormat="1" hidden="1" x14ac:dyDescent="0.3">
      <c r="B20" s="44"/>
      <c r="C20" s="45"/>
      <c r="D20" s="127"/>
      <c r="E20" s="46"/>
      <c r="F20" s="254"/>
      <c r="G20" s="255"/>
      <c r="H20" s="152"/>
    </row>
    <row r="21" spans="2:8" s="43" customFormat="1" hidden="1" x14ac:dyDescent="0.3">
      <c r="B21" s="44"/>
      <c r="C21" s="45"/>
      <c r="D21" s="127"/>
      <c r="E21" s="46"/>
      <c r="F21" s="254"/>
      <c r="G21" s="255"/>
      <c r="H21" s="152"/>
    </row>
    <row r="22" spans="2:8" s="43" customFormat="1" hidden="1" x14ac:dyDescent="0.3">
      <c r="B22" s="44"/>
      <c r="C22" s="45"/>
      <c r="D22" s="127"/>
      <c r="E22" s="46"/>
      <c r="F22" s="254"/>
      <c r="G22" s="255"/>
      <c r="H22" s="152"/>
    </row>
    <row r="23" spans="2:8" s="43" customFormat="1" ht="15" hidden="1" thickBot="1" x14ac:dyDescent="0.35">
      <c r="B23" s="44"/>
      <c r="C23" s="47"/>
      <c r="D23" s="128"/>
      <c r="E23" s="48"/>
      <c r="F23" s="256"/>
      <c r="G23" s="257"/>
      <c r="H23" s="152"/>
    </row>
    <row r="24" spans="2:8" s="43" customFormat="1" ht="15" hidden="1" thickBot="1" x14ac:dyDescent="0.35">
      <c r="B24" s="86"/>
      <c r="C24" s="67"/>
      <c r="D24" s="86"/>
      <c r="E24" s="95"/>
      <c r="F24" s="258"/>
      <c r="G24" s="259"/>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60"/>
      <c r="G27" s="261"/>
      <c r="H27" s="151"/>
    </row>
    <row r="28" spans="2:8" s="43" customFormat="1" hidden="1" x14ac:dyDescent="0.3">
      <c r="B28" s="40"/>
      <c r="C28" s="41"/>
      <c r="D28" s="125"/>
      <c r="E28" s="42"/>
      <c r="F28" s="262"/>
      <c r="G28" s="263"/>
      <c r="H28" s="152"/>
    </row>
    <row r="29" spans="2:8" s="43" customFormat="1" hidden="1" x14ac:dyDescent="0.3">
      <c r="B29" s="44"/>
      <c r="C29" s="45"/>
      <c r="D29" s="126"/>
      <c r="E29" s="46"/>
      <c r="F29" s="254"/>
      <c r="G29" s="255"/>
      <c r="H29" s="152"/>
    </row>
    <row r="30" spans="2:8" s="43" customFormat="1" hidden="1" x14ac:dyDescent="0.3">
      <c r="B30" s="44"/>
      <c r="C30" s="45"/>
      <c r="D30" s="126"/>
      <c r="E30" s="46"/>
      <c r="F30" s="254"/>
      <c r="G30" s="255"/>
      <c r="H30" s="152"/>
    </row>
    <row r="31" spans="2:8" s="43" customFormat="1" hidden="1" x14ac:dyDescent="0.3">
      <c r="B31" s="44"/>
      <c r="C31" s="45"/>
      <c r="D31" s="126"/>
      <c r="E31" s="46"/>
      <c r="F31" s="254"/>
      <c r="G31" s="255"/>
      <c r="H31" s="152"/>
    </row>
    <row r="32" spans="2:8" s="43" customFormat="1" hidden="1" x14ac:dyDescent="0.3">
      <c r="B32" s="44"/>
      <c r="C32" s="45"/>
      <c r="D32" s="127"/>
      <c r="E32" s="46"/>
      <c r="F32" s="254"/>
      <c r="G32" s="255"/>
      <c r="H32" s="152"/>
    </row>
    <row r="33" spans="2:8" s="43" customFormat="1" hidden="1" x14ac:dyDescent="0.3">
      <c r="B33" s="44"/>
      <c r="C33" s="45"/>
      <c r="D33" s="127"/>
      <c r="E33" s="46"/>
      <c r="F33" s="254"/>
      <c r="G33" s="255"/>
      <c r="H33" s="152"/>
    </row>
    <row r="34" spans="2:8" s="43" customFormat="1" hidden="1" x14ac:dyDescent="0.3">
      <c r="B34" s="44"/>
      <c r="C34" s="45"/>
      <c r="D34" s="127"/>
      <c r="E34" s="46"/>
      <c r="F34" s="254"/>
      <c r="G34" s="255"/>
      <c r="H34" s="152"/>
    </row>
    <row r="35" spans="2:8" s="43" customFormat="1" ht="15" hidden="1" thickBot="1" x14ac:dyDescent="0.35">
      <c r="B35" s="44"/>
      <c r="C35" s="47"/>
      <c r="D35" s="128"/>
      <c r="E35" s="48"/>
      <c r="F35" s="256"/>
      <c r="G35" s="257"/>
      <c r="H35" s="152"/>
    </row>
    <row r="36" spans="2:8" s="43" customFormat="1" ht="15" hidden="1" thickBot="1" x14ac:dyDescent="0.35">
      <c r="B36" s="86"/>
      <c r="C36" s="67"/>
      <c r="D36" s="86"/>
      <c r="E36" s="95"/>
      <c r="F36" s="258"/>
      <c r="G36" s="259"/>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60" t="s">
        <v>41</v>
      </c>
      <c r="G39" s="261"/>
      <c r="H39" s="151"/>
    </row>
    <row r="40" spans="2:8" s="43" customFormat="1" x14ac:dyDescent="0.3">
      <c r="B40" s="44"/>
      <c r="C40" s="45"/>
      <c r="D40" s="126"/>
      <c r="E40" s="42"/>
      <c r="F40" s="262"/>
      <c r="G40" s="263"/>
      <c r="H40" s="152"/>
    </row>
    <row r="41" spans="2:8" s="43" customFormat="1" x14ac:dyDescent="0.3">
      <c r="B41" s="44" t="s">
        <v>109</v>
      </c>
      <c r="C41" s="45">
        <v>18</v>
      </c>
      <c r="D41" s="126" t="str">
        <f t="shared" ref="D41:D47" si="0" xml:space="preserve"> IF(C41="","",setValueToTime(C41))</f>
        <v>1h 30 min</v>
      </c>
      <c r="E41" s="194" t="s">
        <v>115</v>
      </c>
      <c r="F41" s="254"/>
      <c r="G41" s="255"/>
      <c r="H41" s="152"/>
    </row>
    <row r="42" spans="2:8" s="43" customFormat="1" x14ac:dyDescent="0.3">
      <c r="B42" s="44" t="s">
        <v>47</v>
      </c>
      <c r="C42" s="45">
        <v>18</v>
      </c>
      <c r="D42" s="126" t="str">
        <f t="shared" si="0"/>
        <v>1h 30 min</v>
      </c>
      <c r="E42" s="194" t="s">
        <v>115</v>
      </c>
      <c r="F42" s="254"/>
      <c r="G42" s="255"/>
      <c r="H42" s="152"/>
    </row>
    <row r="43" spans="2:8" s="43" customFormat="1" x14ac:dyDescent="0.3">
      <c r="B43" s="44"/>
      <c r="C43" s="45"/>
      <c r="D43" s="126" t="str">
        <f t="shared" si="0"/>
        <v/>
      </c>
      <c r="E43" s="46"/>
      <c r="F43" s="254"/>
      <c r="G43" s="255"/>
      <c r="H43" s="152"/>
    </row>
    <row r="44" spans="2:8" s="43" customFormat="1" x14ac:dyDescent="0.3">
      <c r="B44" s="44"/>
      <c r="C44" s="45"/>
      <c r="D44" s="127" t="str">
        <f t="shared" si="0"/>
        <v/>
      </c>
      <c r="E44" s="46"/>
      <c r="F44" s="254"/>
      <c r="G44" s="255"/>
      <c r="H44" s="152"/>
    </row>
    <row r="45" spans="2:8" s="43" customFormat="1" x14ac:dyDescent="0.3">
      <c r="B45" s="44"/>
      <c r="C45" s="45"/>
      <c r="D45" s="127" t="str">
        <f t="shared" si="0"/>
        <v/>
      </c>
      <c r="E45" s="46"/>
      <c r="F45" s="254"/>
      <c r="G45" s="255"/>
      <c r="H45" s="152"/>
    </row>
    <row r="46" spans="2:8" s="43" customFormat="1" x14ac:dyDescent="0.3">
      <c r="B46" s="44"/>
      <c r="C46" s="45"/>
      <c r="D46" s="127" t="str">
        <f t="shared" si="0"/>
        <v/>
      </c>
      <c r="E46" s="46"/>
      <c r="F46" s="254"/>
      <c r="G46" s="255"/>
      <c r="H46" s="152"/>
    </row>
    <row r="47" spans="2:8" s="43" customFormat="1" ht="15" thickBot="1" x14ac:dyDescent="0.35">
      <c r="B47" s="44"/>
      <c r="C47" s="47"/>
      <c r="D47" s="128" t="str">
        <f t="shared" si="0"/>
        <v/>
      </c>
      <c r="E47" s="48"/>
      <c r="F47" s="256"/>
      <c r="G47" s="257"/>
      <c r="H47" s="152"/>
    </row>
    <row r="48" spans="2:8" s="43" customFormat="1" ht="15" thickBot="1" x14ac:dyDescent="0.35">
      <c r="B48" s="86" t="s">
        <v>43</v>
      </c>
      <c r="C48" s="67">
        <f>SUM(C40:C47)</f>
        <v>36</v>
      </c>
      <c r="D48" s="86" t="str">
        <f xml:space="preserve"> setValueToTime(C48)</f>
        <v>3h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60" t="s">
        <v>41</v>
      </c>
      <c r="G51" s="261"/>
      <c r="H51" s="151"/>
    </row>
    <row r="52" spans="2:8" s="43" customFormat="1" x14ac:dyDescent="0.3">
      <c r="B52" s="44" t="s">
        <v>30</v>
      </c>
      <c r="C52" s="45">
        <v>2</v>
      </c>
      <c r="D52" s="126" t="str">
        <f t="shared" ref="D52" si="1" xml:space="preserve"> IF(C52="","",setValueToTime(C52))</f>
        <v xml:space="preserve"> 10 min</v>
      </c>
      <c r="E52" s="42"/>
      <c r="F52" s="262"/>
      <c r="G52" s="263"/>
      <c r="H52" s="152"/>
    </row>
    <row r="53" spans="2:8" s="43" customFormat="1" x14ac:dyDescent="0.3">
      <c r="B53" s="44" t="s">
        <v>31</v>
      </c>
      <c r="C53" s="45">
        <v>20</v>
      </c>
      <c r="D53" s="126" t="str">
        <f t="shared" ref="D53:D59" si="2" xml:space="preserve"> IF(C53="","",setValueToTime(C53))</f>
        <v>1h 40 min</v>
      </c>
      <c r="E53" s="194" t="s">
        <v>180</v>
      </c>
      <c r="F53" s="254"/>
      <c r="G53" s="255"/>
      <c r="H53" s="152"/>
    </row>
    <row r="54" spans="2:8" s="43" customFormat="1" x14ac:dyDescent="0.3">
      <c r="B54" s="44" t="s">
        <v>109</v>
      </c>
      <c r="C54" s="45">
        <v>20</v>
      </c>
      <c r="D54" s="126" t="str">
        <f t="shared" si="2"/>
        <v>1h 40 min</v>
      </c>
      <c r="E54" s="194" t="s">
        <v>181</v>
      </c>
      <c r="F54" s="254"/>
      <c r="G54" s="255"/>
      <c r="H54" s="152"/>
    </row>
    <row r="55" spans="2:8" s="43" customFormat="1" x14ac:dyDescent="0.3">
      <c r="B55" s="44"/>
      <c r="C55" s="45"/>
      <c r="D55" s="126" t="str">
        <f t="shared" si="2"/>
        <v/>
      </c>
      <c r="E55" s="46"/>
      <c r="F55" s="254"/>
      <c r="G55" s="255"/>
      <c r="H55" s="152"/>
    </row>
    <row r="56" spans="2:8" s="43" customFormat="1" x14ac:dyDescent="0.3">
      <c r="B56" s="44"/>
      <c r="C56" s="45"/>
      <c r="D56" s="127" t="str">
        <f t="shared" si="2"/>
        <v/>
      </c>
      <c r="E56" s="46"/>
      <c r="F56" s="254"/>
      <c r="G56" s="255"/>
      <c r="H56" s="152"/>
    </row>
    <row r="57" spans="2:8" s="43" customFormat="1" x14ac:dyDescent="0.3">
      <c r="B57" s="44"/>
      <c r="C57" s="45"/>
      <c r="D57" s="127" t="str">
        <f t="shared" si="2"/>
        <v/>
      </c>
      <c r="E57" s="46"/>
      <c r="F57" s="254"/>
      <c r="G57" s="255"/>
      <c r="H57" s="152"/>
    </row>
    <row r="58" spans="2:8" s="43" customFormat="1" x14ac:dyDescent="0.3">
      <c r="B58" s="44"/>
      <c r="C58" s="45"/>
      <c r="D58" s="127" t="str">
        <f t="shared" si="2"/>
        <v/>
      </c>
      <c r="E58" s="46"/>
      <c r="F58" s="254"/>
      <c r="G58" s="255"/>
      <c r="H58" s="152"/>
    </row>
    <row r="59" spans="2:8" s="43" customFormat="1" ht="15" thickBot="1" x14ac:dyDescent="0.35">
      <c r="B59" s="44"/>
      <c r="C59" s="47"/>
      <c r="D59" s="128" t="str">
        <f t="shared" si="2"/>
        <v/>
      </c>
      <c r="E59" s="48"/>
      <c r="F59" s="256"/>
      <c r="G59" s="257"/>
      <c r="H59" s="152"/>
    </row>
    <row r="60" spans="2:8" s="43" customFormat="1" ht="15" thickBot="1" x14ac:dyDescent="0.35">
      <c r="B60" s="86" t="s">
        <v>43</v>
      </c>
      <c r="C60" s="67">
        <f>SUM(C52:C59)</f>
        <v>42</v>
      </c>
      <c r="D60" s="86" t="str">
        <f xml:space="preserve"> setValueToTime(C60)</f>
        <v>3h 30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60" t="s">
        <v>41</v>
      </c>
      <c r="G63" s="261"/>
      <c r="H63" s="151"/>
    </row>
    <row r="64" spans="2:8" s="43" customFormat="1" x14ac:dyDescent="0.3">
      <c r="B64" s="44" t="s">
        <v>30</v>
      </c>
      <c r="C64" s="45">
        <v>2</v>
      </c>
      <c r="D64" s="126" t="str">
        <f t="shared" ref="D64" si="3" xml:space="preserve"> IF(C64="","",setValueToTime(C64))</f>
        <v xml:space="preserve"> 10 min</v>
      </c>
      <c r="E64" s="42"/>
      <c r="F64" s="262"/>
      <c r="G64" s="263"/>
      <c r="H64" s="152"/>
    </row>
    <row r="65" spans="2:8" s="43" customFormat="1" x14ac:dyDescent="0.3">
      <c r="B65" s="44" t="s">
        <v>165</v>
      </c>
      <c r="C65" s="45">
        <v>12</v>
      </c>
      <c r="D65" s="126" t="str">
        <f t="shared" ref="D65:D71" si="4" xml:space="preserve"> IF(C65="","",setValueToTime(C65))</f>
        <v>1h</v>
      </c>
      <c r="E65" s="194" t="s">
        <v>116</v>
      </c>
      <c r="F65" s="254"/>
      <c r="G65" s="255"/>
      <c r="H65" s="152"/>
    </row>
    <row r="66" spans="2:8" s="43" customFormat="1" x14ac:dyDescent="0.3">
      <c r="B66" s="44" t="s">
        <v>49</v>
      </c>
      <c r="C66" s="45">
        <v>6</v>
      </c>
      <c r="D66" s="126" t="str">
        <f t="shared" si="4"/>
        <v xml:space="preserve"> 30 min</v>
      </c>
      <c r="E66" s="194" t="s">
        <v>114</v>
      </c>
      <c r="F66" s="254"/>
      <c r="G66" s="255"/>
      <c r="H66" s="152"/>
    </row>
    <row r="67" spans="2:8" s="43" customFormat="1" x14ac:dyDescent="0.3">
      <c r="B67" s="44" t="s">
        <v>109</v>
      </c>
      <c r="C67" s="45">
        <v>16</v>
      </c>
      <c r="D67" s="126" t="str">
        <f t="shared" si="4"/>
        <v>1h 20 min</v>
      </c>
      <c r="E67" s="194" t="s">
        <v>182</v>
      </c>
      <c r="F67" s="254"/>
      <c r="G67" s="255"/>
      <c r="H67" s="152"/>
    </row>
    <row r="68" spans="2:8" s="43" customFormat="1" x14ac:dyDescent="0.3">
      <c r="B68" s="44"/>
      <c r="C68" s="45"/>
      <c r="D68" s="127" t="str">
        <f t="shared" si="4"/>
        <v/>
      </c>
      <c r="E68" s="46"/>
      <c r="F68" s="254"/>
      <c r="G68" s="255"/>
      <c r="H68" s="152"/>
    </row>
    <row r="69" spans="2:8" s="43" customFormat="1" x14ac:dyDescent="0.3">
      <c r="B69" s="44"/>
      <c r="C69" s="45"/>
      <c r="D69" s="127" t="str">
        <f t="shared" si="4"/>
        <v/>
      </c>
      <c r="E69" s="46"/>
      <c r="F69" s="254"/>
      <c r="G69" s="255"/>
      <c r="H69" s="152"/>
    </row>
    <row r="70" spans="2:8" s="43" customFormat="1" x14ac:dyDescent="0.3">
      <c r="B70" s="44"/>
      <c r="C70" s="45"/>
      <c r="D70" s="127" t="str">
        <f t="shared" si="4"/>
        <v/>
      </c>
      <c r="E70" s="46"/>
      <c r="F70" s="254"/>
      <c r="G70" s="255"/>
      <c r="H70" s="152"/>
    </row>
    <row r="71" spans="2:8" s="43" customFormat="1" ht="15" thickBot="1" x14ac:dyDescent="0.35">
      <c r="B71" s="44"/>
      <c r="C71" s="47"/>
      <c r="D71" s="128" t="str">
        <f t="shared" si="4"/>
        <v/>
      </c>
      <c r="E71" s="48"/>
      <c r="F71" s="256"/>
      <c r="G71" s="257"/>
      <c r="H71" s="152"/>
    </row>
    <row r="72" spans="2:8" s="43" customFormat="1" ht="15" thickBot="1" x14ac:dyDescent="0.35">
      <c r="B72" s="86" t="s">
        <v>43</v>
      </c>
      <c r="C72" s="67">
        <f>SUM(C64:C71)</f>
        <v>36</v>
      </c>
      <c r="D72" s="86" t="str">
        <f xml:space="preserve"> setValueToTime(C72)</f>
        <v>3h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60" t="s">
        <v>41</v>
      </c>
      <c r="G75" s="261"/>
      <c r="H75" s="151"/>
    </row>
    <row r="76" spans="2:8" s="43" customFormat="1" x14ac:dyDescent="0.3">
      <c r="B76" s="44" t="s">
        <v>30</v>
      </c>
      <c r="C76" s="45">
        <v>2</v>
      </c>
      <c r="D76" s="126" t="str">
        <f t="shared" ref="D76" si="5" xml:space="preserve"> IF(C76="","",setValueToTime(C76))</f>
        <v xml:space="preserve"> 10 min</v>
      </c>
      <c r="E76" s="42"/>
      <c r="F76" s="262"/>
      <c r="G76" s="263"/>
      <c r="H76" s="152"/>
    </row>
    <row r="77" spans="2:8" s="43" customFormat="1" x14ac:dyDescent="0.3">
      <c r="B77" s="44" t="s">
        <v>31</v>
      </c>
      <c r="C77" s="45">
        <v>24</v>
      </c>
      <c r="D77" s="126" t="str">
        <f t="shared" ref="D77:D83" si="6" xml:space="preserve"> IF(C77="","",setValueToTime(C77))</f>
        <v>2h</v>
      </c>
      <c r="E77" s="194" t="s">
        <v>117</v>
      </c>
      <c r="F77" s="254"/>
      <c r="G77" s="255"/>
      <c r="H77" s="152"/>
    </row>
    <row r="78" spans="2:8" s="43" customFormat="1" x14ac:dyDescent="0.3">
      <c r="B78" s="44" t="s">
        <v>165</v>
      </c>
      <c r="C78" s="45">
        <v>16</v>
      </c>
      <c r="D78" s="126" t="str">
        <f t="shared" si="6"/>
        <v>1h 20 min</v>
      </c>
      <c r="E78" s="194" t="s">
        <v>116</v>
      </c>
      <c r="F78" s="254"/>
      <c r="G78" s="255"/>
      <c r="H78" s="152"/>
    </row>
    <row r="79" spans="2:8" s="43" customFormat="1" x14ac:dyDescent="0.3">
      <c r="B79" s="44"/>
      <c r="C79" s="45"/>
      <c r="D79" s="126" t="str">
        <f t="shared" si="6"/>
        <v/>
      </c>
      <c r="E79" s="46"/>
      <c r="F79" s="254"/>
      <c r="G79" s="255"/>
      <c r="H79" s="152"/>
    </row>
    <row r="80" spans="2:8" s="43" customFormat="1" x14ac:dyDescent="0.3">
      <c r="B80" s="44"/>
      <c r="C80" s="45"/>
      <c r="D80" s="127" t="str">
        <f t="shared" si="6"/>
        <v/>
      </c>
      <c r="E80" s="46"/>
      <c r="F80" s="254"/>
      <c r="G80" s="255"/>
      <c r="H80" s="152"/>
    </row>
    <row r="81" spans="2:8" s="43" customFormat="1" x14ac:dyDescent="0.3">
      <c r="B81" s="44"/>
      <c r="C81" s="45"/>
      <c r="D81" s="127" t="str">
        <f t="shared" si="6"/>
        <v/>
      </c>
      <c r="E81" s="46"/>
      <c r="F81" s="254"/>
      <c r="G81" s="255"/>
      <c r="H81" s="152"/>
    </row>
    <row r="82" spans="2:8" s="43" customFormat="1" x14ac:dyDescent="0.3">
      <c r="B82" s="44"/>
      <c r="C82" s="45"/>
      <c r="D82" s="127" t="str">
        <f t="shared" si="6"/>
        <v/>
      </c>
      <c r="E82" s="46"/>
      <c r="F82" s="254"/>
      <c r="G82" s="255"/>
      <c r="H82" s="152"/>
    </row>
    <row r="83" spans="2:8" s="43" customFormat="1" ht="15" thickBot="1" x14ac:dyDescent="0.35">
      <c r="B83" s="44"/>
      <c r="C83" s="47"/>
      <c r="D83" s="128" t="str">
        <f t="shared" si="6"/>
        <v/>
      </c>
      <c r="E83" s="48"/>
      <c r="F83" s="256"/>
      <c r="G83" s="257"/>
      <c r="H83" s="152"/>
    </row>
    <row r="84" spans="2:8" s="43" customFormat="1" ht="15" thickBot="1" x14ac:dyDescent="0.35">
      <c r="B84" s="86" t="s">
        <v>43</v>
      </c>
      <c r="C84" s="67">
        <f>SUM(C76:C83)</f>
        <v>42</v>
      </c>
      <c r="D84" s="86" t="str">
        <f xml:space="preserve"> setValueToTime(C84)</f>
        <v>3h 30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60" t="s">
        <v>41</v>
      </c>
      <c r="G87" s="261"/>
      <c r="H87" s="151"/>
    </row>
    <row r="88" spans="2:8" s="43" customFormat="1" x14ac:dyDescent="0.3">
      <c r="B88" s="44" t="s">
        <v>30</v>
      </c>
      <c r="C88" s="45">
        <v>2</v>
      </c>
      <c r="D88" s="126" t="str">
        <f t="shared" ref="D88" si="7" xml:space="preserve"> IF(C88="","",setValueToTime(C88))</f>
        <v xml:space="preserve"> 10 min</v>
      </c>
      <c r="E88" s="42"/>
      <c r="F88" s="262"/>
      <c r="G88" s="263"/>
      <c r="H88" s="152"/>
    </row>
    <row r="89" spans="2:8" s="43" customFormat="1" x14ac:dyDescent="0.3">
      <c r="B89" s="44" t="s">
        <v>31</v>
      </c>
      <c r="C89" s="45">
        <v>25</v>
      </c>
      <c r="D89" s="126" t="str">
        <f t="shared" ref="D89:D95" si="8" xml:space="preserve"> IF(C89="","",setValueToTime(C89))</f>
        <v>2h 5 min</v>
      </c>
      <c r="E89" s="194" t="s">
        <v>183</v>
      </c>
      <c r="F89" s="254"/>
      <c r="G89" s="255"/>
      <c r="H89" s="152"/>
    </row>
    <row r="90" spans="2:8" s="43" customFormat="1" x14ac:dyDescent="0.3">
      <c r="B90" s="44" t="s">
        <v>109</v>
      </c>
      <c r="C90" s="45">
        <v>25</v>
      </c>
      <c r="D90" s="126" t="str">
        <f t="shared" si="8"/>
        <v>2h 5 min</v>
      </c>
      <c r="E90" s="46" t="s">
        <v>184</v>
      </c>
      <c r="F90" s="254"/>
      <c r="G90" s="255"/>
      <c r="H90" s="152"/>
    </row>
    <row r="91" spans="2:8" s="43" customFormat="1" x14ac:dyDescent="0.3">
      <c r="B91" s="44"/>
      <c r="C91" s="45"/>
      <c r="D91" s="126" t="str">
        <f t="shared" si="8"/>
        <v/>
      </c>
      <c r="E91" s="46"/>
      <c r="F91" s="254"/>
      <c r="G91" s="255"/>
      <c r="H91" s="152"/>
    </row>
    <row r="92" spans="2:8" s="43" customFormat="1" x14ac:dyDescent="0.3">
      <c r="B92" s="44"/>
      <c r="C92" s="45"/>
      <c r="D92" s="127" t="str">
        <f t="shared" si="8"/>
        <v/>
      </c>
      <c r="E92" s="46"/>
      <c r="F92" s="254"/>
      <c r="G92" s="255"/>
      <c r="H92" s="152"/>
    </row>
    <row r="93" spans="2:8" s="43" customFormat="1" x14ac:dyDescent="0.3">
      <c r="B93" s="44"/>
      <c r="C93" s="45"/>
      <c r="D93" s="127" t="str">
        <f t="shared" si="8"/>
        <v/>
      </c>
      <c r="E93" s="46"/>
      <c r="F93" s="254"/>
      <c r="G93" s="255"/>
      <c r="H93" s="152"/>
    </row>
    <row r="94" spans="2:8" s="43" customFormat="1" x14ac:dyDescent="0.3">
      <c r="B94" s="44"/>
      <c r="C94" s="45"/>
      <c r="D94" s="127" t="str">
        <f t="shared" si="8"/>
        <v/>
      </c>
      <c r="E94" s="46"/>
      <c r="F94" s="254"/>
      <c r="G94" s="255"/>
      <c r="H94" s="152"/>
    </row>
    <row r="95" spans="2:8" s="43" customFormat="1" ht="15" thickBot="1" x14ac:dyDescent="0.35">
      <c r="B95" s="44"/>
      <c r="C95" s="47"/>
      <c r="D95" s="128" t="str">
        <f t="shared" si="8"/>
        <v/>
      </c>
      <c r="E95" s="48"/>
      <c r="F95" s="256"/>
      <c r="G95" s="257"/>
      <c r="H95" s="152"/>
    </row>
    <row r="96" spans="2:8" s="43" customFormat="1" ht="15" thickBot="1" x14ac:dyDescent="0.35">
      <c r="B96" s="86" t="s">
        <v>43</v>
      </c>
      <c r="C96" s="67">
        <f>SUM(C88:C95)</f>
        <v>52</v>
      </c>
      <c r="D96" s="86" t="str">
        <f xml:space="preserve"> setValueToTime(C96)</f>
        <v>4h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60" t="s">
        <v>41</v>
      </c>
      <c r="G99" s="261"/>
      <c r="H99" s="151"/>
    </row>
    <row r="100" spans="2:8" s="43" customFormat="1" x14ac:dyDescent="0.3">
      <c r="B100" s="44" t="s">
        <v>30</v>
      </c>
      <c r="C100" s="45">
        <v>2</v>
      </c>
      <c r="D100" s="126" t="str">
        <f t="shared" ref="D100" si="9" xml:space="preserve"> IF(C100="","",setValueToTime(C100))</f>
        <v xml:space="preserve"> 10 min</v>
      </c>
      <c r="E100" s="42"/>
      <c r="F100" s="262"/>
      <c r="G100" s="263"/>
      <c r="H100" s="152"/>
    </row>
    <row r="101" spans="2:8" s="43" customFormat="1" x14ac:dyDescent="0.3">
      <c r="B101" s="44" t="s">
        <v>33</v>
      </c>
      <c r="C101" s="45">
        <v>20</v>
      </c>
      <c r="D101" s="126" t="str">
        <f t="shared" ref="D101:D107" si="10" xml:space="preserve"> IF(C101="","",setValueToTime(C101))</f>
        <v>1h 40 min</v>
      </c>
      <c r="E101" s="194" t="s">
        <v>113</v>
      </c>
      <c r="F101" s="254"/>
      <c r="G101" s="255"/>
      <c r="H101" s="152"/>
    </row>
    <row r="102" spans="2:8" s="43" customFormat="1" x14ac:dyDescent="0.3">
      <c r="B102" s="44" t="s">
        <v>109</v>
      </c>
      <c r="C102" s="45">
        <v>20</v>
      </c>
      <c r="D102" s="126" t="str">
        <f t="shared" si="10"/>
        <v>1h 40 min</v>
      </c>
      <c r="E102" s="46" t="s">
        <v>157</v>
      </c>
      <c r="F102" s="254"/>
      <c r="G102" s="255"/>
      <c r="H102" s="152"/>
    </row>
    <row r="103" spans="2:8" s="43" customFormat="1" x14ac:dyDescent="0.3">
      <c r="B103" s="44"/>
      <c r="C103" s="45"/>
      <c r="D103" s="126" t="str">
        <f t="shared" si="10"/>
        <v/>
      </c>
      <c r="E103" s="46"/>
      <c r="F103" s="254"/>
      <c r="G103" s="255"/>
      <c r="H103" s="152"/>
    </row>
    <row r="104" spans="2:8" s="43" customFormat="1" x14ac:dyDescent="0.3">
      <c r="B104" s="44"/>
      <c r="C104" s="45"/>
      <c r="D104" s="127" t="str">
        <f t="shared" si="10"/>
        <v/>
      </c>
      <c r="E104" s="46"/>
      <c r="F104" s="254"/>
      <c r="G104" s="255"/>
      <c r="H104" s="152"/>
    </row>
    <row r="105" spans="2:8" s="43" customFormat="1" x14ac:dyDescent="0.3">
      <c r="B105" s="44"/>
      <c r="C105" s="45"/>
      <c r="D105" s="127" t="str">
        <f t="shared" si="10"/>
        <v/>
      </c>
      <c r="E105" s="46"/>
      <c r="F105" s="254"/>
      <c r="G105" s="255"/>
      <c r="H105" s="152"/>
    </row>
    <row r="106" spans="2:8" s="43" customFormat="1" x14ac:dyDescent="0.3">
      <c r="B106" s="44"/>
      <c r="C106" s="45"/>
      <c r="D106" s="127" t="str">
        <f t="shared" si="10"/>
        <v/>
      </c>
      <c r="E106" s="46"/>
      <c r="F106" s="254"/>
      <c r="G106" s="255"/>
      <c r="H106" s="152"/>
    </row>
    <row r="107" spans="2:8" s="43" customFormat="1" ht="15" thickBot="1" x14ac:dyDescent="0.35">
      <c r="B107" s="44"/>
      <c r="C107" s="47"/>
      <c r="D107" s="128" t="str">
        <f t="shared" si="10"/>
        <v/>
      </c>
      <c r="E107" s="48"/>
      <c r="F107" s="256"/>
      <c r="G107" s="257"/>
      <c r="H107" s="152"/>
    </row>
    <row r="108" spans="2:8" s="43" customFormat="1" ht="15" thickBot="1" x14ac:dyDescent="0.35">
      <c r="B108" s="86" t="s">
        <v>43</v>
      </c>
      <c r="C108" s="67">
        <f>SUM(C100:C107)</f>
        <v>42</v>
      </c>
      <c r="D108" s="86" t="str">
        <f xml:space="preserve"> setValueToTime(C108)</f>
        <v>3h 30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60" t="s">
        <v>41</v>
      </c>
      <c r="G111" s="261"/>
      <c r="H111" s="151"/>
    </row>
    <row r="112" spans="2:8" s="43" customFormat="1" x14ac:dyDescent="0.3">
      <c r="B112" s="44" t="s">
        <v>30</v>
      </c>
      <c r="C112" s="45">
        <v>2</v>
      </c>
      <c r="D112" s="126" t="str">
        <f t="shared" ref="D112" si="11" xml:space="preserve"> IF(C112="","",setValueToTime(C112))</f>
        <v xml:space="preserve"> 10 min</v>
      </c>
      <c r="E112" s="42"/>
      <c r="F112" s="262"/>
      <c r="G112" s="263"/>
      <c r="H112" s="152"/>
    </row>
    <row r="113" spans="2:8" s="43" customFormat="1" x14ac:dyDescent="0.3">
      <c r="B113" s="44" t="s">
        <v>33</v>
      </c>
      <c r="C113" s="45">
        <v>25</v>
      </c>
      <c r="D113" s="126" t="str">
        <f t="shared" ref="D113:D119" si="12" xml:space="preserve"> IF(C113="","",setValueToTime(C113))</f>
        <v>2h 5 min</v>
      </c>
      <c r="E113" s="194" t="s">
        <v>112</v>
      </c>
      <c r="F113" s="254"/>
      <c r="G113" s="255"/>
      <c r="H113" s="152"/>
    </row>
    <row r="114" spans="2:8" s="43" customFormat="1" x14ac:dyDescent="0.3">
      <c r="B114" s="44"/>
      <c r="C114" s="45"/>
      <c r="D114" s="126" t="str">
        <f t="shared" si="12"/>
        <v/>
      </c>
      <c r="E114" s="46"/>
      <c r="F114" s="254"/>
      <c r="G114" s="255"/>
      <c r="H114" s="152"/>
    </row>
    <row r="115" spans="2:8" s="43" customFormat="1" x14ac:dyDescent="0.3">
      <c r="B115" s="44"/>
      <c r="C115" s="45"/>
      <c r="D115" s="126" t="str">
        <f t="shared" si="12"/>
        <v/>
      </c>
      <c r="E115" s="46"/>
      <c r="F115" s="254"/>
      <c r="G115" s="255"/>
      <c r="H115" s="152"/>
    </row>
    <row r="116" spans="2:8" s="43" customFormat="1" x14ac:dyDescent="0.3">
      <c r="B116" s="44"/>
      <c r="C116" s="45"/>
      <c r="D116" s="127" t="str">
        <f t="shared" si="12"/>
        <v/>
      </c>
      <c r="E116" s="46"/>
      <c r="F116" s="254"/>
      <c r="G116" s="255"/>
      <c r="H116" s="152"/>
    </row>
    <row r="117" spans="2:8" s="43" customFormat="1" x14ac:dyDescent="0.3">
      <c r="B117" s="44"/>
      <c r="C117" s="45"/>
      <c r="D117" s="127" t="str">
        <f t="shared" si="12"/>
        <v/>
      </c>
      <c r="E117" s="46"/>
      <c r="F117" s="254"/>
      <c r="G117" s="255"/>
      <c r="H117" s="152"/>
    </row>
    <row r="118" spans="2:8" s="43" customFormat="1" x14ac:dyDescent="0.3">
      <c r="B118" s="44"/>
      <c r="C118" s="45"/>
      <c r="D118" s="127" t="str">
        <f t="shared" si="12"/>
        <v/>
      </c>
      <c r="E118" s="46"/>
      <c r="F118" s="254"/>
      <c r="G118" s="255"/>
      <c r="H118" s="152"/>
    </row>
    <row r="119" spans="2:8" s="43" customFormat="1" ht="15" thickBot="1" x14ac:dyDescent="0.35">
      <c r="B119" s="44"/>
      <c r="C119" s="47"/>
      <c r="D119" s="128" t="str">
        <f t="shared" si="12"/>
        <v/>
      </c>
      <c r="E119" s="48"/>
      <c r="F119" s="256"/>
      <c r="G119" s="257"/>
      <c r="H119" s="152"/>
    </row>
    <row r="120" spans="2:8" s="43" customFormat="1" ht="15" thickBot="1" x14ac:dyDescent="0.35">
      <c r="B120" s="86" t="s">
        <v>43</v>
      </c>
      <c r="C120" s="67">
        <f>SUM(C112:C119)</f>
        <v>27</v>
      </c>
      <c r="D120" s="86" t="str">
        <f xml:space="preserve"> setValueToTime(C120)</f>
        <v>2h 15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60" t="s">
        <v>41</v>
      </c>
      <c r="G123" s="261"/>
      <c r="H123" s="151"/>
    </row>
    <row r="124" spans="2:8" s="43" customFormat="1" x14ac:dyDescent="0.3">
      <c r="B124" s="44" t="s">
        <v>30</v>
      </c>
      <c r="C124" s="45">
        <v>2</v>
      </c>
      <c r="D124" s="126" t="str">
        <f t="shared" ref="D124" si="13" xml:space="preserve"> IF(C124="","",setValueToTime(C124))</f>
        <v xml:space="preserve"> 10 min</v>
      </c>
      <c r="E124" s="42"/>
      <c r="F124" s="262"/>
      <c r="G124" s="263"/>
      <c r="H124" s="152"/>
    </row>
    <row r="125" spans="2:8" s="43" customFormat="1" x14ac:dyDescent="0.3">
      <c r="B125" s="44" t="s">
        <v>165</v>
      </c>
      <c r="C125" s="45">
        <v>14</v>
      </c>
      <c r="D125" s="126" t="str">
        <f t="shared" ref="D125:D131" si="14" xml:space="preserve"> IF(C125="","",setValueToTime(C125))</f>
        <v>1h 10 min</v>
      </c>
      <c r="E125" s="194" t="s">
        <v>110</v>
      </c>
      <c r="F125" s="254"/>
      <c r="G125" s="255"/>
      <c r="H125" s="152"/>
    </row>
    <row r="126" spans="2:8" s="43" customFormat="1" x14ac:dyDescent="0.3">
      <c r="B126" s="44" t="s">
        <v>33</v>
      </c>
      <c r="C126" s="45">
        <v>20</v>
      </c>
      <c r="D126" s="126" t="str">
        <f t="shared" si="14"/>
        <v>1h 40 min</v>
      </c>
      <c r="E126" s="194" t="s">
        <v>111</v>
      </c>
      <c r="F126" s="254"/>
      <c r="G126" s="255"/>
      <c r="H126" s="152"/>
    </row>
    <row r="127" spans="2:8" s="43" customFormat="1" x14ac:dyDescent="0.3">
      <c r="B127" s="44" t="s">
        <v>109</v>
      </c>
      <c r="C127" s="45">
        <v>6</v>
      </c>
      <c r="D127" s="126" t="str">
        <f t="shared" si="14"/>
        <v xml:space="preserve"> 30 min</v>
      </c>
      <c r="E127" s="46" t="s">
        <v>185</v>
      </c>
      <c r="F127" s="254"/>
      <c r="G127" s="255"/>
      <c r="H127" s="152"/>
    </row>
    <row r="128" spans="2:8" s="43" customFormat="1" x14ac:dyDescent="0.3">
      <c r="B128" s="44"/>
      <c r="C128" s="45"/>
      <c r="D128" s="127" t="str">
        <f t="shared" si="14"/>
        <v/>
      </c>
      <c r="E128" s="46"/>
      <c r="F128" s="254"/>
      <c r="G128" s="255"/>
      <c r="H128" s="152"/>
    </row>
    <row r="129" spans="2:8" s="43" customFormat="1" x14ac:dyDescent="0.3">
      <c r="B129" s="44"/>
      <c r="C129" s="45"/>
      <c r="D129" s="127" t="str">
        <f t="shared" si="14"/>
        <v/>
      </c>
      <c r="E129" s="46"/>
      <c r="F129" s="254"/>
      <c r="G129" s="255"/>
      <c r="H129" s="152"/>
    </row>
    <row r="130" spans="2:8" s="43" customFormat="1" x14ac:dyDescent="0.3">
      <c r="B130" s="44"/>
      <c r="C130" s="45"/>
      <c r="D130" s="127" t="str">
        <f t="shared" si="14"/>
        <v/>
      </c>
      <c r="E130" s="46"/>
      <c r="F130" s="254"/>
      <c r="G130" s="255"/>
      <c r="H130" s="152"/>
    </row>
    <row r="131" spans="2:8" s="43" customFormat="1" ht="15" thickBot="1" x14ac:dyDescent="0.35">
      <c r="B131" s="44"/>
      <c r="C131" s="47"/>
      <c r="D131" s="128" t="str">
        <f t="shared" si="14"/>
        <v/>
      </c>
      <c r="E131" s="48"/>
      <c r="F131" s="256"/>
      <c r="G131" s="257"/>
      <c r="H131" s="152"/>
    </row>
    <row r="132" spans="2:8" s="43" customFormat="1" ht="15" thickBot="1" x14ac:dyDescent="0.35">
      <c r="B132" s="86" t="s">
        <v>43</v>
      </c>
      <c r="C132" s="67">
        <f>SUM(C124:C131)</f>
        <v>42</v>
      </c>
      <c r="D132" s="86" t="str">
        <f xml:space="preserve"> setValueToTime(C132)</f>
        <v>3h 30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161</v>
      </c>
      <c r="C140" s="45">
        <v>10</v>
      </c>
      <c r="D140" s="126" t="str">
        <f t="shared" si="16"/>
        <v xml:space="preserve"> 50 min</v>
      </c>
      <c r="E140" s="194" t="s">
        <v>105</v>
      </c>
      <c r="F140" s="153"/>
      <c r="G140" s="154"/>
      <c r="H140" s="152"/>
    </row>
    <row r="141" spans="2:8" s="43" customFormat="1" x14ac:dyDescent="0.3">
      <c r="B141" s="44" t="s">
        <v>165</v>
      </c>
      <c r="C141" s="45">
        <v>8</v>
      </c>
      <c r="D141" s="126" t="str">
        <f t="shared" si="16"/>
        <v xml:space="preserve"> 40 min</v>
      </c>
      <c r="E141" s="194" t="s">
        <v>186</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161</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165</v>
      </c>
      <c r="C151" s="45">
        <v>10</v>
      </c>
      <c r="D151" s="126" t="str">
        <f t="shared" si="18"/>
        <v xml:space="preserve"> 50 min</v>
      </c>
      <c r="E151" s="194" t="s">
        <v>186</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161</v>
      </c>
      <c r="C161" s="45">
        <v>24</v>
      </c>
      <c r="D161" s="126" t="str">
        <f t="shared" ref="D161:D167" si="20" xml:space="preserve"> IF(C161="","",setValueToTime(C161))</f>
        <v>2h</v>
      </c>
      <c r="E161" s="194" t="s">
        <v>103</v>
      </c>
      <c r="F161" s="153"/>
      <c r="G161" s="154"/>
      <c r="H161" s="152"/>
    </row>
    <row r="162" spans="2:8" s="43" customFormat="1" x14ac:dyDescent="0.3">
      <c r="B162" s="44" t="s">
        <v>165</v>
      </c>
      <c r="C162" s="45">
        <v>8</v>
      </c>
      <c r="D162" s="126" t="str">
        <f t="shared" si="20"/>
        <v xml:space="preserve"> 40 min</v>
      </c>
      <c r="E162" s="194" t="s">
        <v>186</v>
      </c>
      <c r="F162" s="153"/>
      <c r="G162" s="154"/>
      <c r="H162" s="152"/>
    </row>
    <row r="163" spans="2:8" s="43" customFormat="1" x14ac:dyDescent="0.3">
      <c r="B163" s="44" t="s">
        <v>160</v>
      </c>
      <c r="C163" s="45">
        <v>8</v>
      </c>
      <c r="D163" s="126" t="str">
        <f t="shared" si="20"/>
        <v xml:space="preserve"> 40 min</v>
      </c>
      <c r="E163" s="194" t="s">
        <v>172</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160</v>
      </c>
      <c r="C173" s="45">
        <v>26</v>
      </c>
      <c r="D173" s="126" t="str">
        <f t="shared" ref="D173:D179" si="22" xml:space="preserve"> IF(C173="","",setValueToTime(C173))</f>
        <v>2h 10 min</v>
      </c>
      <c r="E173" s="194" t="s">
        <v>101</v>
      </c>
      <c r="F173" s="153"/>
      <c r="G173" s="154"/>
      <c r="H173" s="152"/>
    </row>
    <row r="174" spans="2:8" s="43" customFormat="1" x14ac:dyDescent="0.3">
      <c r="B174" s="44" t="s">
        <v>165</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164</v>
      </c>
      <c r="C185" s="45">
        <v>24</v>
      </c>
      <c r="D185" s="126" t="str">
        <f t="shared" ref="D185:D191" si="24" xml:space="preserve"> IF(C185="","",setValueToTime(C185))</f>
        <v>2h</v>
      </c>
      <c r="E185" s="194" t="s">
        <v>100</v>
      </c>
      <c r="F185" s="153"/>
      <c r="G185" s="154"/>
      <c r="H185" s="152"/>
    </row>
    <row r="186" spans="2:8" s="43" customFormat="1" x14ac:dyDescent="0.3">
      <c r="B186" s="44" t="s">
        <v>165</v>
      </c>
      <c r="C186" s="45">
        <v>10</v>
      </c>
      <c r="D186" s="126" t="str">
        <f xml:space="preserve"> IF(C186="","",setValueToTime(C186))</f>
        <v xml:space="preserve"> 50 min</v>
      </c>
      <c r="E186" s="194" t="s">
        <v>156</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161</v>
      </c>
      <c r="C197" s="45">
        <v>24</v>
      </c>
      <c r="D197" s="126" t="str">
        <f xml:space="preserve"> IF(C197="","",setValueToTime(C197))</f>
        <v>2h</v>
      </c>
      <c r="E197" s="194" t="s">
        <v>155</v>
      </c>
      <c r="F197" s="153"/>
      <c r="G197" s="154"/>
      <c r="H197" s="152"/>
    </row>
    <row r="198" spans="2:8" s="43" customFormat="1" x14ac:dyDescent="0.3">
      <c r="B198" s="44" t="s">
        <v>201</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x14ac:dyDescent="0.3">
      <c r="B209" s="44" t="s">
        <v>201</v>
      </c>
      <c r="C209" s="45">
        <v>10</v>
      </c>
      <c r="D209" s="126" t="str">
        <f t="shared" si="27"/>
        <v xml:space="preserve"> 50 min</v>
      </c>
      <c r="E209" s="194" t="s">
        <v>95</v>
      </c>
      <c r="F209" s="153"/>
      <c r="G209" s="154"/>
      <c r="H209" s="152"/>
    </row>
    <row r="210" spans="2:8" s="43" customFormat="1" ht="27" x14ac:dyDescent="0.3">
      <c r="B210" s="44" t="s">
        <v>161</v>
      </c>
      <c r="C210" s="45">
        <v>9</v>
      </c>
      <c r="D210" s="126" t="str">
        <f t="shared" ref="D210:D215" si="28" xml:space="preserve"> IF(C210="","",setValueToTime(C210))</f>
        <v xml:space="preserve"> 45 min</v>
      </c>
      <c r="E210" s="194" t="s">
        <v>96</v>
      </c>
      <c r="F210" s="153"/>
      <c r="G210" s="154"/>
      <c r="H210" s="152"/>
    </row>
    <row r="211" spans="2:8" s="43" customFormat="1" x14ac:dyDescent="0.3">
      <c r="B211" s="44" t="s">
        <v>166</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60" t="s">
        <v>41</v>
      </c>
      <c r="G219" s="261"/>
      <c r="H219" s="151"/>
    </row>
    <row r="220" spans="2:8" s="43" customFormat="1" x14ac:dyDescent="0.3">
      <c r="B220" s="44" t="s">
        <v>30</v>
      </c>
      <c r="C220" s="45">
        <v>2</v>
      </c>
      <c r="D220" s="126" t="str">
        <f t="shared" ref="D220:D221" si="29" xml:space="preserve"> IF(C220="","",setValueToTime(C220))</f>
        <v xml:space="preserve"> 10 min</v>
      </c>
      <c r="E220" s="42"/>
      <c r="F220" s="262"/>
      <c r="G220" s="263"/>
      <c r="H220" s="152"/>
    </row>
    <row r="221" spans="2:8" s="43" customFormat="1" x14ac:dyDescent="0.3">
      <c r="B221" s="44" t="s">
        <v>201</v>
      </c>
      <c r="C221" s="45">
        <v>8</v>
      </c>
      <c r="D221" s="126" t="str">
        <f t="shared" si="29"/>
        <v xml:space="preserve"> 40 min</v>
      </c>
      <c r="E221" s="194" t="s">
        <v>95</v>
      </c>
      <c r="F221" s="254"/>
      <c r="G221" s="255"/>
      <c r="H221" s="152"/>
    </row>
    <row r="222" spans="2:8" s="43" customFormat="1" ht="27" x14ac:dyDescent="0.3">
      <c r="B222" s="44" t="s">
        <v>161</v>
      </c>
      <c r="C222" s="45">
        <v>8</v>
      </c>
      <c r="D222" s="126" t="str">
        <f t="shared" ref="D222:D227" si="30" xml:space="preserve"> IF(C222="","",setValueToTime(C222))</f>
        <v xml:space="preserve"> 40 min</v>
      </c>
      <c r="E222" s="194" t="s">
        <v>96</v>
      </c>
      <c r="F222" s="254"/>
      <c r="G222" s="255"/>
      <c r="H222" s="152"/>
    </row>
    <row r="223" spans="2:8" s="43" customFormat="1" x14ac:dyDescent="0.3">
      <c r="B223" s="44" t="s">
        <v>29</v>
      </c>
      <c r="C223" s="45">
        <v>7</v>
      </c>
      <c r="D223" s="126" t="str">
        <f t="shared" si="30"/>
        <v xml:space="preserve"> 35 min</v>
      </c>
      <c r="E223" s="194" t="s">
        <v>97</v>
      </c>
      <c r="F223" s="254"/>
      <c r="G223" s="255"/>
      <c r="H223" s="152"/>
    </row>
    <row r="224" spans="2:8" s="43" customFormat="1" x14ac:dyDescent="0.3">
      <c r="B224" s="44" t="s">
        <v>167</v>
      </c>
      <c r="C224" s="45">
        <v>17</v>
      </c>
      <c r="D224" s="127" t="str">
        <f t="shared" si="30"/>
        <v>1h 25 min</v>
      </c>
      <c r="E224" s="46" t="s">
        <v>154</v>
      </c>
      <c r="F224" s="254"/>
      <c r="G224" s="255"/>
      <c r="H224" s="152"/>
    </row>
    <row r="225" spans="2:8" s="43" customFormat="1" x14ac:dyDescent="0.3">
      <c r="B225" s="44"/>
      <c r="C225" s="45"/>
      <c r="D225" s="127" t="str">
        <f t="shared" si="30"/>
        <v/>
      </c>
      <c r="E225" s="46"/>
      <c r="F225" s="254"/>
      <c r="G225" s="255"/>
      <c r="H225" s="152"/>
    </row>
    <row r="226" spans="2:8" s="43" customFormat="1" x14ac:dyDescent="0.3">
      <c r="B226" s="44"/>
      <c r="C226" s="45"/>
      <c r="D226" s="127" t="str">
        <f t="shared" si="30"/>
        <v/>
      </c>
      <c r="E226" s="46"/>
      <c r="F226" s="254"/>
      <c r="G226" s="255"/>
      <c r="H226" s="152"/>
    </row>
    <row r="227" spans="2:8" s="43" customFormat="1" ht="15" thickBot="1" x14ac:dyDescent="0.35">
      <c r="B227" s="44"/>
      <c r="C227" s="47"/>
      <c r="D227" s="128" t="str">
        <f t="shared" si="30"/>
        <v/>
      </c>
      <c r="E227" s="48"/>
      <c r="F227" s="256"/>
      <c r="G227" s="257"/>
      <c r="H227" s="152"/>
    </row>
    <row r="228" spans="2:8" s="43" customFormat="1" ht="15" thickBot="1" x14ac:dyDescent="0.35">
      <c r="B228" s="86" t="s">
        <v>43</v>
      </c>
      <c r="C228" s="67">
        <f>SUM(C220:C227)</f>
        <v>42</v>
      </c>
      <c r="D228" s="86" t="str">
        <f xml:space="preserve"> setValueToTime(C228)</f>
        <v>3h 30 min</v>
      </c>
      <c r="E228" s="95"/>
      <c r="F228" s="258"/>
      <c r="G228" s="259"/>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60" t="s">
        <v>41</v>
      </c>
      <c r="G231" s="261"/>
      <c r="H231" s="151"/>
    </row>
    <row r="232" spans="2:8" s="43" customFormat="1" x14ac:dyDescent="0.3">
      <c r="B232" s="44" t="s">
        <v>30</v>
      </c>
      <c r="C232" s="45">
        <v>2</v>
      </c>
      <c r="D232" s="126" t="str">
        <f t="shared" ref="D232" si="31" xml:space="preserve"> IF(C232="","",setValueToTime(C232))</f>
        <v xml:space="preserve"> 10 min</v>
      </c>
      <c r="E232" s="42"/>
      <c r="F232" s="262"/>
      <c r="G232" s="263"/>
      <c r="H232" s="152"/>
    </row>
    <row r="233" spans="2:8" s="43" customFormat="1" ht="27" x14ac:dyDescent="0.3">
      <c r="B233" s="44" t="s">
        <v>164</v>
      </c>
      <c r="C233" s="45">
        <v>16</v>
      </c>
      <c r="D233" s="126" t="str">
        <f t="shared" ref="D233:D239" si="32" xml:space="preserve"> IF(C233="","",setValueToTime(C233))</f>
        <v>1h 20 min</v>
      </c>
      <c r="E233" s="194" t="s">
        <v>170</v>
      </c>
      <c r="F233" s="254"/>
      <c r="G233" s="255"/>
      <c r="H233" s="152"/>
    </row>
    <row r="234" spans="2:8" s="43" customFormat="1" x14ac:dyDescent="0.3">
      <c r="B234" s="44" t="s">
        <v>201</v>
      </c>
      <c r="C234" s="45">
        <v>12</v>
      </c>
      <c r="D234" s="126" t="str">
        <f t="shared" si="32"/>
        <v>1h</v>
      </c>
      <c r="E234" s="194" t="s">
        <v>93</v>
      </c>
      <c r="F234" s="254"/>
      <c r="G234" s="255"/>
      <c r="H234" s="152"/>
    </row>
    <row r="235" spans="2:8" s="43" customFormat="1" x14ac:dyDescent="0.3">
      <c r="B235" s="44" t="s">
        <v>31</v>
      </c>
      <c r="C235" s="45">
        <v>6</v>
      </c>
      <c r="D235" s="126" t="str">
        <f t="shared" si="32"/>
        <v xml:space="preserve"> 30 min</v>
      </c>
      <c r="E235" s="194" t="s">
        <v>94</v>
      </c>
      <c r="F235" s="254"/>
      <c r="G235" s="255"/>
      <c r="H235" s="152"/>
    </row>
    <row r="236" spans="2:8" s="43" customFormat="1" x14ac:dyDescent="0.3">
      <c r="B236" s="44"/>
      <c r="C236" s="45"/>
      <c r="D236" s="127" t="str">
        <f t="shared" si="32"/>
        <v/>
      </c>
      <c r="E236" s="46"/>
      <c r="F236" s="254"/>
      <c r="G236" s="255"/>
      <c r="H236" s="152"/>
    </row>
    <row r="237" spans="2:8" s="43" customFormat="1" x14ac:dyDescent="0.3">
      <c r="B237" s="44"/>
      <c r="C237" s="45"/>
      <c r="D237" s="127" t="str">
        <f t="shared" si="32"/>
        <v/>
      </c>
      <c r="E237" s="46"/>
      <c r="F237" s="254"/>
      <c r="G237" s="255"/>
      <c r="H237" s="152"/>
    </row>
    <row r="238" spans="2:8" s="43" customFormat="1" x14ac:dyDescent="0.3">
      <c r="B238" s="44"/>
      <c r="C238" s="45"/>
      <c r="D238" s="127" t="str">
        <f t="shared" si="32"/>
        <v/>
      </c>
      <c r="E238" s="46"/>
      <c r="F238" s="254"/>
      <c r="G238" s="255"/>
      <c r="H238" s="152"/>
    </row>
    <row r="239" spans="2:8" s="43" customFormat="1" ht="15" thickBot="1" x14ac:dyDescent="0.35">
      <c r="B239" s="44"/>
      <c r="C239" s="47"/>
      <c r="D239" s="128" t="str">
        <f t="shared" si="32"/>
        <v/>
      </c>
      <c r="E239" s="48"/>
      <c r="F239" s="256"/>
      <c r="G239" s="257"/>
      <c r="H239" s="152"/>
    </row>
    <row r="240" spans="2:8" s="43" customFormat="1" ht="15" thickBot="1" x14ac:dyDescent="0.35">
      <c r="B240" s="86" t="s">
        <v>43</v>
      </c>
      <c r="C240" s="67">
        <f>SUM(C232:C239)</f>
        <v>36</v>
      </c>
      <c r="D240" s="86" t="str">
        <f xml:space="preserve"> setValueToTime(C240)</f>
        <v>3h</v>
      </c>
      <c r="E240" s="95"/>
      <c r="F240" s="258"/>
      <c r="G240" s="259"/>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60" t="s">
        <v>41</v>
      </c>
      <c r="G243" s="261"/>
      <c r="H243" s="151"/>
    </row>
    <row r="244" spans="2:8" s="43" customFormat="1" x14ac:dyDescent="0.3">
      <c r="B244" s="44" t="s">
        <v>30</v>
      </c>
      <c r="C244" s="45">
        <v>2</v>
      </c>
      <c r="D244" s="126" t="str">
        <f t="shared" ref="D244" si="33" xml:space="preserve"> IF(C244="","",setValueToTime(C244))</f>
        <v xml:space="preserve"> 10 min</v>
      </c>
      <c r="E244" s="42"/>
      <c r="F244" s="262"/>
      <c r="G244" s="263"/>
      <c r="H244" s="152"/>
    </row>
    <row r="245" spans="2:8" s="43" customFormat="1" x14ac:dyDescent="0.3">
      <c r="B245" s="44" t="s">
        <v>201</v>
      </c>
      <c r="C245" s="45">
        <v>20</v>
      </c>
      <c r="D245" s="126" t="str">
        <f t="shared" ref="D245:D251" si="34" xml:space="preserve"> IF(C245="","",setValueToTime(C245))</f>
        <v>1h 40 min</v>
      </c>
      <c r="E245" t="s">
        <v>90</v>
      </c>
      <c r="F245" s="254"/>
      <c r="G245" s="255"/>
      <c r="H245" s="152"/>
    </row>
    <row r="246" spans="2:8" s="43" customFormat="1" ht="27" x14ac:dyDescent="0.3">
      <c r="B246" s="44" t="s">
        <v>161</v>
      </c>
      <c r="C246" s="45">
        <v>15</v>
      </c>
      <c r="D246" s="126" t="str">
        <f t="shared" si="34"/>
        <v>1h 15 min</v>
      </c>
      <c r="E246" t="s">
        <v>91</v>
      </c>
      <c r="F246" s="254"/>
      <c r="G246" s="255"/>
      <c r="H246" s="152"/>
    </row>
    <row r="247" spans="2:8" s="43" customFormat="1" x14ac:dyDescent="0.3">
      <c r="B247" s="44" t="s">
        <v>162</v>
      </c>
      <c r="C247" s="45">
        <v>5</v>
      </c>
      <c r="D247" s="126" t="str">
        <f t="shared" si="34"/>
        <v xml:space="preserve"> 25 min</v>
      </c>
      <c r="E247" s="194" t="s">
        <v>92</v>
      </c>
      <c r="F247" s="254"/>
      <c r="G247" s="255"/>
      <c r="H247" s="152"/>
    </row>
    <row r="248" spans="2:8" s="43" customFormat="1" x14ac:dyDescent="0.3">
      <c r="B248" s="44"/>
      <c r="C248" s="45"/>
      <c r="D248" s="127" t="str">
        <f t="shared" si="34"/>
        <v/>
      </c>
      <c r="E248" s="46"/>
      <c r="F248" s="254"/>
      <c r="G248" s="255"/>
      <c r="H248" s="152"/>
    </row>
    <row r="249" spans="2:8" s="43" customFormat="1" x14ac:dyDescent="0.3">
      <c r="B249" s="44"/>
      <c r="C249" s="45"/>
      <c r="D249" s="127" t="str">
        <f t="shared" si="34"/>
        <v/>
      </c>
      <c r="E249" s="46"/>
      <c r="F249" s="254"/>
      <c r="G249" s="255"/>
      <c r="H249" s="152"/>
    </row>
    <row r="250" spans="2:8" s="43" customFormat="1" x14ac:dyDescent="0.3">
      <c r="B250" s="44"/>
      <c r="C250" s="45"/>
      <c r="D250" s="127" t="str">
        <f t="shared" si="34"/>
        <v/>
      </c>
      <c r="E250" s="46"/>
      <c r="F250" s="254"/>
      <c r="G250" s="255"/>
      <c r="H250" s="152"/>
    </row>
    <row r="251" spans="2:8" s="43" customFormat="1" ht="15" thickBot="1" x14ac:dyDescent="0.35">
      <c r="B251" s="44"/>
      <c r="C251" s="47"/>
      <c r="D251" s="128" t="str">
        <f t="shared" si="34"/>
        <v/>
      </c>
      <c r="E251" s="48"/>
      <c r="F251" s="256"/>
      <c r="G251" s="257"/>
      <c r="H251" s="152"/>
    </row>
    <row r="252" spans="2:8" s="43" customFormat="1" ht="15" thickBot="1" x14ac:dyDescent="0.35">
      <c r="B252" s="86" t="s">
        <v>43</v>
      </c>
      <c r="C252" s="67">
        <f>SUM(C244:C251)</f>
        <v>42</v>
      </c>
      <c r="D252" s="86" t="str">
        <f xml:space="preserve"> setValueToTime(C252)</f>
        <v>3h 30 min</v>
      </c>
      <c r="E252" s="95"/>
      <c r="F252" s="258"/>
      <c r="G252" s="259"/>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60" t="s">
        <v>41</v>
      </c>
      <c r="G255" s="261"/>
      <c r="H255" s="151"/>
    </row>
    <row r="256" spans="2:8" s="43" customFormat="1" x14ac:dyDescent="0.3">
      <c r="B256" s="44" t="s">
        <v>30</v>
      </c>
      <c r="C256" s="45">
        <v>2</v>
      </c>
      <c r="D256" s="126" t="str">
        <f t="shared" ref="D256:D257" si="35" xml:space="preserve"> IF(C256="","",setValueToTime(C256))</f>
        <v xml:space="preserve"> 10 min</v>
      </c>
      <c r="E256" s="42"/>
      <c r="F256" s="262"/>
      <c r="G256" s="263"/>
      <c r="H256" s="152"/>
    </row>
    <row r="257" spans="2:8" s="43" customFormat="1" x14ac:dyDescent="0.3">
      <c r="B257" s="44" t="s">
        <v>31</v>
      </c>
      <c r="C257" s="45">
        <v>6</v>
      </c>
      <c r="D257" s="126" t="str">
        <f t="shared" si="35"/>
        <v xml:space="preserve"> 30 min</v>
      </c>
      <c r="E257" s="194" t="s">
        <v>87</v>
      </c>
      <c r="F257" s="254"/>
      <c r="G257" s="255"/>
      <c r="H257" s="152"/>
    </row>
    <row r="258" spans="2:8" s="43" customFormat="1" x14ac:dyDescent="0.3">
      <c r="B258" s="44" t="s">
        <v>162</v>
      </c>
      <c r="C258" s="45">
        <v>28</v>
      </c>
      <c r="D258" s="126" t="str">
        <f t="shared" ref="D258:D263" si="36" xml:space="preserve"> IF(C258="","",setValueToTime(C258))</f>
        <v>2h 20 min</v>
      </c>
      <c r="E258" t="s">
        <v>171</v>
      </c>
      <c r="F258" s="254"/>
      <c r="G258" s="255"/>
      <c r="H258" s="152"/>
    </row>
    <row r="259" spans="2:8" s="43" customFormat="1" x14ac:dyDescent="0.3">
      <c r="B259" s="44"/>
      <c r="C259" s="45"/>
      <c r="D259" s="126" t="str">
        <f t="shared" si="36"/>
        <v/>
      </c>
      <c r="E259" s="46"/>
      <c r="F259" s="254"/>
      <c r="G259" s="255"/>
      <c r="H259" s="152"/>
    </row>
    <row r="260" spans="2:8" s="43" customFormat="1" x14ac:dyDescent="0.3">
      <c r="B260" s="44"/>
      <c r="C260" s="45"/>
      <c r="D260" s="127" t="str">
        <f t="shared" si="36"/>
        <v/>
      </c>
      <c r="E260" s="46"/>
      <c r="F260" s="254"/>
      <c r="G260" s="255"/>
      <c r="H260" s="152"/>
    </row>
    <row r="261" spans="2:8" s="43" customFormat="1" x14ac:dyDescent="0.3">
      <c r="B261" s="44"/>
      <c r="C261" s="45"/>
      <c r="D261" s="127" t="str">
        <f t="shared" si="36"/>
        <v/>
      </c>
      <c r="E261" s="46"/>
      <c r="F261" s="254"/>
      <c r="G261" s="255"/>
      <c r="H261" s="152"/>
    </row>
    <row r="262" spans="2:8" s="43" customFormat="1" x14ac:dyDescent="0.3">
      <c r="B262" s="44"/>
      <c r="C262" s="45"/>
      <c r="D262" s="127" t="str">
        <f t="shared" si="36"/>
        <v/>
      </c>
      <c r="E262" s="46"/>
      <c r="F262" s="254"/>
      <c r="G262" s="255"/>
      <c r="H262" s="152"/>
    </row>
    <row r="263" spans="2:8" s="43" customFormat="1" ht="15" thickBot="1" x14ac:dyDescent="0.35">
      <c r="B263" s="44"/>
      <c r="C263" s="47"/>
      <c r="D263" s="128" t="str">
        <f t="shared" si="36"/>
        <v/>
      </c>
      <c r="E263" s="48"/>
      <c r="F263" s="256"/>
      <c r="G263" s="257"/>
      <c r="H263" s="152"/>
    </row>
    <row r="264" spans="2:8" s="43" customFormat="1" ht="15" thickBot="1" x14ac:dyDescent="0.35">
      <c r="B264" s="86" t="s">
        <v>43</v>
      </c>
      <c r="C264" s="67">
        <f>SUM(C256:C263)</f>
        <v>36</v>
      </c>
      <c r="D264" s="86" t="str">
        <f xml:space="preserve"> setValueToTime(C264)</f>
        <v>3h</v>
      </c>
      <c r="E264" s="95"/>
      <c r="F264" s="258"/>
      <c r="G264" s="259"/>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60" t="s">
        <v>41</v>
      </c>
      <c r="G267" s="261"/>
      <c r="H267" s="151"/>
    </row>
    <row r="268" spans="2:8" s="43" customFormat="1" x14ac:dyDescent="0.3">
      <c r="B268" s="44" t="s">
        <v>30</v>
      </c>
      <c r="C268" s="45">
        <v>2</v>
      </c>
      <c r="D268" s="126" t="str">
        <f t="shared" ref="D268" si="37" xml:space="preserve"> IF(C268="","",setValueToTime(C268))</f>
        <v xml:space="preserve"> 10 min</v>
      </c>
      <c r="E268" s="42"/>
      <c r="F268" s="262"/>
      <c r="G268" s="263"/>
      <c r="H268" s="152"/>
    </row>
    <row r="269" spans="2:8" s="43" customFormat="1" x14ac:dyDescent="0.3">
      <c r="B269" s="44" t="s">
        <v>32</v>
      </c>
      <c r="C269" s="45">
        <v>28</v>
      </c>
      <c r="D269" s="126" t="str">
        <f t="shared" ref="D269:D275" si="38" xml:space="preserve"> IF(C269="","",setValueToTime(C269))</f>
        <v>2h 20 min</v>
      </c>
      <c r="E269" t="s">
        <v>89</v>
      </c>
      <c r="F269" s="254"/>
      <c r="G269" s="255"/>
      <c r="H269" s="152"/>
    </row>
    <row r="270" spans="2:8" s="43" customFormat="1" x14ac:dyDescent="0.3">
      <c r="B270" s="44" t="s">
        <v>163</v>
      </c>
      <c r="C270" s="45">
        <v>12</v>
      </c>
      <c r="D270" s="126" t="str">
        <f t="shared" si="38"/>
        <v>1h</v>
      </c>
      <c r="E270" s="194" t="s">
        <v>172</v>
      </c>
      <c r="F270" s="254"/>
      <c r="G270" s="255"/>
      <c r="H270" s="152"/>
    </row>
    <row r="271" spans="2:8" s="43" customFormat="1" x14ac:dyDescent="0.3">
      <c r="B271" s="44"/>
      <c r="C271" s="45"/>
      <c r="D271" s="126"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x14ac:dyDescent="0.3">
      <c r="B274" s="44"/>
      <c r="C274" s="45"/>
      <c r="D274" s="127" t="str">
        <f t="shared" si="38"/>
        <v/>
      </c>
      <c r="E274" s="46"/>
      <c r="F274" s="254"/>
      <c r="G274" s="255"/>
      <c r="H274" s="152"/>
    </row>
    <row r="275" spans="2:8" s="43" customFormat="1" ht="15" thickBot="1" x14ac:dyDescent="0.35">
      <c r="B275" s="44"/>
      <c r="C275" s="47"/>
      <c r="D275" s="128" t="str">
        <f t="shared" si="38"/>
        <v/>
      </c>
      <c r="E275" s="48"/>
      <c r="F275" s="256"/>
      <c r="G275" s="257"/>
      <c r="H275" s="152"/>
    </row>
    <row r="276" spans="2:8" s="43" customFormat="1" ht="15" thickBot="1" x14ac:dyDescent="0.35">
      <c r="B276" s="86" t="s">
        <v>43</v>
      </c>
      <c r="C276" s="67">
        <f>SUM(C268:C275)</f>
        <v>42</v>
      </c>
      <c r="D276" s="86" t="str">
        <f xml:space="preserve"> setValueToTime(C276)</f>
        <v>3h 30 min</v>
      </c>
      <c r="E276" s="95"/>
      <c r="F276" s="258"/>
      <c r="G276" s="259"/>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60" t="s">
        <v>41</v>
      </c>
      <c r="G279" s="261"/>
      <c r="H279" s="151"/>
    </row>
    <row r="280" spans="2:8" s="43" customFormat="1" x14ac:dyDescent="0.3">
      <c r="B280" s="44" t="s">
        <v>30</v>
      </c>
      <c r="C280" s="45">
        <v>2</v>
      </c>
      <c r="D280" s="126" t="str">
        <f t="shared" ref="D280:D281" si="39" xml:space="preserve"> IF(C280="","",setValueToTime(C280))</f>
        <v xml:space="preserve"> 10 min</v>
      </c>
      <c r="E280" s="42"/>
      <c r="F280" s="262"/>
      <c r="G280" s="263"/>
      <c r="H280" s="152"/>
    </row>
    <row r="281" spans="2:8" s="43" customFormat="1" x14ac:dyDescent="0.3">
      <c r="B281" s="44" t="s">
        <v>163</v>
      </c>
      <c r="C281" s="45">
        <v>14</v>
      </c>
      <c r="D281" s="126" t="str">
        <f t="shared" si="39"/>
        <v>1h 10 min</v>
      </c>
      <c r="E281" s="194" t="s">
        <v>173</v>
      </c>
      <c r="F281" s="254"/>
      <c r="G281" s="255"/>
      <c r="H281" s="152"/>
    </row>
    <row r="282" spans="2:8" s="43" customFormat="1" x14ac:dyDescent="0.3">
      <c r="B282" s="44" t="s">
        <v>86</v>
      </c>
      <c r="C282" s="45">
        <v>14</v>
      </c>
      <c r="D282" s="126" t="str">
        <f t="shared" ref="D282:D287" si="40" xml:space="preserve"> IF(C282="","",setValueToTime(C282))</f>
        <v>1h 10 min</v>
      </c>
      <c r="E282" s="194" t="s">
        <v>174</v>
      </c>
      <c r="F282" s="254"/>
      <c r="G282" s="255"/>
      <c r="H282" s="152"/>
    </row>
    <row r="283" spans="2:8" s="43" customFormat="1" x14ac:dyDescent="0.3">
      <c r="B283" s="44" t="s">
        <v>31</v>
      </c>
      <c r="C283" s="45">
        <v>6</v>
      </c>
      <c r="D283" s="126" t="str">
        <f t="shared" si="40"/>
        <v xml:space="preserve"> 30 min</v>
      </c>
      <c r="E283" s="194" t="s">
        <v>88</v>
      </c>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x14ac:dyDescent="0.3">
      <c r="B286" s="44"/>
      <c r="C286" s="45"/>
      <c r="D286" s="127" t="str">
        <f t="shared" si="40"/>
        <v/>
      </c>
      <c r="E286" s="46"/>
      <c r="F286" s="254"/>
      <c r="G286" s="255"/>
      <c r="H286" s="152"/>
    </row>
    <row r="287" spans="2:8" s="43" customFormat="1" ht="15" thickBot="1" x14ac:dyDescent="0.35">
      <c r="B287" s="44"/>
      <c r="C287" s="47"/>
      <c r="D287" s="128" t="str">
        <f t="shared" si="40"/>
        <v/>
      </c>
      <c r="E287" s="48"/>
      <c r="F287" s="256"/>
      <c r="G287" s="257"/>
      <c r="H287" s="152"/>
    </row>
    <row r="288" spans="2:8" s="43" customFormat="1" ht="15" thickBot="1" x14ac:dyDescent="0.35">
      <c r="B288" s="86" t="s">
        <v>43</v>
      </c>
      <c r="C288" s="67">
        <f>SUM(C280:C287)</f>
        <v>36</v>
      </c>
      <c r="D288" s="86" t="str">
        <f xml:space="preserve"> setValueToTime(C288)</f>
        <v>3h</v>
      </c>
      <c r="E288" s="95"/>
      <c r="F288" s="258"/>
      <c r="G288" s="259"/>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60" t="s">
        <v>41</v>
      </c>
      <c r="G291" s="261"/>
      <c r="H291" s="151"/>
    </row>
    <row r="292" spans="2:8" s="43" customFormat="1" x14ac:dyDescent="0.3">
      <c r="B292" s="44" t="s">
        <v>30</v>
      </c>
      <c r="C292" s="45">
        <v>2</v>
      </c>
      <c r="D292" s="126" t="str">
        <f t="shared" ref="D292" si="41" xml:space="preserve"> IF(C292="","",setValueToTime(C292))</f>
        <v xml:space="preserve"> 10 min</v>
      </c>
      <c r="E292" s="42"/>
      <c r="F292" s="262"/>
      <c r="G292" s="263"/>
      <c r="H292" s="152"/>
    </row>
    <row r="293" spans="2:8" s="43" customFormat="1" ht="27" x14ac:dyDescent="0.3">
      <c r="B293" s="44" t="s">
        <v>159</v>
      </c>
      <c r="C293" s="45">
        <v>15</v>
      </c>
      <c r="D293" s="126" t="str">
        <f t="shared" ref="D293:D299" si="42" xml:space="preserve"> IF(C293="","",setValueToTime(C293))</f>
        <v>1h 15 min</v>
      </c>
      <c r="E293" s="194" t="s">
        <v>84</v>
      </c>
      <c r="F293" s="254"/>
      <c r="G293" s="255"/>
      <c r="H293" s="152"/>
    </row>
    <row r="294" spans="2:8" s="43" customFormat="1" ht="27" x14ac:dyDescent="0.3">
      <c r="B294" s="44" t="s">
        <v>168</v>
      </c>
      <c r="C294" s="45">
        <v>8</v>
      </c>
      <c r="D294" s="126" t="str">
        <f t="shared" si="42"/>
        <v xml:space="preserve"> 40 min</v>
      </c>
      <c r="E294" t="s">
        <v>85</v>
      </c>
      <c r="F294" s="254"/>
      <c r="G294" s="255"/>
      <c r="H294" s="152"/>
    </row>
    <row r="295" spans="2:8" s="43" customFormat="1" x14ac:dyDescent="0.3">
      <c r="B295" s="44" t="s">
        <v>163</v>
      </c>
      <c r="C295" s="45">
        <v>17</v>
      </c>
      <c r="D295" s="126" t="str">
        <f t="shared" si="42"/>
        <v>1h 25 min</v>
      </c>
      <c r="E295" s="194" t="s">
        <v>173</v>
      </c>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x14ac:dyDescent="0.3">
      <c r="B298" s="44"/>
      <c r="C298" s="45"/>
      <c r="D298" s="127" t="str">
        <f t="shared" si="42"/>
        <v/>
      </c>
      <c r="E298" s="46"/>
      <c r="F298" s="254"/>
      <c r="G298" s="255"/>
      <c r="H298" s="152"/>
    </row>
    <row r="299" spans="2:8" s="43" customFormat="1" ht="15" thickBot="1" x14ac:dyDescent="0.35">
      <c r="B299" s="44"/>
      <c r="C299" s="47"/>
      <c r="D299" s="128" t="str">
        <f t="shared" si="42"/>
        <v/>
      </c>
      <c r="E299" s="48"/>
      <c r="F299" s="256"/>
      <c r="G299" s="257"/>
      <c r="H299" s="152"/>
    </row>
    <row r="300" spans="2:8" s="43" customFormat="1" ht="15" thickBot="1" x14ac:dyDescent="0.35">
      <c r="B300" s="86" t="s">
        <v>43</v>
      </c>
      <c r="C300" s="67">
        <f>SUM(C292:C299)</f>
        <v>42</v>
      </c>
      <c r="D300" s="86" t="str">
        <f xml:space="preserve"> setValueToTime(C300)</f>
        <v>3h 30 min</v>
      </c>
      <c r="E300" s="95"/>
      <c r="F300" s="258"/>
      <c r="G300" s="259"/>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60" t="s">
        <v>41</v>
      </c>
      <c r="G303" s="261"/>
      <c r="H303" s="151"/>
    </row>
    <row r="304" spans="2:8" s="43" customFormat="1" x14ac:dyDescent="0.3">
      <c r="B304" s="44" t="s">
        <v>30</v>
      </c>
      <c r="C304" s="45">
        <v>2</v>
      </c>
      <c r="D304" s="126" t="str">
        <f t="shared" ref="D304" si="43" xml:space="preserve"> IF(C304="","",setValueToTime(C304))</f>
        <v xml:space="preserve"> 10 min</v>
      </c>
      <c r="E304" s="42"/>
      <c r="F304" s="262"/>
      <c r="G304" s="263"/>
      <c r="H304" s="152"/>
    </row>
    <row r="305" spans="2:8" s="43" customFormat="1" x14ac:dyDescent="0.3">
      <c r="B305" s="44" t="s">
        <v>31</v>
      </c>
      <c r="C305" s="45">
        <v>5</v>
      </c>
      <c r="D305" s="126" t="str">
        <f xml:space="preserve"> IF(C305="","",setValueToTime(C305))</f>
        <v xml:space="preserve"> 25 min</v>
      </c>
      <c r="E305" t="s">
        <v>175</v>
      </c>
      <c r="F305" s="254"/>
      <c r="G305" s="255"/>
      <c r="H305" s="152"/>
    </row>
    <row r="306" spans="2:8" s="43" customFormat="1" ht="27" x14ac:dyDescent="0.3">
      <c r="B306" s="44" t="s">
        <v>158</v>
      </c>
      <c r="C306" s="45">
        <v>12</v>
      </c>
      <c r="D306" s="126" t="str">
        <f t="shared" ref="D306" si="44" xml:space="preserve"> IF(C306="","",setValueToTime(C306))</f>
        <v>1h</v>
      </c>
      <c r="E306" s="194" t="s">
        <v>82</v>
      </c>
      <c r="F306" s="254"/>
      <c r="G306" s="255"/>
      <c r="H306" s="152"/>
    </row>
    <row r="307" spans="2:8" s="43" customFormat="1" x14ac:dyDescent="0.3">
      <c r="B307" s="44" t="s">
        <v>86</v>
      </c>
      <c r="C307" s="45">
        <v>8</v>
      </c>
      <c r="D307" s="126" t="str">
        <f t="shared" ref="D307:D311" si="45" xml:space="preserve"> IF(C307="","",setValueToTime(C307))</f>
        <v xml:space="preserve"> 40 min</v>
      </c>
      <c r="E307" s="194" t="s">
        <v>104</v>
      </c>
      <c r="F307" s="254"/>
      <c r="G307" s="255"/>
      <c r="H307" s="152"/>
    </row>
    <row r="308" spans="2:8" s="43" customFormat="1" x14ac:dyDescent="0.3">
      <c r="B308" s="44"/>
      <c r="C308" s="45"/>
      <c r="D308" s="127" t="str">
        <f t="shared" si="45"/>
        <v/>
      </c>
      <c r="E308" s="46"/>
      <c r="F308" s="254"/>
      <c r="G308" s="255"/>
      <c r="H308" s="152"/>
    </row>
    <row r="309" spans="2:8" s="43" customFormat="1" x14ac:dyDescent="0.3">
      <c r="B309" s="44"/>
      <c r="C309" s="45"/>
      <c r="D309" s="127" t="str">
        <f t="shared" si="45"/>
        <v/>
      </c>
      <c r="E309" s="46"/>
      <c r="F309" s="254"/>
      <c r="G309" s="255"/>
      <c r="H309" s="152"/>
    </row>
    <row r="310" spans="2:8" s="43" customFormat="1" x14ac:dyDescent="0.3">
      <c r="B310" s="44"/>
      <c r="C310" s="45"/>
      <c r="D310" s="127" t="str">
        <f t="shared" si="45"/>
        <v/>
      </c>
      <c r="E310" s="46"/>
      <c r="F310" s="254"/>
      <c r="G310" s="255"/>
      <c r="H310" s="152"/>
    </row>
    <row r="311" spans="2:8" s="43" customFormat="1" ht="15" thickBot="1" x14ac:dyDescent="0.35">
      <c r="B311" s="44"/>
      <c r="C311" s="47"/>
      <c r="D311" s="128" t="str">
        <f t="shared" si="45"/>
        <v/>
      </c>
      <c r="E311" s="48"/>
      <c r="F311" s="256"/>
      <c r="G311" s="257"/>
      <c r="H311" s="152"/>
    </row>
    <row r="312" spans="2:8" s="43" customFormat="1" ht="15" thickBot="1" x14ac:dyDescent="0.35">
      <c r="B312" s="86" t="s">
        <v>43</v>
      </c>
      <c r="C312" s="67">
        <f>SUM(C304:C311)</f>
        <v>27</v>
      </c>
      <c r="D312" s="86" t="str">
        <f xml:space="preserve"> setValueToTime(C312)</f>
        <v>2h 15 min</v>
      </c>
      <c r="E312" s="95"/>
      <c r="F312" s="258"/>
      <c r="G312" s="259"/>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60" t="s">
        <v>41</v>
      </c>
      <c r="G315" s="261"/>
      <c r="H315" s="151"/>
    </row>
    <row r="316" spans="2:8" s="43" customFormat="1" x14ac:dyDescent="0.3">
      <c r="B316" s="44" t="s">
        <v>30</v>
      </c>
      <c r="C316" s="45">
        <v>2</v>
      </c>
      <c r="D316" s="126" t="str">
        <f t="shared" ref="D316:D317" si="46" xml:space="preserve"> IF(C316="","",setValueToTime(C316))</f>
        <v xml:space="preserve"> 10 min</v>
      </c>
      <c r="E316" s="42"/>
      <c r="F316" s="262"/>
      <c r="G316" s="263"/>
      <c r="H316" s="152"/>
    </row>
    <row r="317" spans="2:8" s="43" customFormat="1" x14ac:dyDescent="0.3">
      <c r="B317" s="44" t="s">
        <v>29</v>
      </c>
      <c r="C317" s="45">
        <v>8</v>
      </c>
      <c r="D317" s="126" t="str">
        <f t="shared" si="46"/>
        <v xml:space="preserve"> 40 min</v>
      </c>
      <c r="E317" s="194" t="s">
        <v>83</v>
      </c>
      <c r="F317" s="254"/>
      <c r="G317" s="255"/>
      <c r="H317" s="152"/>
    </row>
    <row r="318" spans="2:8" s="43" customFormat="1" ht="27" x14ac:dyDescent="0.3">
      <c r="B318" s="44" t="s">
        <v>158</v>
      </c>
      <c r="C318" s="45">
        <v>26</v>
      </c>
      <c r="D318" s="126" t="str">
        <f t="shared" ref="D318:D323" si="47" xml:space="preserve"> IF(C318="","",setValueToTime(C318))</f>
        <v>2h 10 min</v>
      </c>
      <c r="E318" s="194" t="s">
        <v>82</v>
      </c>
      <c r="F318" s="254"/>
      <c r="G318" s="255"/>
      <c r="H318" s="152"/>
    </row>
    <row r="319" spans="2:8" s="43" customFormat="1" x14ac:dyDescent="0.3">
      <c r="B319" s="44"/>
      <c r="C319" s="45"/>
      <c r="D319" s="126"/>
      <c r="E319"/>
      <c r="F319" s="254"/>
      <c r="G319" s="255"/>
      <c r="H319" s="152"/>
    </row>
    <row r="320" spans="2:8" s="43" customFormat="1" x14ac:dyDescent="0.3">
      <c r="B320" s="44"/>
      <c r="C320" s="45"/>
      <c r="D320" s="127" t="str">
        <f t="shared" si="47"/>
        <v/>
      </c>
      <c r="E320" s="46"/>
      <c r="F320" s="254"/>
      <c r="G320" s="255"/>
      <c r="H320" s="152"/>
    </row>
    <row r="321" spans="2:8" s="43" customFormat="1" x14ac:dyDescent="0.3">
      <c r="B321" s="44"/>
      <c r="C321" s="45"/>
      <c r="D321" s="127" t="str">
        <f t="shared" si="47"/>
        <v/>
      </c>
      <c r="E321" s="46"/>
      <c r="F321" s="254"/>
      <c r="G321" s="255"/>
      <c r="H321" s="152"/>
    </row>
    <row r="322" spans="2:8" s="43" customFormat="1" x14ac:dyDescent="0.3">
      <c r="B322" s="44"/>
      <c r="C322" s="45"/>
      <c r="D322" s="127" t="str">
        <f t="shared" si="47"/>
        <v/>
      </c>
      <c r="E322" s="46"/>
      <c r="F322" s="254"/>
      <c r="G322" s="255"/>
      <c r="H322" s="152"/>
    </row>
    <row r="323" spans="2:8" s="43" customFormat="1" ht="15" thickBot="1" x14ac:dyDescent="0.35">
      <c r="B323" s="44"/>
      <c r="C323" s="47"/>
      <c r="D323" s="128" t="str">
        <f t="shared" si="47"/>
        <v/>
      </c>
      <c r="E323" s="48"/>
      <c r="F323" s="256"/>
      <c r="G323" s="257"/>
      <c r="H323" s="152"/>
    </row>
    <row r="324" spans="2:8" s="43" customFormat="1" ht="15" thickBot="1" x14ac:dyDescent="0.35">
      <c r="B324" s="86" t="s">
        <v>43</v>
      </c>
      <c r="C324" s="67">
        <f>SUM(C316:C323)</f>
        <v>36</v>
      </c>
      <c r="D324" s="86" t="str">
        <f xml:space="preserve"> setValueToTime(C324)</f>
        <v>3h</v>
      </c>
      <c r="E324" s="95"/>
      <c r="F324" s="258"/>
      <c r="G324" s="259"/>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60" t="s">
        <v>41</v>
      </c>
      <c r="G327" s="261"/>
      <c r="H327" s="151"/>
    </row>
    <row r="328" spans="2:8" s="43" customFormat="1" x14ac:dyDescent="0.3">
      <c r="B328" s="44" t="s">
        <v>30</v>
      </c>
      <c r="C328" s="45">
        <v>2</v>
      </c>
      <c r="D328" s="126" t="str">
        <f t="shared" ref="D328" si="48" xml:space="preserve"> IF(C328="","",setValueToTime(C328))</f>
        <v xml:space="preserve"> 10 min</v>
      </c>
      <c r="E328" s="42"/>
      <c r="F328" s="262"/>
      <c r="G328" s="263"/>
      <c r="H328" s="152"/>
    </row>
    <row r="329" spans="2:8" s="43" customFormat="1" ht="27" x14ac:dyDescent="0.3">
      <c r="B329" s="44" t="s">
        <v>158</v>
      </c>
      <c r="C329" s="45">
        <v>22</v>
      </c>
      <c r="D329" s="126" t="str">
        <f t="shared" ref="D329" si="49" xml:space="preserve"> IF(C329="","",setValueToTime(C329))</f>
        <v>1h 50 min</v>
      </c>
      <c r="E329" s="46" t="s">
        <v>81</v>
      </c>
      <c r="F329" s="254"/>
      <c r="G329" s="255"/>
      <c r="H329" s="152"/>
    </row>
    <row r="330" spans="2:8" s="43" customFormat="1" x14ac:dyDescent="0.3">
      <c r="B330" s="44"/>
      <c r="C330" s="45"/>
      <c r="D330" s="126"/>
      <c r="E330" s="46"/>
      <c r="F330" s="254"/>
      <c r="G330" s="255"/>
      <c r="H330" s="152"/>
    </row>
    <row r="331" spans="2:8" s="43" customFormat="1" ht="27" x14ac:dyDescent="0.3">
      <c r="B331" s="44" t="s">
        <v>169</v>
      </c>
      <c r="C331" s="45">
        <v>12</v>
      </c>
      <c r="D331" s="126" t="str">
        <f t="shared" ref="D331" si="50" xml:space="preserve"> IF(C331="","",setValueToTime(C331))</f>
        <v>1h</v>
      </c>
      <c r="E331" s="46" t="s">
        <v>80</v>
      </c>
      <c r="F331" s="254"/>
      <c r="G331" s="255"/>
      <c r="H331" s="152"/>
    </row>
    <row r="332" spans="2:8" s="43" customFormat="1" x14ac:dyDescent="0.3">
      <c r="B332" s="44"/>
      <c r="C332" s="45"/>
      <c r="D332" s="127" t="str">
        <f t="shared" ref="D332:D335" si="51" xml:space="preserve"> IF(C332="","",setValueToTime(C332))</f>
        <v/>
      </c>
      <c r="E332" s="46"/>
      <c r="F332" s="254"/>
      <c r="G332" s="255"/>
      <c r="H332" s="152"/>
    </row>
    <row r="333" spans="2:8" s="43" customFormat="1" x14ac:dyDescent="0.3">
      <c r="B333" s="44"/>
      <c r="C333" s="45"/>
      <c r="D333" s="127" t="str">
        <f t="shared" si="51"/>
        <v/>
      </c>
      <c r="E333" s="46"/>
      <c r="F333" s="254"/>
      <c r="G333" s="255"/>
      <c r="H333" s="152"/>
    </row>
    <row r="334" spans="2:8" s="43" customFormat="1" x14ac:dyDescent="0.3">
      <c r="B334" s="44"/>
      <c r="C334" s="45"/>
      <c r="D334" s="127" t="str">
        <f t="shared" si="51"/>
        <v/>
      </c>
      <c r="E334" s="46"/>
      <c r="F334" s="254"/>
      <c r="G334" s="255"/>
      <c r="H334" s="152"/>
    </row>
    <row r="335" spans="2:8" s="43" customFormat="1" ht="15" thickBot="1" x14ac:dyDescent="0.35">
      <c r="B335" s="44"/>
      <c r="C335" s="47"/>
      <c r="D335" s="128" t="str">
        <f t="shared" si="51"/>
        <v/>
      </c>
      <c r="E335" s="48"/>
      <c r="F335" s="256"/>
      <c r="G335" s="257"/>
      <c r="H335" s="152"/>
    </row>
    <row r="336" spans="2:8" s="43" customFormat="1" ht="15" thickBot="1" x14ac:dyDescent="0.35">
      <c r="B336" s="86" t="s">
        <v>43</v>
      </c>
      <c r="C336" s="67">
        <f>SUM(C328:C335)</f>
        <v>36</v>
      </c>
      <c r="D336" s="86" t="str">
        <f xml:space="preserve"> setValueToTime(C336)</f>
        <v>3h</v>
      </c>
      <c r="E336" s="95"/>
      <c r="F336" s="258"/>
      <c r="G336" s="259"/>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60" t="s">
        <v>41</v>
      </c>
      <c r="G339" s="261"/>
      <c r="H339" s="151"/>
    </row>
    <row r="340" spans="2:8" s="43" customFormat="1" x14ac:dyDescent="0.3">
      <c r="B340" s="44" t="s">
        <v>166</v>
      </c>
      <c r="C340" s="45">
        <v>18</v>
      </c>
      <c r="D340" s="126" t="str">
        <f t="shared" ref="D340" si="52" xml:space="preserve"> IF(C340="","",setValueToTime(C340))</f>
        <v>1h 30 min</v>
      </c>
      <c r="E340" s="46" t="s">
        <v>79</v>
      </c>
      <c r="F340" s="262"/>
      <c r="G340" s="263"/>
      <c r="H340" s="152"/>
    </row>
    <row r="341" spans="2:8" s="43" customFormat="1" x14ac:dyDescent="0.3">
      <c r="B341" s="44" t="s">
        <v>49</v>
      </c>
      <c r="C341" s="45">
        <v>3</v>
      </c>
      <c r="D341" s="126" t="str">
        <f t="shared" ref="D341:D343" si="53" xml:space="preserve"> IF(C341="","",setValueToTime(C341))</f>
        <v xml:space="preserve"> 15 min</v>
      </c>
      <c r="E341" s="46" t="s">
        <v>176</v>
      </c>
      <c r="F341" s="254"/>
      <c r="G341" s="255"/>
      <c r="H341" s="152"/>
    </row>
    <row r="342" spans="2:8" s="43" customFormat="1" ht="27" x14ac:dyDescent="0.3">
      <c r="B342" s="44" t="s">
        <v>169</v>
      </c>
      <c r="C342" s="45">
        <v>12</v>
      </c>
      <c r="D342" s="126" t="str">
        <f t="shared" si="53"/>
        <v>1h</v>
      </c>
      <c r="E342" s="46" t="s">
        <v>80</v>
      </c>
      <c r="F342" s="254"/>
      <c r="G342" s="255"/>
      <c r="H342" s="152"/>
    </row>
    <row r="343" spans="2:8" s="43" customFormat="1" ht="27" x14ac:dyDescent="0.3">
      <c r="B343" s="44" t="s">
        <v>158</v>
      </c>
      <c r="C343" s="45">
        <v>12</v>
      </c>
      <c r="D343" s="126" t="str">
        <f t="shared" si="53"/>
        <v>1h</v>
      </c>
      <c r="E343" s="46" t="s">
        <v>81</v>
      </c>
      <c r="F343" s="254"/>
      <c r="G343" s="255"/>
      <c r="H343" s="152"/>
    </row>
    <row r="344" spans="2:8" s="43" customFormat="1" x14ac:dyDescent="0.3">
      <c r="B344" s="44"/>
      <c r="C344" s="45"/>
      <c r="D344" s="127" t="str">
        <f t="shared" ref="D344:D347" si="54" xml:space="preserve"> IF(C344="","",setValueToTime(C344))</f>
        <v/>
      </c>
      <c r="E344" s="46"/>
      <c r="F344" s="254"/>
      <c r="G344" s="255"/>
      <c r="H344" s="152"/>
    </row>
    <row r="345" spans="2:8" s="43" customFormat="1" x14ac:dyDescent="0.3">
      <c r="B345" s="44"/>
      <c r="C345" s="45"/>
      <c r="D345" s="127" t="str">
        <f t="shared" si="54"/>
        <v/>
      </c>
      <c r="E345" s="46"/>
      <c r="F345" s="254"/>
      <c r="G345" s="255"/>
      <c r="H345" s="152"/>
    </row>
    <row r="346" spans="2:8" s="43" customFormat="1" x14ac:dyDescent="0.3">
      <c r="B346" s="44"/>
      <c r="C346" s="45"/>
      <c r="D346" s="127" t="str">
        <f t="shared" si="54"/>
        <v/>
      </c>
      <c r="E346" s="46"/>
      <c r="F346" s="254"/>
      <c r="G346" s="255"/>
      <c r="H346" s="152"/>
    </row>
    <row r="347" spans="2:8" s="43" customFormat="1" ht="15" thickBot="1" x14ac:dyDescent="0.35">
      <c r="B347" s="44"/>
      <c r="C347" s="47"/>
      <c r="D347" s="128" t="str">
        <f t="shared" si="54"/>
        <v/>
      </c>
      <c r="E347" s="48"/>
      <c r="F347" s="256"/>
      <c r="G347" s="257"/>
      <c r="H347" s="152"/>
    </row>
    <row r="348" spans="2:8" s="43" customFormat="1" ht="15" thickBot="1" x14ac:dyDescent="0.35">
      <c r="B348" s="86" t="s">
        <v>43</v>
      </c>
      <c r="C348" s="67">
        <f>SUM(C340:C347)</f>
        <v>45</v>
      </c>
      <c r="D348" s="86" t="str">
        <f xml:space="preserve"> setValueToTime(C348)</f>
        <v>3h 45 min</v>
      </c>
      <c r="E348" s="95"/>
      <c r="F348" s="258"/>
      <c r="G348" s="259"/>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60" t="s">
        <v>41</v>
      </c>
      <c r="G351" s="261"/>
      <c r="H351" s="151"/>
    </row>
    <row r="352" spans="2:8" s="43" customFormat="1" x14ac:dyDescent="0.3">
      <c r="B352" s="44" t="s">
        <v>30</v>
      </c>
      <c r="C352" s="41">
        <v>10</v>
      </c>
      <c r="D352" s="125" t="str">
        <f xml:space="preserve"> IF(C352="","",setValueToTime(C352))</f>
        <v xml:space="preserve"> 50 min</v>
      </c>
      <c r="E352" s="42" t="s">
        <v>76</v>
      </c>
      <c r="F352" s="262"/>
      <c r="G352" s="263"/>
      <c r="H352" s="152"/>
    </row>
    <row r="353" spans="2:8" s="43" customFormat="1" x14ac:dyDescent="0.3">
      <c r="B353" s="44" t="s">
        <v>49</v>
      </c>
      <c r="C353" s="45">
        <v>3</v>
      </c>
      <c r="D353" s="126" t="str">
        <f t="shared" ref="D353:D355" si="55" xml:space="preserve"> IF(C353="","",setValueToTime(C353))</f>
        <v xml:space="preserve"> 15 min</v>
      </c>
      <c r="E353" s="46" t="s">
        <v>77</v>
      </c>
      <c r="F353" s="254"/>
      <c r="G353" s="255"/>
      <c r="H353" s="152"/>
    </row>
    <row r="354" spans="2:8" s="43" customFormat="1" x14ac:dyDescent="0.3">
      <c r="B354" s="44" t="s">
        <v>166</v>
      </c>
      <c r="C354" s="45">
        <v>12</v>
      </c>
      <c r="D354" s="126" t="str">
        <f t="shared" si="55"/>
        <v>1h</v>
      </c>
      <c r="E354" s="46" t="s">
        <v>78</v>
      </c>
      <c r="F354" s="254"/>
      <c r="G354" s="255"/>
      <c r="H354" s="152"/>
    </row>
    <row r="355" spans="2:8" s="43" customFormat="1" ht="27" x14ac:dyDescent="0.3">
      <c r="B355" s="44" t="s">
        <v>161</v>
      </c>
      <c r="C355" s="45">
        <v>11</v>
      </c>
      <c r="D355" s="126" t="str">
        <f t="shared" si="55"/>
        <v xml:space="preserve"> 55 min</v>
      </c>
      <c r="E355" s="46" t="s">
        <v>177</v>
      </c>
      <c r="F355" s="254"/>
      <c r="G355" s="255"/>
      <c r="H355" s="152"/>
    </row>
    <row r="356" spans="2:8" s="43" customFormat="1" x14ac:dyDescent="0.3">
      <c r="B356" s="44"/>
      <c r="C356" s="45"/>
      <c r="D356" s="127" t="str">
        <f t="shared" ref="D356:D359" si="56" xml:space="preserve"> IF(C356="","",setValueToTime(C356))</f>
        <v/>
      </c>
      <c r="E356" s="46"/>
      <c r="F356" s="254"/>
      <c r="G356" s="255"/>
      <c r="H356" s="152"/>
    </row>
    <row r="357" spans="2:8" s="43" customFormat="1" x14ac:dyDescent="0.3">
      <c r="B357" s="44"/>
      <c r="C357" s="45"/>
      <c r="D357" s="127" t="str">
        <f t="shared" si="56"/>
        <v/>
      </c>
      <c r="E357" s="46"/>
      <c r="F357" s="254"/>
      <c r="G357" s="255"/>
      <c r="H357" s="152"/>
    </row>
    <row r="358" spans="2:8" s="43" customFormat="1" x14ac:dyDescent="0.3">
      <c r="B358" s="44"/>
      <c r="C358" s="45"/>
      <c r="D358" s="127" t="str">
        <f t="shared" si="56"/>
        <v/>
      </c>
      <c r="E358" s="46"/>
      <c r="F358" s="254"/>
      <c r="G358" s="255"/>
      <c r="H358" s="152"/>
    </row>
    <row r="359" spans="2:8" s="43" customFormat="1" ht="15" thickBot="1" x14ac:dyDescent="0.35">
      <c r="B359" s="44"/>
      <c r="C359" s="47"/>
      <c r="D359" s="128" t="str">
        <f t="shared" si="56"/>
        <v/>
      </c>
      <c r="E359" s="48"/>
      <c r="F359" s="256"/>
      <c r="G359" s="257"/>
      <c r="H359" s="152"/>
    </row>
    <row r="360" spans="2:8" s="43" customFormat="1" ht="15" thickBot="1" x14ac:dyDescent="0.35">
      <c r="B360" s="86" t="s">
        <v>43</v>
      </c>
      <c r="C360" s="67">
        <f>SUM(C352:C359)</f>
        <v>36</v>
      </c>
      <c r="D360" s="86" t="str">
        <f xml:space="preserve"> setValueToTime(C360)</f>
        <v>3h</v>
      </c>
      <c r="E360" s="95"/>
      <c r="F360" s="258"/>
      <c r="G360" s="259"/>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60" t="s">
        <v>41</v>
      </c>
      <c r="G363" s="261"/>
      <c r="H363" s="151"/>
    </row>
    <row r="364" spans="2:8" s="43" customFormat="1" x14ac:dyDescent="0.3">
      <c r="B364" s="44" t="s">
        <v>30</v>
      </c>
      <c r="C364" s="41">
        <v>9</v>
      </c>
      <c r="D364" s="125" t="str">
        <f xml:space="preserve"> IF(C364="","",setValueToTime(C364))</f>
        <v xml:space="preserve"> 45 min</v>
      </c>
      <c r="E364" s="42" t="s">
        <v>73</v>
      </c>
      <c r="F364" s="262"/>
      <c r="G364" s="263"/>
      <c r="H364" s="152"/>
    </row>
    <row r="365" spans="2:8" s="43" customFormat="1" x14ac:dyDescent="0.3">
      <c r="B365" s="44" t="s">
        <v>31</v>
      </c>
      <c r="C365" s="45">
        <v>5</v>
      </c>
      <c r="D365" s="126" t="str">
        <f t="shared" ref="D365:D367" si="57" xml:space="preserve"> IF(C365="","",setValueToTime(C365))</f>
        <v xml:space="preserve"> 25 min</v>
      </c>
      <c r="E365" s="46" t="s">
        <v>74</v>
      </c>
      <c r="F365" s="254"/>
      <c r="G365" s="255"/>
      <c r="H365" s="152"/>
    </row>
    <row r="366" spans="2:8" s="43" customFormat="1" x14ac:dyDescent="0.3">
      <c r="B366" s="44" t="s">
        <v>47</v>
      </c>
      <c r="C366" s="45">
        <v>12</v>
      </c>
      <c r="D366" s="126" t="str">
        <f t="shared" si="57"/>
        <v>1h</v>
      </c>
      <c r="E366" s="46" t="s">
        <v>75</v>
      </c>
      <c r="F366" s="254"/>
      <c r="G366" s="255"/>
      <c r="H366" s="152"/>
    </row>
    <row r="367" spans="2:8" s="43" customFormat="1" ht="27" x14ac:dyDescent="0.3">
      <c r="B367" s="44" t="s">
        <v>159</v>
      </c>
      <c r="C367" s="45">
        <v>10</v>
      </c>
      <c r="D367" s="126" t="str">
        <f t="shared" si="57"/>
        <v xml:space="preserve"> 50 min</v>
      </c>
      <c r="E367" s="46" t="s">
        <v>178</v>
      </c>
      <c r="F367" s="254"/>
      <c r="G367" s="255"/>
      <c r="H367" s="152"/>
    </row>
    <row r="368" spans="2:8" s="43" customFormat="1" x14ac:dyDescent="0.3">
      <c r="B368" s="44" t="s">
        <v>29</v>
      </c>
      <c r="C368" s="45">
        <v>9</v>
      </c>
      <c r="D368" s="127" t="str">
        <f t="shared" ref="D368:D371" si="58" xml:space="preserve"> IF(C368="","",setValueToTime(C368))</f>
        <v xml:space="preserve"> 45 min</v>
      </c>
      <c r="E368" s="46" t="s">
        <v>179</v>
      </c>
      <c r="F368" s="254"/>
      <c r="G368" s="255"/>
      <c r="H368" s="152"/>
    </row>
    <row r="369" spans="2:8" s="43" customFormat="1" x14ac:dyDescent="0.3">
      <c r="B369" s="44"/>
      <c r="C369" s="45"/>
      <c r="D369" s="127" t="str">
        <f t="shared" si="58"/>
        <v/>
      </c>
      <c r="E369" s="46"/>
      <c r="F369" s="254"/>
      <c r="G369" s="255"/>
      <c r="H369" s="152"/>
    </row>
    <row r="370" spans="2:8" s="43" customFormat="1" x14ac:dyDescent="0.3">
      <c r="B370" s="44"/>
      <c r="C370" s="45"/>
      <c r="D370" s="127" t="str">
        <f t="shared" si="58"/>
        <v/>
      </c>
      <c r="E370" s="46"/>
      <c r="F370" s="254"/>
      <c r="G370" s="255"/>
      <c r="H370" s="152"/>
    </row>
    <row r="371" spans="2:8" s="43" customFormat="1" ht="15" thickBot="1" x14ac:dyDescent="0.35">
      <c r="B371" s="44"/>
      <c r="C371" s="47"/>
      <c r="D371" s="128" t="str">
        <f t="shared" si="58"/>
        <v/>
      </c>
      <c r="E371" s="48"/>
      <c r="F371" s="256"/>
      <c r="G371" s="257"/>
      <c r="H371" s="152"/>
    </row>
    <row r="372" spans="2:8" s="43" customFormat="1" ht="15" thickBot="1" x14ac:dyDescent="0.35">
      <c r="B372" s="86" t="s">
        <v>43</v>
      </c>
      <c r="C372" s="67">
        <f>SUM(C364:C371)</f>
        <v>45</v>
      </c>
      <c r="D372" s="86" t="str">
        <f xml:space="preserve"> setValueToTime(C372)</f>
        <v>3h 45 min</v>
      </c>
      <c r="E372" s="95"/>
      <c r="F372" s="258"/>
      <c r="G372" s="259"/>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s>
  <phoneticPr fontId="0" type="noConversion"/>
  <conditionalFormatting sqref="C372">
    <cfRule type="cellIs" dxfId="62" priority="31" operator="greaterThan">
      <formula>60</formula>
    </cfRule>
  </conditionalFormatting>
  <conditionalFormatting sqref="C360">
    <cfRule type="cellIs" dxfId="61" priority="30" operator="greaterThan">
      <formula>60</formula>
    </cfRule>
  </conditionalFormatting>
  <conditionalFormatting sqref="C348">
    <cfRule type="cellIs" dxfId="60" priority="29" operator="greaterThan">
      <formula>60</formula>
    </cfRule>
  </conditionalFormatting>
  <conditionalFormatting sqref="C336">
    <cfRule type="cellIs" dxfId="59" priority="28" operator="greaterThan">
      <formula>60</formula>
    </cfRule>
  </conditionalFormatting>
  <conditionalFormatting sqref="C324">
    <cfRule type="cellIs" dxfId="58" priority="27" operator="greaterThan">
      <formula>60</formula>
    </cfRule>
  </conditionalFormatting>
  <conditionalFormatting sqref="C312">
    <cfRule type="cellIs" dxfId="57" priority="26" operator="greaterThan">
      <formula>60</formula>
    </cfRule>
  </conditionalFormatting>
  <conditionalFormatting sqref="C300">
    <cfRule type="cellIs" dxfId="56" priority="25" operator="greaterThan">
      <formula>60</formula>
    </cfRule>
  </conditionalFormatting>
  <conditionalFormatting sqref="C288">
    <cfRule type="cellIs" dxfId="55" priority="24" operator="greaterThan">
      <formula>60</formula>
    </cfRule>
  </conditionalFormatting>
  <conditionalFormatting sqref="C276">
    <cfRule type="cellIs" dxfId="54" priority="23" operator="greaterThan">
      <formula>60</formula>
    </cfRule>
  </conditionalFormatting>
  <conditionalFormatting sqref="C264">
    <cfRule type="cellIs" dxfId="53" priority="22" operator="greaterThan">
      <formula>60</formula>
    </cfRule>
  </conditionalFormatting>
  <conditionalFormatting sqref="C252">
    <cfRule type="cellIs" dxfId="52" priority="21" operator="greaterThan">
      <formula>60</formula>
    </cfRule>
  </conditionalFormatting>
  <conditionalFormatting sqref="C240">
    <cfRule type="cellIs" dxfId="51" priority="20" operator="greaterThan">
      <formula>60</formula>
    </cfRule>
  </conditionalFormatting>
  <conditionalFormatting sqref="C228">
    <cfRule type="cellIs" dxfId="50" priority="19" operator="greaterThan">
      <formula>60</formula>
    </cfRule>
  </conditionalFormatting>
  <conditionalFormatting sqref="C216">
    <cfRule type="cellIs" dxfId="49" priority="18" operator="greaterThan">
      <formula>60</formula>
    </cfRule>
  </conditionalFormatting>
  <conditionalFormatting sqref="C204">
    <cfRule type="cellIs" dxfId="48" priority="17" operator="greaterThan">
      <formula>60</formula>
    </cfRule>
  </conditionalFormatting>
  <conditionalFormatting sqref="C192">
    <cfRule type="cellIs" dxfId="47" priority="16" operator="greaterThan">
      <formula>60</formula>
    </cfRule>
  </conditionalFormatting>
  <conditionalFormatting sqref="C180">
    <cfRule type="cellIs" dxfId="46" priority="15" operator="greaterThan">
      <formula>60</formula>
    </cfRule>
  </conditionalFormatting>
  <conditionalFormatting sqref="C168">
    <cfRule type="cellIs" dxfId="45" priority="14" operator="greaterThan">
      <formula>60</formula>
    </cfRule>
  </conditionalFormatting>
  <conditionalFormatting sqref="C156">
    <cfRule type="cellIs" dxfId="44" priority="13" operator="greaterThan">
      <formula>60</formula>
    </cfRule>
  </conditionalFormatting>
  <conditionalFormatting sqref="C144">
    <cfRule type="cellIs" dxfId="43" priority="12" operator="greaterThan">
      <formula>60</formula>
    </cfRule>
  </conditionalFormatting>
  <conditionalFormatting sqref="C132">
    <cfRule type="cellIs" dxfId="42" priority="11" operator="greaterThan">
      <formula>60</formula>
    </cfRule>
  </conditionalFormatting>
  <conditionalFormatting sqref="C120">
    <cfRule type="cellIs" dxfId="41" priority="10" operator="greaterThan">
      <formula>60</formula>
    </cfRule>
  </conditionalFormatting>
  <conditionalFormatting sqref="C108">
    <cfRule type="cellIs" dxfId="40" priority="9" operator="greaterThan">
      <formula>60</formula>
    </cfRule>
  </conditionalFormatting>
  <conditionalFormatting sqref="C96">
    <cfRule type="cellIs" dxfId="39" priority="8" operator="greaterThan">
      <formula>60</formula>
    </cfRule>
  </conditionalFormatting>
  <conditionalFormatting sqref="C84">
    <cfRule type="cellIs" dxfId="38" priority="7" operator="greaterThan">
      <formula>60</formula>
    </cfRule>
  </conditionalFormatting>
  <conditionalFormatting sqref="C72">
    <cfRule type="cellIs" dxfId="37" priority="6" operator="greaterThan">
      <formula>60</formula>
    </cfRule>
  </conditionalFormatting>
  <conditionalFormatting sqref="C60">
    <cfRule type="cellIs" dxfId="36" priority="5" operator="greaterThan">
      <formula>60</formula>
    </cfRule>
  </conditionalFormatting>
  <conditionalFormatting sqref="C48">
    <cfRule type="cellIs" dxfId="35" priority="4" operator="greaterThan">
      <formula>60</formula>
    </cfRule>
  </conditionalFormatting>
  <conditionalFormatting sqref="C36">
    <cfRule type="cellIs" dxfId="34" priority="3" operator="greaterThan">
      <formula>60</formula>
    </cfRule>
  </conditionalFormatting>
  <conditionalFormatting sqref="C24">
    <cfRule type="cellIs" dxfId="33" priority="2" operator="greaterThan">
      <formula>60</formula>
    </cfRule>
  </conditionalFormatting>
  <conditionalFormatting sqref="C12">
    <cfRule type="cellIs" dxfId="3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61"/>
  <sheetViews>
    <sheetView showGridLines="0" tabSelected="1" zoomScale="115" zoomScaleNormal="115" zoomScaleSheetLayoutView="98" workbookViewId="0">
      <pane ySplit="1" topLeftCell="A2" activePane="bottomLeft" state="frozen"/>
      <selection pane="bottomLeft" activeCell="C9" sqref="C9"/>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30</v>
      </c>
      <c r="D2" s="137"/>
      <c r="E2" s="130" t="s">
        <v>37</v>
      </c>
      <c r="F2" s="131">
        <v>46090</v>
      </c>
      <c r="G2" s="132"/>
      <c r="H2" s="151"/>
    </row>
    <row r="3" spans="2:8" s="39" customFormat="1" ht="30" customHeight="1" thickBot="1" x14ac:dyDescent="0.3">
      <c r="B3" s="61" t="s">
        <v>38</v>
      </c>
      <c r="C3" s="134" t="s">
        <v>39</v>
      </c>
      <c r="D3" s="133"/>
      <c r="E3" s="61" t="s">
        <v>40</v>
      </c>
      <c r="F3" s="266" t="s">
        <v>41</v>
      </c>
      <c r="G3" s="267"/>
      <c r="H3" s="151"/>
    </row>
    <row r="4" spans="2:8" s="43" customFormat="1" ht="27" x14ac:dyDescent="0.3">
      <c r="B4" s="40" t="s">
        <v>30</v>
      </c>
      <c r="C4" s="41">
        <v>3</v>
      </c>
      <c r="D4" s="125" t="str">
        <f xml:space="preserve"> IF(C4="","",setValueToTime(C4))</f>
        <v xml:space="preserve"> 15 min</v>
      </c>
      <c r="E4" s="42"/>
      <c r="F4" s="262"/>
      <c r="G4" s="263"/>
      <c r="H4" s="152"/>
    </row>
    <row r="5" spans="2:8" s="43" customFormat="1" x14ac:dyDescent="0.3">
      <c r="B5" s="44" t="s">
        <v>31</v>
      </c>
      <c r="C5" s="45">
        <v>24</v>
      </c>
      <c r="D5" s="126" t="str">
        <f t="shared" ref="D5:D11" si="0" xml:space="preserve"> IF(C5="","",setValueToTime(C5))</f>
        <v>2h</v>
      </c>
      <c r="E5" s="46" t="s">
        <v>273</v>
      </c>
      <c r="F5" s="254"/>
      <c r="G5" s="255"/>
      <c r="H5" s="152"/>
    </row>
    <row r="6" spans="2:8" s="43" customFormat="1" x14ac:dyDescent="0.3">
      <c r="B6" s="44" t="s">
        <v>167</v>
      </c>
      <c r="C6" s="45">
        <v>6</v>
      </c>
      <c r="D6" s="126" t="str">
        <f t="shared" si="0"/>
        <v xml:space="preserve"> 30 min</v>
      </c>
      <c r="E6" s="46" t="s">
        <v>272</v>
      </c>
      <c r="F6" s="254"/>
      <c r="G6" s="255"/>
      <c r="H6" s="152"/>
    </row>
    <row r="7" spans="2:8" s="43" customFormat="1" x14ac:dyDescent="0.3">
      <c r="B7" s="44"/>
      <c r="C7" s="45"/>
      <c r="D7" s="126"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x14ac:dyDescent="0.3">
      <c r="B10" s="45"/>
      <c r="C10" s="45"/>
      <c r="D10" s="127" t="str">
        <f t="shared" si="0"/>
        <v/>
      </c>
      <c r="E10" s="46"/>
      <c r="F10" s="254"/>
      <c r="G10" s="255"/>
      <c r="H10" s="152"/>
    </row>
    <row r="11" spans="2:8" s="43" customFormat="1" ht="15" thickBot="1" x14ac:dyDescent="0.35">
      <c r="B11" s="47"/>
      <c r="C11" s="47"/>
      <c r="D11" s="128" t="str">
        <f t="shared" si="0"/>
        <v/>
      </c>
      <c r="E11" s="48"/>
      <c r="F11" s="256"/>
      <c r="G11" s="257"/>
      <c r="H11" s="152"/>
    </row>
    <row r="12" spans="2:8" s="43" customFormat="1" ht="15" thickBot="1" x14ac:dyDescent="0.35">
      <c r="B12" s="135" t="s">
        <v>43</v>
      </c>
      <c r="C12" s="66">
        <f>SUM(C4:C11)</f>
        <v>33</v>
      </c>
      <c r="D12" s="135" t="str">
        <f xml:space="preserve"> setValueToTime(C12)</f>
        <v>2h 45 min</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29</v>
      </c>
      <c r="D14" s="137"/>
      <c r="E14" s="130" t="s">
        <v>37</v>
      </c>
      <c r="F14" s="131">
        <v>46090</v>
      </c>
      <c r="G14" s="132"/>
      <c r="H14" s="151"/>
    </row>
    <row r="15" spans="2:8" s="39" customFormat="1" ht="30" customHeight="1" thickBot="1" x14ac:dyDescent="0.3">
      <c r="B15" s="61" t="s">
        <v>38</v>
      </c>
      <c r="C15" s="134" t="s">
        <v>39</v>
      </c>
      <c r="D15" s="133"/>
      <c r="E15" s="61" t="s">
        <v>40</v>
      </c>
      <c r="F15" s="266" t="s">
        <v>41</v>
      </c>
      <c r="G15" s="267"/>
      <c r="H15" s="151"/>
    </row>
    <row r="16" spans="2:8" s="43" customFormat="1" ht="27" x14ac:dyDescent="0.3">
      <c r="B16" s="40" t="s">
        <v>30</v>
      </c>
      <c r="C16" s="41">
        <v>4</v>
      </c>
      <c r="D16" s="125" t="str">
        <f xml:space="preserve"> IF(C16="","",setValueToTime(C16))</f>
        <v xml:space="preserve"> 20 min</v>
      </c>
      <c r="E16" s="42"/>
      <c r="F16" s="262"/>
      <c r="G16" s="263"/>
      <c r="H16" s="152"/>
    </row>
    <row r="17" spans="2:8" s="43" customFormat="1" x14ac:dyDescent="0.3">
      <c r="B17" s="44" t="s">
        <v>31</v>
      </c>
      <c r="C17" s="45">
        <v>20</v>
      </c>
      <c r="D17" s="126" t="str">
        <f t="shared" ref="D17:D23" si="1" xml:space="preserve"> IF(C17="","",setValueToTime(C17))</f>
        <v>1h 40 min</v>
      </c>
      <c r="E17" s="46" t="s">
        <v>271</v>
      </c>
      <c r="F17" s="254"/>
      <c r="G17" s="255"/>
      <c r="H17" s="152"/>
    </row>
    <row r="18" spans="2:8" s="43" customFormat="1" x14ac:dyDescent="0.3">
      <c r="B18" s="44" t="s">
        <v>167</v>
      </c>
      <c r="C18" s="45">
        <v>12</v>
      </c>
      <c r="D18" s="126" t="str">
        <f t="shared" si="1"/>
        <v>1h</v>
      </c>
      <c r="E18" s="46" t="s">
        <v>272</v>
      </c>
      <c r="F18" s="254"/>
      <c r="G18" s="255"/>
      <c r="H18" s="152"/>
    </row>
    <row r="19" spans="2:8" s="43" customFormat="1" x14ac:dyDescent="0.3">
      <c r="B19" s="44"/>
      <c r="C19" s="45"/>
      <c r="D19" s="126" t="str">
        <f t="shared" si="1"/>
        <v/>
      </c>
      <c r="E19" s="46"/>
      <c r="F19" s="254"/>
      <c r="G19" s="255"/>
      <c r="H19" s="152"/>
    </row>
    <row r="20" spans="2:8" s="43" customFormat="1" x14ac:dyDescent="0.3">
      <c r="B20" s="45"/>
      <c r="C20" s="45"/>
      <c r="D20" s="127" t="str">
        <f t="shared" si="1"/>
        <v/>
      </c>
      <c r="E20" s="46"/>
      <c r="F20" s="254"/>
      <c r="G20" s="255"/>
      <c r="H20" s="152"/>
    </row>
    <row r="21" spans="2:8" s="43" customFormat="1" x14ac:dyDescent="0.3">
      <c r="B21" s="45"/>
      <c r="C21" s="45"/>
      <c r="D21" s="127" t="str">
        <f t="shared" si="1"/>
        <v/>
      </c>
      <c r="E21" s="46"/>
      <c r="F21" s="254"/>
      <c r="G21" s="255"/>
      <c r="H21" s="152"/>
    </row>
    <row r="22" spans="2:8" s="43" customFormat="1" x14ac:dyDescent="0.3">
      <c r="B22" s="45"/>
      <c r="C22" s="45"/>
      <c r="D22" s="127" t="str">
        <f t="shared" si="1"/>
        <v/>
      </c>
      <c r="E22" s="46"/>
      <c r="F22" s="254"/>
      <c r="G22" s="255"/>
      <c r="H22" s="152"/>
    </row>
    <row r="23" spans="2:8" s="43" customFormat="1" ht="15" thickBot="1" x14ac:dyDescent="0.35">
      <c r="B23" s="47"/>
      <c r="C23" s="47"/>
      <c r="D23" s="128" t="str">
        <f t="shared" si="1"/>
        <v/>
      </c>
      <c r="E23" s="48"/>
      <c r="F23" s="256"/>
      <c r="G23" s="257"/>
      <c r="H23" s="152"/>
    </row>
    <row r="24" spans="2:8" s="43" customFormat="1" ht="15" thickBot="1" x14ac:dyDescent="0.35">
      <c r="B24" s="135" t="s">
        <v>43</v>
      </c>
      <c r="C24" s="66">
        <f>SUM(C16:C23)</f>
        <v>36</v>
      </c>
      <c r="D24" s="135" t="str">
        <f xml:space="preserve"> setValueToTime(C24)</f>
        <v>3h</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28</v>
      </c>
      <c r="D26" s="137"/>
      <c r="E26" s="130" t="s">
        <v>37</v>
      </c>
      <c r="F26" s="131" t="s">
        <v>58</v>
      </c>
      <c r="G26" s="132" t="s">
        <v>55</v>
      </c>
      <c r="H26" s="151"/>
    </row>
    <row r="27" spans="2:8" s="39" customFormat="1" ht="30" customHeight="1" thickBot="1" x14ac:dyDescent="0.3">
      <c r="B27" s="61" t="s">
        <v>38</v>
      </c>
      <c r="C27" s="134" t="s">
        <v>39</v>
      </c>
      <c r="D27" s="133"/>
      <c r="E27" s="61" t="s">
        <v>40</v>
      </c>
      <c r="F27" s="266" t="s">
        <v>41</v>
      </c>
      <c r="G27" s="267"/>
      <c r="H27" s="151"/>
    </row>
    <row r="28" spans="2:8" s="43" customFormat="1" x14ac:dyDescent="0.3">
      <c r="B28" s="40" t="s">
        <v>33</v>
      </c>
      <c r="C28" s="41">
        <v>9</v>
      </c>
      <c r="D28" s="125" t="str">
        <f xml:space="preserve"> IF(C28="","",setValueToTime(C28))</f>
        <v xml:space="preserve"> 45 min</v>
      </c>
      <c r="E28" s="42" t="s">
        <v>262</v>
      </c>
      <c r="F28" s="262"/>
      <c r="G28" s="263"/>
      <c r="H28" s="152"/>
    </row>
    <row r="29" spans="2:8" s="43" customFormat="1" ht="27" x14ac:dyDescent="0.3">
      <c r="B29" s="44" t="s">
        <v>30</v>
      </c>
      <c r="C29" s="45">
        <v>3</v>
      </c>
      <c r="D29" s="126" t="str">
        <f t="shared" ref="D29:D35" si="2" xml:space="preserve"> IF(C29="","",setValueToTime(C29))</f>
        <v xml:space="preserve"> 15 min</v>
      </c>
      <c r="E29" s="46"/>
      <c r="F29" s="254"/>
      <c r="G29" s="255"/>
      <c r="H29" s="152"/>
    </row>
    <row r="30" spans="2:8" s="43" customFormat="1" ht="40.5" x14ac:dyDescent="0.3">
      <c r="B30" s="44" t="s">
        <v>31</v>
      </c>
      <c r="C30" s="45">
        <v>24</v>
      </c>
      <c r="D30" s="126" t="str">
        <f t="shared" si="2"/>
        <v>2h</v>
      </c>
      <c r="E30" s="46" t="s">
        <v>263</v>
      </c>
      <c r="F30" s="254"/>
      <c r="G30" s="255"/>
      <c r="H30" s="152"/>
    </row>
    <row r="31" spans="2:8" s="43" customFormat="1" x14ac:dyDescent="0.3">
      <c r="B31" s="44"/>
      <c r="C31" s="45"/>
      <c r="D31" s="126" t="str">
        <f t="shared" si="2"/>
        <v/>
      </c>
      <c r="E31" s="46"/>
      <c r="F31" s="254"/>
      <c r="G31" s="255"/>
      <c r="H31" s="152"/>
    </row>
    <row r="32" spans="2:8" s="43" customFormat="1" x14ac:dyDescent="0.3">
      <c r="B32" s="45"/>
      <c r="C32" s="45"/>
      <c r="D32" s="127" t="str">
        <f t="shared" si="2"/>
        <v/>
      </c>
      <c r="E32" s="46"/>
      <c r="F32" s="254"/>
      <c r="G32" s="255"/>
      <c r="H32" s="152"/>
    </row>
    <row r="33" spans="2:8" s="43" customFormat="1" x14ac:dyDescent="0.3">
      <c r="B33" s="45"/>
      <c r="C33" s="45"/>
      <c r="D33" s="127" t="str">
        <f t="shared" si="2"/>
        <v/>
      </c>
      <c r="E33" s="46"/>
      <c r="F33" s="254"/>
      <c r="G33" s="255"/>
      <c r="H33" s="152"/>
    </row>
    <row r="34" spans="2:8" s="43" customFormat="1" x14ac:dyDescent="0.3">
      <c r="B34" s="45"/>
      <c r="C34" s="45"/>
      <c r="D34" s="127" t="str">
        <f t="shared" si="2"/>
        <v/>
      </c>
      <c r="E34" s="46"/>
      <c r="F34" s="254"/>
      <c r="G34" s="255"/>
      <c r="H34" s="152"/>
    </row>
    <row r="35" spans="2:8" s="43" customFormat="1" ht="15" thickBot="1" x14ac:dyDescent="0.35">
      <c r="B35" s="47"/>
      <c r="C35" s="47"/>
      <c r="D35" s="128" t="str">
        <f t="shared" si="2"/>
        <v/>
      </c>
      <c r="E35" s="48"/>
      <c r="F35" s="256"/>
      <c r="G35" s="257"/>
      <c r="H35" s="152"/>
    </row>
    <row r="36" spans="2:8" s="43" customFormat="1" ht="15" thickBot="1" x14ac:dyDescent="0.35">
      <c r="B36" s="135" t="s">
        <v>43</v>
      </c>
      <c r="C36" s="66">
        <f>SUM(C28:C35)</f>
        <v>36</v>
      </c>
      <c r="D36" s="135" t="str">
        <f xml:space="preserve"> setValueToTime(C36)</f>
        <v>3h</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27</v>
      </c>
      <c r="D38" s="137"/>
      <c r="E38" s="130" t="s">
        <v>37</v>
      </c>
      <c r="F38" s="131" t="s">
        <v>58</v>
      </c>
      <c r="G38" s="132" t="s">
        <v>56</v>
      </c>
      <c r="H38" s="151"/>
    </row>
    <row r="39" spans="2:8" s="39" customFormat="1" ht="30" customHeight="1" thickBot="1" x14ac:dyDescent="0.3">
      <c r="B39" s="61" t="s">
        <v>38</v>
      </c>
      <c r="C39" s="134" t="s">
        <v>39</v>
      </c>
      <c r="D39" s="133"/>
      <c r="E39" s="61" t="s">
        <v>40</v>
      </c>
      <c r="F39" s="266" t="s">
        <v>41</v>
      </c>
      <c r="G39" s="267"/>
      <c r="H39" s="151"/>
    </row>
    <row r="40" spans="2:8" s="43" customFormat="1" x14ac:dyDescent="0.3">
      <c r="B40" s="40" t="s">
        <v>33</v>
      </c>
      <c r="C40" s="41">
        <v>8</v>
      </c>
      <c r="D40" s="125" t="str">
        <f xml:space="preserve"> IF(C40="","",setValueToTime(C40))</f>
        <v xml:space="preserve"> 40 min</v>
      </c>
      <c r="E40" s="42" t="s">
        <v>261</v>
      </c>
      <c r="F40" s="262"/>
      <c r="G40" s="263"/>
      <c r="H40" s="152"/>
    </row>
    <row r="41" spans="2:8" s="43" customFormat="1" x14ac:dyDescent="0.3">
      <c r="B41" s="44" t="s">
        <v>165</v>
      </c>
      <c r="C41" s="45">
        <v>6</v>
      </c>
      <c r="D41" s="126" t="str">
        <f t="shared" ref="D41:D47" si="3" xml:space="preserve"> IF(C41="","",setValueToTime(C41))</f>
        <v xml:space="preserve"> 30 min</v>
      </c>
      <c r="E41" s="46" t="s">
        <v>264</v>
      </c>
      <c r="F41" s="254"/>
      <c r="G41" s="255"/>
      <c r="H41" s="152"/>
    </row>
    <row r="42" spans="2:8" s="43" customFormat="1" ht="27" x14ac:dyDescent="0.3">
      <c r="B42" s="44" t="s">
        <v>30</v>
      </c>
      <c r="C42" s="45">
        <v>3</v>
      </c>
      <c r="D42" s="126" t="str">
        <f t="shared" si="3"/>
        <v xml:space="preserve"> 15 min</v>
      </c>
      <c r="E42" s="46"/>
      <c r="F42" s="254"/>
      <c r="G42" s="255"/>
      <c r="H42" s="152"/>
    </row>
    <row r="43" spans="2:8" s="43" customFormat="1" x14ac:dyDescent="0.3">
      <c r="B43" s="44" t="s">
        <v>31</v>
      </c>
      <c r="C43" s="45">
        <v>19</v>
      </c>
      <c r="D43" s="126" t="str">
        <f t="shared" si="3"/>
        <v>1h 35 min</v>
      </c>
      <c r="E43" s="46" t="s">
        <v>260</v>
      </c>
      <c r="F43" s="254"/>
      <c r="G43" s="255"/>
      <c r="H43" s="152"/>
    </row>
    <row r="44" spans="2:8" s="43" customFormat="1" x14ac:dyDescent="0.3">
      <c r="B44" s="45" t="s">
        <v>27</v>
      </c>
      <c r="C44" s="45">
        <v>6</v>
      </c>
      <c r="D44" s="127" t="str">
        <f t="shared" si="3"/>
        <v xml:space="preserve"> 30 min</v>
      </c>
      <c r="E44" s="46" t="s">
        <v>259</v>
      </c>
      <c r="F44" s="254"/>
      <c r="G44" s="255"/>
      <c r="H44" s="152"/>
    </row>
    <row r="45" spans="2:8" s="43" customFormat="1" x14ac:dyDescent="0.3">
      <c r="B45" s="45"/>
      <c r="C45" s="45"/>
      <c r="D45" s="127" t="str">
        <f t="shared" si="3"/>
        <v/>
      </c>
      <c r="E45" s="46"/>
      <c r="F45" s="254"/>
      <c r="G45" s="255"/>
      <c r="H45" s="152"/>
    </row>
    <row r="46" spans="2:8" s="43" customFormat="1" x14ac:dyDescent="0.3">
      <c r="B46" s="45"/>
      <c r="C46" s="45"/>
      <c r="D46" s="127" t="str">
        <f t="shared" si="3"/>
        <v/>
      </c>
      <c r="E46" s="46"/>
      <c r="F46" s="254"/>
      <c r="G46" s="255"/>
      <c r="H46" s="152"/>
    </row>
    <row r="47" spans="2:8" s="43" customFormat="1" ht="15" thickBot="1" x14ac:dyDescent="0.35">
      <c r="B47" s="47"/>
      <c r="C47" s="47"/>
      <c r="D47" s="128" t="str">
        <f t="shared" si="3"/>
        <v/>
      </c>
      <c r="E47" s="48"/>
      <c r="F47" s="256"/>
      <c r="G47" s="257"/>
      <c r="H47" s="152"/>
    </row>
    <row r="48" spans="2:8" s="43" customFormat="1" ht="15" thickBot="1" x14ac:dyDescent="0.35">
      <c r="B48" s="135" t="s">
        <v>43</v>
      </c>
      <c r="C48" s="66">
        <f>SUM(C40:C47)</f>
        <v>42</v>
      </c>
      <c r="D48" s="135" t="str">
        <f xml:space="preserve"> setValueToTime(C48)</f>
        <v>3h 30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26</v>
      </c>
      <c r="D50" s="137"/>
      <c r="E50" s="130" t="s">
        <v>37</v>
      </c>
      <c r="F50" s="131" t="s">
        <v>61</v>
      </c>
      <c r="G50" s="132" t="s">
        <v>55</v>
      </c>
      <c r="H50" s="151"/>
    </row>
    <row r="51" spans="2:8" s="39" customFormat="1" ht="30" customHeight="1" thickBot="1" x14ac:dyDescent="0.3">
      <c r="B51" s="61" t="s">
        <v>38</v>
      </c>
      <c r="C51" s="134" t="s">
        <v>39</v>
      </c>
      <c r="D51" s="133"/>
      <c r="E51" s="61" t="s">
        <v>40</v>
      </c>
      <c r="F51" s="266" t="s">
        <v>41</v>
      </c>
      <c r="G51" s="267"/>
      <c r="H51" s="151"/>
    </row>
    <row r="52" spans="2:8" s="43" customFormat="1" ht="27" x14ac:dyDescent="0.3">
      <c r="B52" s="40" t="s">
        <v>30</v>
      </c>
      <c r="C52" s="41">
        <v>3</v>
      </c>
      <c r="D52" s="125" t="str">
        <f xml:space="preserve"> IF(C52="","",setValueToTime(C52))</f>
        <v xml:space="preserve"> 15 min</v>
      </c>
      <c r="E52" s="42"/>
      <c r="F52" s="262"/>
      <c r="G52" s="263"/>
      <c r="H52" s="152"/>
    </row>
    <row r="53" spans="2:8" s="43" customFormat="1" ht="27" x14ac:dyDescent="0.3">
      <c r="B53" s="44" t="s">
        <v>49</v>
      </c>
      <c r="C53" s="45">
        <v>7</v>
      </c>
      <c r="D53" s="126" t="str">
        <f t="shared" ref="D53:D59" si="4" xml:space="preserve"> IF(C53="","",setValueToTime(C53))</f>
        <v xml:space="preserve"> 35 min</v>
      </c>
      <c r="E53" s="46" t="s">
        <v>257</v>
      </c>
      <c r="F53" s="254"/>
      <c r="G53" s="255"/>
      <c r="H53" s="152"/>
    </row>
    <row r="54" spans="2:8" s="43" customFormat="1" x14ac:dyDescent="0.3">
      <c r="B54" s="44" t="s">
        <v>31</v>
      </c>
      <c r="C54" s="45">
        <v>16</v>
      </c>
      <c r="D54" s="126" t="str">
        <f t="shared" si="4"/>
        <v>1h 20 min</v>
      </c>
      <c r="E54" s="46" t="s">
        <v>265</v>
      </c>
      <c r="F54" s="254"/>
      <c r="G54" s="255"/>
      <c r="H54" s="152"/>
    </row>
    <row r="55" spans="2:8" s="43" customFormat="1" x14ac:dyDescent="0.3">
      <c r="B55" s="44" t="s">
        <v>165</v>
      </c>
      <c r="C55" s="45">
        <v>10</v>
      </c>
      <c r="D55" s="126" t="str">
        <f t="shared" si="4"/>
        <v xml:space="preserve"> 50 min</v>
      </c>
      <c r="E55" s="46" t="s">
        <v>258</v>
      </c>
      <c r="F55" s="254"/>
      <c r="G55" s="255"/>
      <c r="H55" s="152"/>
    </row>
    <row r="56" spans="2:8" s="43" customFormat="1" x14ac:dyDescent="0.3">
      <c r="B56" s="45"/>
      <c r="C56" s="45"/>
      <c r="D56" s="127" t="str">
        <f t="shared" si="4"/>
        <v/>
      </c>
      <c r="E56" s="46"/>
      <c r="F56" s="254"/>
      <c r="G56" s="255"/>
      <c r="H56" s="152"/>
    </row>
    <row r="57" spans="2:8" s="43" customFormat="1" x14ac:dyDescent="0.3">
      <c r="B57" s="45"/>
      <c r="C57" s="45"/>
      <c r="D57" s="127" t="str">
        <f t="shared" si="4"/>
        <v/>
      </c>
      <c r="E57" s="46"/>
      <c r="F57" s="254"/>
      <c r="G57" s="255"/>
      <c r="H57" s="152"/>
    </row>
    <row r="58" spans="2:8" s="43" customFormat="1" x14ac:dyDescent="0.3">
      <c r="B58" s="45"/>
      <c r="C58" s="45"/>
      <c r="D58" s="127" t="str">
        <f t="shared" si="4"/>
        <v/>
      </c>
      <c r="E58" s="46"/>
      <c r="F58" s="254"/>
      <c r="G58" s="255"/>
      <c r="H58" s="152"/>
    </row>
    <row r="59" spans="2:8" s="43" customFormat="1" ht="15" thickBot="1" x14ac:dyDescent="0.35">
      <c r="B59" s="47"/>
      <c r="C59" s="47"/>
      <c r="D59" s="128" t="str">
        <f t="shared" si="4"/>
        <v/>
      </c>
      <c r="E59" s="48"/>
      <c r="F59" s="256"/>
      <c r="G59" s="257"/>
      <c r="H59" s="152"/>
    </row>
    <row r="60" spans="2:8" s="43" customFormat="1" ht="15" thickBot="1" x14ac:dyDescent="0.35">
      <c r="B60" s="135" t="s">
        <v>43</v>
      </c>
      <c r="C60" s="66">
        <f>SUM(C52:C59)</f>
        <v>36</v>
      </c>
      <c r="D60" s="135" t="str">
        <f xml:space="preserve"> setValueToTime(C60)</f>
        <v>3h</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25</v>
      </c>
      <c r="D62" s="137"/>
      <c r="E62" s="130" t="s">
        <v>37</v>
      </c>
      <c r="F62" s="131" t="s">
        <v>61</v>
      </c>
      <c r="G62" s="132" t="s">
        <v>56</v>
      </c>
      <c r="H62" s="151"/>
    </row>
    <row r="63" spans="2:8" s="39" customFormat="1" ht="30" customHeight="1" thickBot="1" x14ac:dyDescent="0.3">
      <c r="B63" s="61" t="s">
        <v>38</v>
      </c>
      <c r="C63" s="134" t="s">
        <v>39</v>
      </c>
      <c r="D63" s="133"/>
      <c r="E63" s="61" t="s">
        <v>40</v>
      </c>
      <c r="F63" s="266" t="s">
        <v>41</v>
      </c>
      <c r="G63" s="267"/>
      <c r="H63" s="151"/>
    </row>
    <row r="64" spans="2:8" s="43" customFormat="1" ht="27.75" thickBot="1" x14ac:dyDescent="0.35">
      <c r="B64" s="40" t="s">
        <v>30</v>
      </c>
      <c r="C64" s="41">
        <v>3</v>
      </c>
      <c r="D64" s="125" t="str">
        <f xml:space="preserve"> IF(C64="","",setValueToTime(C64))</f>
        <v xml:space="preserve"> 15 min</v>
      </c>
      <c r="E64" s="42"/>
      <c r="F64" s="262"/>
      <c r="G64" s="263"/>
      <c r="H64" s="152"/>
    </row>
    <row r="65" spans="2:8" s="43" customFormat="1" ht="27" x14ac:dyDescent="0.3">
      <c r="B65" s="44" t="s">
        <v>31</v>
      </c>
      <c r="C65" s="45">
        <v>30</v>
      </c>
      <c r="D65" s="126" t="str">
        <f t="shared" ref="D65:D71" si="5" xml:space="preserve"> IF(C65="","",setValueToTime(C65))</f>
        <v>2h 30 min</v>
      </c>
      <c r="E65" s="42" t="s">
        <v>255</v>
      </c>
      <c r="F65" s="254"/>
      <c r="G65" s="255"/>
      <c r="H65" s="152"/>
    </row>
    <row r="66" spans="2:8" s="43" customFormat="1" x14ac:dyDescent="0.3">
      <c r="B66" s="44" t="s">
        <v>165</v>
      </c>
      <c r="C66" s="45">
        <v>9</v>
      </c>
      <c r="D66" s="126" t="str">
        <f t="shared" si="5"/>
        <v xml:space="preserve"> 45 min</v>
      </c>
      <c r="E66" s="46" t="s">
        <v>256</v>
      </c>
      <c r="F66" s="254"/>
      <c r="G66" s="255"/>
      <c r="H66" s="152"/>
    </row>
    <row r="67" spans="2:8" s="43" customFormat="1" x14ac:dyDescent="0.3">
      <c r="B67" s="44"/>
      <c r="C67" s="45"/>
      <c r="D67" s="126" t="str">
        <f t="shared" si="5"/>
        <v/>
      </c>
      <c r="E67" s="46"/>
      <c r="F67" s="254"/>
      <c r="G67" s="255"/>
      <c r="H67" s="152"/>
    </row>
    <row r="68" spans="2:8" s="43" customFormat="1" x14ac:dyDescent="0.3">
      <c r="B68" s="45"/>
      <c r="C68" s="45"/>
      <c r="D68" s="127" t="str">
        <f t="shared" si="5"/>
        <v/>
      </c>
      <c r="E68" s="46"/>
      <c r="F68" s="254"/>
      <c r="G68" s="255"/>
      <c r="H68" s="152"/>
    </row>
    <row r="69" spans="2:8" s="43" customFormat="1" x14ac:dyDescent="0.3">
      <c r="B69" s="45"/>
      <c r="C69" s="45"/>
      <c r="D69" s="127" t="str">
        <f t="shared" si="5"/>
        <v/>
      </c>
      <c r="E69" s="46"/>
      <c r="F69" s="254"/>
      <c r="G69" s="255"/>
      <c r="H69" s="152"/>
    </row>
    <row r="70" spans="2:8" s="43" customFormat="1" x14ac:dyDescent="0.3">
      <c r="B70" s="45"/>
      <c r="C70" s="45"/>
      <c r="D70" s="127" t="str">
        <f t="shared" si="5"/>
        <v/>
      </c>
      <c r="E70" s="46"/>
      <c r="F70" s="254"/>
      <c r="G70" s="255"/>
      <c r="H70" s="152"/>
    </row>
    <row r="71" spans="2:8" s="43" customFormat="1" ht="15" thickBot="1" x14ac:dyDescent="0.35">
      <c r="B71" s="47"/>
      <c r="C71" s="47"/>
      <c r="D71" s="128" t="str">
        <f t="shared" si="5"/>
        <v/>
      </c>
      <c r="E71" s="48"/>
      <c r="F71" s="256"/>
      <c r="G71" s="257"/>
      <c r="H71" s="152"/>
    </row>
    <row r="72" spans="2:8" s="43" customFormat="1" ht="15" thickBot="1" x14ac:dyDescent="0.35">
      <c r="B72" s="135" t="s">
        <v>43</v>
      </c>
      <c r="C72" s="66">
        <f>SUM(C64:C71)</f>
        <v>42</v>
      </c>
      <c r="D72" s="135" t="str">
        <f xml:space="preserve"> setValueToTime(C72)</f>
        <v>3h 30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24</v>
      </c>
      <c r="D74" s="137"/>
      <c r="E74" s="130" t="s">
        <v>37</v>
      </c>
      <c r="F74" s="131" t="s">
        <v>64</v>
      </c>
      <c r="G74" s="132" t="s">
        <v>55</v>
      </c>
      <c r="H74" s="151"/>
    </row>
    <row r="75" spans="2:8" s="39" customFormat="1" ht="30" customHeight="1" thickBot="1" x14ac:dyDescent="0.3">
      <c r="B75" s="61" t="s">
        <v>38</v>
      </c>
      <c r="C75" s="134" t="s">
        <v>39</v>
      </c>
      <c r="D75" s="133"/>
      <c r="E75" s="61" t="s">
        <v>40</v>
      </c>
      <c r="F75" s="266" t="s">
        <v>41</v>
      </c>
      <c r="G75" s="267"/>
      <c r="H75" s="151"/>
    </row>
    <row r="76" spans="2:8" s="43" customFormat="1" ht="27" x14ac:dyDescent="0.3">
      <c r="B76" s="40" t="s">
        <v>31</v>
      </c>
      <c r="C76" s="41">
        <v>18</v>
      </c>
      <c r="D76" s="125" t="str">
        <f xml:space="preserve"> IF(C76="","",setValueToTime(C76))</f>
        <v>1h 30 min</v>
      </c>
      <c r="E76" s="46" t="s">
        <v>266</v>
      </c>
      <c r="F76" s="262"/>
      <c r="G76" s="263"/>
      <c r="H76" s="152"/>
    </row>
    <row r="77" spans="2:8" s="43" customFormat="1" ht="27" x14ac:dyDescent="0.3">
      <c r="B77" s="44" t="s">
        <v>30</v>
      </c>
      <c r="C77" s="45">
        <v>3</v>
      </c>
      <c r="D77" s="126" t="str">
        <f t="shared" ref="D77:D83" si="6" xml:space="preserve"> IF(C77="","",setValueToTime(C77))</f>
        <v xml:space="preserve"> 15 min</v>
      </c>
      <c r="E77" s="46"/>
      <c r="F77" s="254"/>
      <c r="G77" s="255"/>
      <c r="H77" s="152"/>
    </row>
    <row r="78" spans="2:8" s="43" customFormat="1" x14ac:dyDescent="0.3">
      <c r="B78" s="44" t="s">
        <v>109</v>
      </c>
      <c r="C78" s="45">
        <v>6</v>
      </c>
      <c r="D78" s="126" t="str">
        <f t="shared" si="6"/>
        <v xml:space="preserve"> 30 min</v>
      </c>
      <c r="E78" s="46" t="s">
        <v>251</v>
      </c>
      <c r="F78" s="254"/>
      <c r="G78" s="255"/>
      <c r="H78" s="152"/>
    </row>
    <row r="79" spans="2:8" s="43" customFormat="1" x14ac:dyDescent="0.3">
      <c r="B79" s="44" t="s">
        <v>33</v>
      </c>
      <c r="C79" s="45">
        <v>9</v>
      </c>
      <c r="D79" s="126" t="str">
        <f t="shared" si="6"/>
        <v xml:space="preserve"> 45 min</v>
      </c>
      <c r="E79" s="46" t="s">
        <v>267</v>
      </c>
      <c r="F79" s="254"/>
      <c r="G79" s="255"/>
      <c r="H79" s="152"/>
    </row>
    <row r="80" spans="2:8" s="43" customFormat="1" x14ac:dyDescent="0.3">
      <c r="B80" s="45"/>
      <c r="C80" s="45"/>
      <c r="D80" s="127" t="str">
        <f t="shared" si="6"/>
        <v/>
      </c>
      <c r="E80" s="46"/>
      <c r="F80" s="254"/>
      <c r="G80" s="255"/>
      <c r="H80" s="152"/>
    </row>
    <row r="81" spans="2:8" s="43" customFormat="1" x14ac:dyDescent="0.3">
      <c r="B81" s="45"/>
      <c r="C81" s="45"/>
      <c r="D81" s="127" t="str">
        <f t="shared" si="6"/>
        <v/>
      </c>
      <c r="E81" s="46"/>
      <c r="F81" s="254"/>
      <c r="G81" s="255"/>
      <c r="H81" s="152"/>
    </row>
    <row r="82" spans="2:8" s="43" customFormat="1" x14ac:dyDescent="0.3">
      <c r="B82" s="45"/>
      <c r="C82" s="45"/>
      <c r="D82" s="127" t="str">
        <f t="shared" si="6"/>
        <v/>
      </c>
      <c r="E82" s="46"/>
      <c r="F82" s="254"/>
      <c r="G82" s="255"/>
      <c r="H82" s="152"/>
    </row>
    <row r="83" spans="2:8" s="43" customFormat="1" ht="15" thickBot="1" x14ac:dyDescent="0.35">
      <c r="B83" s="47"/>
      <c r="C83" s="47"/>
      <c r="D83" s="128" t="str">
        <f t="shared" si="6"/>
        <v/>
      </c>
      <c r="E83" s="48"/>
      <c r="F83" s="256"/>
      <c r="G83" s="257"/>
      <c r="H83" s="152"/>
    </row>
    <row r="84" spans="2:8" s="43" customFormat="1" ht="15" thickBot="1" x14ac:dyDescent="0.35">
      <c r="B84" s="135" t="s">
        <v>43</v>
      </c>
      <c r="C84" s="66">
        <f>SUM(C76:C83)</f>
        <v>36</v>
      </c>
      <c r="D84" s="135" t="str">
        <f xml:space="preserve"> setValueToTime(C84)</f>
        <v>3h</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36</v>
      </c>
      <c r="C86" s="137">
        <v>23</v>
      </c>
      <c r="D86" s="137"/>
      <c r="E86" s="130" t="s">
        <v>37</v>
      </c>
      <c r="F86" s="131" t="s">
        <v>64</v>
      </c>
      <c r="G86" s="132" t="s">
        <v>56</v>
      </c>
      <c r="H86" s="151"/>
    </row>
    <row r="87" spans="2:8" s="39" customFormat="1" ht="30" customHeight="1" thickBot="1" x14ac:dyDescent="0.3">
      <c r="B87" s="61" t="s">
        <v>38</v>
      </c>
      <c r="C87" s="134" t="s">
        <v>39</v>
      </c>
      <c r="D87" s="133"/>
      <c r="E87" s="61" t="s">
        <v>40</v>
      </c>
      <c r="F87" s="266" t="s">
        <v>41</v>
      </c>
      <c r="G87" s="267"/>
      <c r="H87" s="151"/>
    </row>
    <row r="88" spans="2:8" s="43" customFormat="1" ht="27" x14ac:dyDescent="0.3">
      <c r="B88" s="40" t="s">
        <v>30</v>
      </c>
      <c r="C88" s="41">
        <v>3</v>
      </c>
      <c r="D88" s="125" t="str">
        <f xml:space="preserve"> IF(C88="","",setValueToTime(C88))</f>
        <v xml:space="preserve"> 15 min</v>
      </c>
      <c r="E88" s="42"/>
      <c r="F88" s="262"/>
      <c r="G88" s="263"/>
      <c r="H88" s="152"/>
    </row>
    <row r="89" spans="2:8" s="43" customFormat="1" ht="27" x14ac:dyDescent="0.3">
      <c r="B89" s="44" t="s">
        <v>31</v>
      </c>
      <c r="C89" s="45">
        <v>27</v>
      </c>
      <c r="D89" s="126" t="str">
        <f t="shared" ref="D89:D95" si="7" xml:space="preserve"> IF(C89="","",setValueToTime(C89))</f>
        <v>2h 15 min</v>
      </c>
      <c r="E89" s="46" t="s">
        <v>250</v>
      </c>
      <c r="F89" s="254"/>
      <c r="G89" s="255"/>
      <c r="H89" s="152"/>
    </row>
    <row r="90" spans="2:8" s="43" customFormat="1" ht="40.5" x14ac:dyDescent="0.3">
      <c r="B90" s="44" t="s">
        <v>164</v>
      </c>
      <c r="C90" s="45">
        <v>12</v>
      </c>
      <c r="D90" s="126" t="str">
        <f t="shared" si="7"/>
        <v>1h</v>
      </c>
      <c r="E90" s="46" t="s">
        <v>247</v>
      </c>
      <c r="F90" s="254"/>
      <c r="G90" s="255"/>
      <c r="H90" s="152"/>
    </row>
    <row r="91" spans="2:8" s="43" customFormat="1" x14ac:dyDescent="0.3">
      <c r="B91" s="44"/>
      <c r="C91" s="45"/>
      <c r="D91" s="126" t="str">
        <f t="shared" si="7"/>
        <v/>
      </c>
      <c r="E91" s="46"/>
      <c r="F91" s="254"/>
      <c r="G91" s="255"/>
      <c r="H91" s="152"/>
    </row>
    <row r="92" spans="2:8" s="43" customFormat="1" x14ac:dyDescent="0.3">
      <c r="B92" s="45"/>
      <c r="C92" s="45"/>
      <c r="D92" s="127" t="str">
        <f t="shared" si="7"/>
        <v/>
      </c>
      <c r="E92" s="46"/>
      <c r="F92" s="254"/>
      <c r="G92" s="255"/>
      <c r="H92" s="152"/>
    </row>
    <row r="93" spans="2:8" s="43" customFormat="1" x14ac:dyDescent="0.3">
      <c r="B93" s="45"/>
      <c r="C93" s="45"/>
      <c r="D93" s="127" t="str">
        <f t="shared" si="7"/>
        <v/>
      </c>
      <c r="E93" s="46"/>
      <c r="F93" s="254"/>
      <c r="G93" s="255"/>
      <c r="H93" s="152"/>
    </row>
    <row r="94" spans="2:8" s="43" customFormat="1" x14ac:dyDescent="0.3">
      <c r="B94" s="45"/>
      <c r="C94" s="45"/>
      <c r="D94" s="127" t="str">
        <f t="shared" si="7"/>
        <v/>
      </c>
      <c r="E94" s="46"/>
      <c r="F94" s="254"/>
      <c r="G94" s="255"/>
      <c r="H94" s="152"/>
    </row>
    <row r="95" spans="2:8" s="43" customFormat="1" ht="15" thickBot="1" x14ac:dyDescent="0.35">
      <c r="B95" s="47"/>
      <c r="C95" s="47"/>
      <c r="D95" s="128" t="str">
        <f t="shared" si="7"/>
        <v/>
      </c>
      <c r="E95" s="48"/>
      <c r="F95" s="256"/>
      <c r="G95" s="257"/>
      <c r="H95" s="152"/>
    </row>
    <row r="96" spans="2:8" s="43" customFormat="1" ht="15" thickBot="1" x14ac:dyDescent="0.35">
      <c r="B96" s="135" t="s">
        <v>43</v>
      </c>
      <c r="C96" s="66">
        <f>SUM(C88:C95)</f>
        <v>42</v>
      </c>
      <c r="D96" s="135" t="str">
        <f xml:space="preserve"> setValueToTime(C96)</f>
        <v>3h 30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36</v>
      </c>
      <c r="C98" s="137">
        <v>22</v>
      </c>
      <c r="D98" s="137"/>
      <c r="E98" s="130" t="s">
        <v>37</v>
      </c>
      <c r="F98" s="131" t="s">
        <v>133</v>
      </c>
      <c r="G98" s="132" t="s">
        <v>55</v>
      </c>
      <c r="H98" s="151"/>
    </row>
    <row r="99" spans="2:8" s="39" customFormat="1" ht="30" customHeight="1" thickBot="1" x14ac:dyDescent="0.3">
      <c r="B99" s="61" t="s">
        <v>38</v>
      </c>
      <c r="C99" s="134" t="s">
        <v>39</v>
      </c>
      <c r="D99" s="133"/>
      <c r="E99" s="61" t="s">
        <v>40</v>
      </c>
      <c r="F99" s="266" t="s">
        <v>41</v>
      </c>
      <c r="G99" s="267"/>
      <c r="H99" s="151"/>
    </row>
    <row r="100" spans="2:8" s="43" customFormat="1" x14ac:dyDescent="0.3">
      <c r="B100" s="40" t="s">
        <v>47</v>
      </c>
      <c r="C100" s="41">
        <v>3</v>
      </c>
      <c r="D100" s="125" t="str">
        <f xml:space="preserve"> IF(C100="","",setValueToTime(C100))</f>
        <v xml:space="preserve"> 15 min</v>
      </c>
      <c r="E100" s="42" t="s">
        <v>249</v>
      </c>
      <c r="F100" s="262"/>
      <c r="G100" s="263"/>
      <c r="H100" s="152"/>
    </row>
    <row r="101" spans="2:8" s="43" customFormat="1" ht="27" x14ac:dyDescent="0.3">
      <c r="B101" s="44" t="s">
        <v>30</v>
      </c>
      <c r="C101" s="45">
        <v>3</v>
      </c>
      <c r="D101" s="126" t="str">
        <f t="shared" ref="D101:D107" si="8" xml:space="preserve"> IF(C101="","",setValueToTime(C101))</f>
        <v xml:space="preserve"> 15 min</v>
      </c>
      <c r="E101" s="46"/>
      <c r="F101" s="254"/>
      <c r="G101" s="255"/>
      <c r="H101" s="152"/>
    </row>
    <row r="102" spans="2:8" s="43" customFormat="1" x14ac:dyDescent="0.3">
      <c r="B102" s="44" t="s">
        <v>31</v>
      </c>
      <c r="C102" s="45">
        <v>8</v>
      </c>
      <c r="D102" s="126" t="str">
        <f t="shared" si="8"/>
        <v xml:space="preserve"> 40 min</v>
      </c>
      <c r="E102" s="46" t="s">
        <v>268</v>
      </c>
      <c r="F102" s="254"/>
      <c r="G102" s="255"/>
      <c r="H102" s="152"/>
    </row>
    <row r="103" spans="2:8" s="43" customFormat="1" ht="40.5" x14ac:dyDescent="0.3">
      <c r="B103" s="44" t="s">
        <v>164</v>
      </c>
      <c r="C103" s="45">
        <v>9</v>
      </c>
      <c r="D103" s="126" t="str">
        <f t="shared" si="8"/>
        <v xml:space="preserve"> 45 min</v>
      </c>
      <c r="E103" s="46" t="s">
        <v>269</v>
      </c>
      <c r="F103" s="254"/>
      <c r="G103" s="255"/>
      <c r="H103" s="152"/>
    </row>
    <row r="104" spans="2:8" s="43" customFormat="1" x14ac:dyDescent="0.3">
      <c r="B104" s="45" t="s">
        <v>49</v>
      </c>
      <c r="C104" s="45">
        <v>4</v>
      </c>
      <c r="D104" s="127" t="str">
        <f t="shared" si="8"/>
        <v xml:space="preserve"> 20 min</v>
      </c>
      <c r="E104" s="46" t="s">
        <v>270</v>
      </c>
      <c r="F104" s="254"/>
      <c r="G104" s="255"/>
      <c r="H104" s="152"/>
    </row>
    <row r="105" spans="2:8" s="43" customFormat="1" x14ac:dyDescent="0.3">
      <c r="B105" s="45"/>
      <c r="C105" s="45"/>
      <c r="D105" s="127" t="str">
        <f t="shared" si="8"/>
        <v/>
      </c>
      <c r="E105" s="46"/>
      <c r="F105" s="254"/>
      <c r="G105" s="255"/>
      <c r="H105" s="152"/>
    </row>
    <row r="106" spans="2:8" s="43" customFormat="1" x14ac:dyDescent="0.3">
      <c r="B106" s="45"/>
      <c r="C106" s="45"/>
      <c r="D106" s="127" t="str">
        <f t="shared" si="8"/>
        <v/>
      </c>
      <c r="E106" s="46"/>
      <c r="F106" s="254"/>
      <c r="G106" s="255"/>
      <c r="H106" s="152"/>
    </row>
    <row r="107" spans="2:8" s="43" customFormat="1" ht="15" thickBot="1" x14ac:dyDescent="0.35">
      <c r="B107" s="47"/>
      <c r="C107" s="47"/>
      <c r="D107" s="128" t="str">
        <f t="shared" si="8"/>
        <v/>
      </c>
      <c r="E107" s="48"/>
      <c r="F107" s="256"/>
      <c r="G107" s="257"/>
      <c r="H107" s="152"/>
    </row>
    <row r="108" spans="2:8" s="43" customFormat="1" ht="15" thickBot="1" x14ac:dyDescent="0.35">
      <c r="B108" s="135" t="s">
        <v>43</v>
      </c>
      <c r="C108" s="66">
        <f>SUM(C100:C107)</f>
        <v>27</v>
      </c>
      <c r="D108" s="135" t="str">
        <f xml:space="preserve"> setValueToTime(C108)</f>
        <v>2h 15 min</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36</v>
      </c>
      <c r="C110" s="137">
        <v>21</v>
      </c>
      <c r="D110" s="137"/>
      <c r="E110" s="130" t="s">
        <v>37</v>
      </c>
      <c r="F110" s="131" t="s">
        <v>133</v>
      </c>
      <c r="G110" s="132" t="s">
        <v>56</v>
      </c>
      <c r="H110" s="151"/>
    </row>
    <row r="111" spans="2:8" s="39" customFormat="1" ht="30" customHeight="1" thickBot="1" x14ac:dyDescent="0.3">
      <c r="B111" s="61" t="s">
        <v>38</v>
      </c>
      <c r="C111" s="134" t="s">
        <v>39</v>
      </c>
      <c r="D111" s="133"/>
      <c r="E111" s="61" t="s">
        <v>40</v>
      </c>
      <c r="F111" s="266" t="s">
        <v>41</v>
      </c>
      <c r="G111" s="267"/>
      <c r="H111" s="151"/>
    </row>
    <row r="112" spans="2:8" s="43" customFormat="1" ht="27" x14ac:dyDescent="0.3">
      <c r="B112" s="40" t="s">
        <v>30</v>
      </c>
      <c r="C112" s="41">
        <v>3</v>
      </c>
      <c r="D112" s="125" t="str">
        <f xml:space="preserve"> IF(C112="","",setValueToTime(C112))</f>
        <v xml:space="preserve"> 15 min</v>
      </c>
      <c r="E112" s="42"/>
      <c r="F112" s="262"/>
      <c r="G112" s="263"/>
      <c r="H112" s="152"/>
    </row>
    <row r="113" spans="2:8" s="43" customFormat="1" x14ac:dyDescent="0.3">
      <c r="B113" s="44" t="s">
        <v>31</v>
      </c>
      <c r="C113" s="45">
        <v>8</v>
      </c>
      <c r="D113" s="126" t="str">
        <f t="shared" ref="D113:D119" si="9" xml:space="preserve"> IF(C113="","",setValueToTime(C113))</f>
        <v xml:space="preserve"> 40 min</v>
      </c>
      <c r="E113" s="46" t="s">
        <v>246</v>
      </c>
      <c r="F113" s="269" t="s">
        <v>248</v>
      </c>
      <c r="G113" s="255"/>
      <c r="H113" s="152"/>
    </row>
    <row r="114" spans="2:8" s="43" customFormat="1" ht="40.5" x14ac:dyDescent="0.3">
      <c r="B114" s="44" t="s">
        <v>164</v>
      </c>
      <c r="C114" s="45">
        <v>18</v>
      </c>
      <c r="D114" s="126" t="str">
        <f t="shared" si="9"/>
        <v>1h 30 min</v>
      </c>
      <c r="E114" s="46" t="s">
        <v>244</v>
      </c>
      <c r="F114" s="254"/>
      <c r="G114" s="255"/>
      <c r="H114" s="152"/>
    </row>
    <row r="115" spans="2:8" s="43" customFormat="1" ht="27" x14ac:dyDescent="0.3">
      <c r="B115" s="44" t="s">
        <v>161</v>
      </c>
      <c r="C115" s="45">
        <v>18</v>
      </c>
      <c r="D115" s="126" t="str">
        <f t="shared" si="9"/>
        <v>1h 30 min</v>
      </c>
      <c r="E115" s="46" t="s">
        <v>245</v>
      </c>
      <c r="F115" s="254"/>
      <c r="G115" s="255"/>
      <c r="H115" s="152"/>
    </row>
    <row r="116" spans="2:8" s="43" customFormat="1" x14ac:dyDescent="0.3">
      <c r="B116" s="45"/>
      <c r="C116" s="45"/>
      <c r="D116" s="127" t="str">
        <f t="shared" si="9"/>
        <v/>
      </c>
      <c r="E116" s="46"/>
      <c r="F116" s="254"/>
      <c r="G116" s="255"/>
      <c r="H116" s="152"/>
    </row>
    <row r="117" spans="2:8" s="43" customFormat="1" x14ac:dyDescent="0.3">
      <c r="B117" s="45"/>
      <c r="C117" s="45"/>
      <c r="D117" s="127" t="str">
        <f t="shared" si="9"/>
        <v/>
      </c>
      <c r="E117" s="46"/>
      <c r="F117" s="254"/>
      <c r="G117" s="255"/>
      <c r="H117" s="152"/>
    </row>
    <row r="118" spans="2:8" s="43" customFormat="1" x14ac:dyDescent="0.3">
      <c r="B118" s="45"/>
      <c r="C118" s="45"/>
      <c r="D118" s="127" t="str">
        <f t="shared" si="9"/>
        <v/>
      </c>
      <c r="E118" s="46"/>
      <c r="F118" s="254"/>
      <c r="G118" s="255"/>
      <c r="H118" s="152"/>
    </row>
    <row r="119" spans="2:8" s="43" customFormat="1" ht="15" thickBot="1" x14ac:dyDescent="0.35">
      <c r="B119" s="47"/>
      <c r="C119" s="47"/>
      <c r="D119" s="128" t="str">
        <f t="shared" si="9"/>
        <v/>
      </c>
      <c r="E119" s="48"/>
      <c r="F119" s="256"/>
      <c r="G119" s="257"/>
      <c r="H119" s="152"/>
    </row>
    <row r="120" spans="2:8" s="43" customFormat="1" ht="15" thickBot="1" x14ac:dyDescent="0.35">
      <c r="B120" s="135" t="s">
        <v>43</v>
      </c>
      <c r="C120" s="66">
        <f>SUM(C112:C119)</f>
        <v>47</v>
      </c>
      <c r="D120" s="135" t="str">
        <f xml:space="preserve"> setValueToTime(C120)</f>
        <v>3h 55 min</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36</v>
      </c>
      <c r="C122" s="137">
        <v>20</v>
      </c>
      <c r="D122" s="137"/>
      <c r="E122" s="130" t="s">
        <v>37</v>
      </c>
      <c r="F122" s="131" t="s">
        <v>136</v>
      </c>
      <c r="G122" s="132" t="s">
        <v>55</v>
      </c>
      <c r="H122" s="151"/>
    </row>
    <row r="123" spans="2:8" s="39" customFormat="1" ht="30" customHeight="1" thickBot="1" x14ac:dyDescent="0.3">
      <c r="B123" s="61" t="s">
        <v>38</v>
      </c>
      <c r="C123" s="134" t="s">
        <v>39</v>
      </c>
      <c r="D123" s="133"/>
      <c r="E123" s="61" t="s">
        <v>40</v>
      </c>
      <c r="F123" s="266" t="s">
        <v>41</v>
      </c>
      <c r="G123" s="267"/>
      <c r="H123" s="151"/>
    </row>
    <row r="124" spans="2:8" s="43" customFormat="1" ht="27" x14ac:dyDescent="0.3">
      <c r="B124" s="40" t="s">
        <v>160</v>
      </c>
      <c r="C124" s="41">
        <v>7</v>
      </c>
      <c r="D124" s="125" t="str">
        <f xml:space="preserve"> IF(C124="","",setValueToTime(C124))</f>
        <v xml:space="preserve"> 35 min</v>
      </c>
      <c r="E124" s="42" t="s">
        <v>242</v>
      </c>
      <c r="F124" s="262"/>
      <c r="G124" s="263"/>
      <c r="H124" s="152"/>
    </row>
    <row r="125" spans="2:8" s="43" customFormat="1" x14ac:dyDescent="0.3">
      <c r="B125" s="44" t="s">
        <v>162</v>
      </c>
      <c r="C125" s="45">
        <v>7</v>
      </c>
      <c r="D125" s="126" t="str">
        <f t="shared" ref="D125:D131" si="10" xml:space="preserve"> IF(C125="","",setValueToTime(C125))</f>
        <v xml:space="preserve"> 35 min</v>
      </c>
      <c r="E125" s="46" t="s">
        <v>241</v>
      </c>
      <c r="F125" s="254"/>
      <c r="G125" s="255"/>
      <c r="H125" s="152"/>
    </row>
    <row r="126" spans="2:8" s="43" customFormat="1" ht="40.5" x14ac:dyDescent="0.3">
      <c r="B126" s="44" t="s">
        <v>164</v>
      </c>
      <c r="C126" s="45">
        <v>20</v>
      </c>
      <c r="D126" s="126" t="str">
        <f t="shared" si="10"/>
        <v>1h 40 min</v>
      </c>
      <c r="E126" s="46" t="s">
        <v>243</v>
      </c>
      <c r="F126" s="254"/>
      <c r="G126" s="255"/>
      <c r="H126" s="152"/>
    </row>
    <row r="127" spans="2:8" s="43" customFormat="1" ht="27" x14ac:dyDescent="0.3">
      <c r="B127" s="44" t="s">
        <v>30</v>
      </c>
      <c r="C127" s="45">
        <v>2</v>
      </c>
      <c r="D127" s="126" t="str">
        <f t="shared" si="10"/>
        <v xml:space="preserve"> 10 min</v>
      </c>
      <c r="E127" s="46"/>
      <c r="F127" s="254"/>
      <c r="G127" s="255"/>
      <c r="H127" s="152"/>
    </row>
    <row r="128" spans="2:8" s="43" customFormat="1" x14ac:dyDescent="0.3">
      <c r="B128" s="45"/>
      <c r="C128" s="45"/>
      <c r="D128" s="127" t="str">
        <f t="shared" si="10"/>
        <v/>
      </c>
      <c r="E128" s="46"/>
      <c r="F128" s="254"/>
      <c r="G128" s="255"/>
      <c r="H128" s="152"/>
    </row>
    <row r="129" spans="2:8" s="43" customFormat="1" x14ac:dyDescent="0.3">
      <c r="B129" s="45"/>
      <c r="C129" s="45"/>
      <c r="D129" s="127" t="str">
        <f t="shared" si="10"/>
        <v/>
      </c>
      <c r="E129" s="46"/>
      <c r="F129" s="254"/>
      <c r="G129" s="255"/>
      <c r="H129" s="152"/>
    </row>
    <row r="130" spans="2:8" s="43" customFormat="1" x14ac:dyDescent="0.3">
      <c r="B130" s="45"/>
      <c r="C130" s="45"/>
      <c r="D130" s="127" t="str">
        <f t="shared" si="10"/>
        <v/>
      </c>
      <c r="E130" s="46"/>
      <c r="F130" s="254"/>
      <c r="G130" s="255"/>
      <c r="H130" s="152"/>
    </row>
    <row r="131" spans="2:8" s="43" customFormat="1" ht="15" thickBot="1" x14ac:dyDescent="0.35">
      <c r="B131" s="47"/>
      <c r="C131" s="47"/>
      <c r="D131" s="128" t="str">
        <f t="shared" si="10"/>
        <v/>
      </c>
      <c r="E131" s="48"/>
      <c r="F131" s="256"/>
      <c r="G131" s="257"/>
      <c r="H131" s="152"/>
    </row>
    <row r="132" spans="2:8" s="43" customFormat="1" ht="15" thickBot="1" x14ac:dyDescent="0.35">
      <c r="B132" s="135" t="s">
        <v>43</v>
      </c>
      <c r="C132" s="66">
        <f>SUM(C124:C131)</f>
        <v>36</v>
      </c>
      <c r="D132" s="135" t="str">
        <f xml:space="preserve"> setValueToTime(C132)</f>
        <v>3h</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36</v>
      </c>
      <c r="C134" s="137">
        <v>19</v>
      </c>
      <c r="D134" s="137"/>
      <c r="E134" s="130" t="s">
        <v>37</v>
      </c>
      <c r="F134" s="131" t="s">
        <v>136</v>
      </c>
      <c r="G134" s="132" t="s">
        <v>56</v>
      </c>
      <c r="H134" s="151"/>
    </row>
    <row r="135" spans="2:8" s="39" customFormat="1" ht="30" customHeight="1" thickBot="1" x14ac:dyDescent="0.3">
      <c r="B135" s="61" t="s">
        <v>38</v>
      </c>
      <c r="C135" s="134" t="s">
        <v>39</v>
      </c>
      <c r="D135" s="133"/>
      <c r="E135" s="61" t="s">
        <v>40</v>
      </c>
      <c r="F135" s="266" t="s">
        <v>41</v>
      </c>
      <c r="G135" s="267"/>
      <c r="H135" s="151"/>
    </row>
    <row r="136" spans="2:8" s="43" customFormat="1" ht="27" x14ac:dyDescent="0.3">
      <c r="B136" s="40" t="s">
        <v>32</v>
      </c>
      <c r="C136" s="41">
        <v>9</v>
      </c>
      <c r="D136" s="125" t="str">
        <f xml:space="preserve"> IF(C136="","",setValueToTime(C136))</f>
        <v xml:space="preserve"> 45 min</v>
      </c>
      <c r="E136" s="42" t="s">
        <v>238</v>
      </c>
      <c r="F136" s="262"/>
      <c r="G136" s="263"/>
      <c r="H136" s="152"/>
    </row>
    <row r="137" spans="2:8" s="43" customFormat="1" ht="27" x14ac:dyDescent="0.3">
      <c r="B137" s="44" t="s">
        <v>160</v>
      </c>
      <c r="C137" s="45">
        <v>9</v>
      </c>
      <c r="D137" s="126" t="str">
        <f t="shared" ref="D137:D143" si="11" xml:space="preserve"> IF(C137="","",setValueToTime(C137))</f>
        <v xml:space="preserve"> 45 min</v>
      </c>
      <c r="E137" s="46" t="s">
        <v>239</v>
      </c>
      <c r="F137" s="254"/>
      <c r="G137" s="255"/>
      <c r="H137" s="152"/>
    </row>
    <row r="138" spans="2:8" s="43" customFormat="1" ht="27" x14ac:dyDescent="0.3">
      <c r="B138" s="44" t="s">
        <v>30</v>
      </c>
      <c r="C138" s="45">
        <v>3</v>
      </c>
      <c r="D138" s="126" t="str">
        <f t="shared" si="11"/>
        <v xml:space="preserve"> 15 min</v>
      </c>
      <c r="E138" s="46"/>
      <c r="F138" s="254"/>
      <c r="G138" s="255"/>
      <c r="H138" s="152"/>
    </row>
    <row r="139" spans="2:8" s="43" customFormat="1" ht="40.5" x14ac:dyDescent="0.3">
      <c r="B139" s="44" t="s">
        <v>164</v>
      </c>
      <c r="C139" s="45">
        <v>21</v>
      </c>
      <c r="D139" s="126" t="str">
        <f t="shared" si="11"/>
        <v>1h 45 min</v>
      </c>
      <c r="E139" s="46" t="s">
        <v>240</v>
      </c>
      <c r="F139" s="254"/>
      <c r="G139" s="255"/>
      <c r="H139" s="152"/>
    </row>
    <row r="140" spans="2:8" s="43" customFormat="1" x14ac:dyDescent="0.3">
      <c r="B140" s="45"/>
      <c r="C140" s="45"/>
      <c r="D140" s="127" t="str">
        <f t="shared" si="11"/>
        <v/>
      </c>
      <c r="E140" s="46"/>
      <c r="F140" s="254"/>
      <c r="G140" s="255"/>
      <c r="H140" s="152"/>
    </row>
    <row r="141" spans="2:8" s="43" customFormat="1" x14ac:dyDescent="0.3">
      <c r="B141" s="45"/>
      <c r="C141" s="45"/>
      <c r="D141" s="127" t="str">
        <f t="shared" si="11"/>
        <v/>
      </c>
      <c r="E141" s="46"/>
      <c r="F141" s="254"/>
      <c r="G141" s="255"/>
      <c r="H141" s="152"/>
    </row>
    <row r="142" spans="2:8" s="43" customFormat="1" x14ac:dyDescent="0.3">
      <c r="B142" s="45"/>
      <c r="C142" s="45"/>
      <c r="D142" s="127" t="str">
        <f t="shared" si="11"/>
        <v/>
      </c>
      <c r="E142" s="46"/>
      <c r="F142" s="254"/>
      <c r="G142" s="255"/>
      <c r="H142" s="152"/>
    </row>
    <row r="143" spans="2:8" s="43" customFormat="1" ht="15" thickBot="1" x14ac:dyDescent="0.35">
      <c r="B143" s="47"/>
      <c r="C143" s="47"/>
      <c r="D143" s="128" t="str">
        <f t="shared" si="11"/>
        <v/>
      </c>
      <c r="E143" s="48"/>
      <c r="F143" s="256"/>
      <c r="G143" s="257"/>
      <c r="H143" s="152"/>
    </row>
    <row r="144" spans="2:8" s="43" customFormat="1" ht="15" thickBot="1" x14ac:dyDescent="0.35">
      <c r="B144" s="135" t="s">
        <v>43</v>
      </c>
      <c r="C144" s="66">
        <f>SUM(C136:C143)</f>
        <v>42</v>
      </c>
      <c r="D144" s="135" t="str">
        <f xml:space="preserve"> setValueToTime(C144)</f>
        <v>3h 30 min</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36</v>
      </c>
      <c r="C146" s="137">
        <v>18</v>
      </c>
      <c r="D146" s="137"/>
      <c r="E146" s="130" t="s">
        <v>37</v>
      </c>
      <c r="F146" s="131" t="s">
        <v>139</v>
      </c>
      <c r="G146" s="132" t="s">
        <v>55</v>
      </c>
      <c r="H146" s="151"/>
    </row>
    <row r="147" spans="2:8" s="39" customFormat="1" ht="30" customHeight="1" thickBot="1" x14ac:dyDescent="0.3">
      <c r="B147" s="61" t="s">
        <v>38</v>
      </c>
      <c r="C147" s="134" t="s">
        <v>39</v>
      </c>
      <c r="D147" s="133"/>
      <c r="E147" s="61" t="s">
        <v>40</v>
      </c>
      <c r="F147" s="266" t="s">
        <v>41</v>
      </c>
      <c r="G147" s="267"/>
      <c r="H147" s="151"/>
    </row>
    <row r="148" spans="2:8" s="43" customFormat="1" ht="27" x14ac:dyDescent="0.3">
      <c r="B148" s="40" t="s">
        <v>30</v>
      </c>
      <c r="C148" s="41">
        <v>2</v>
      </c>
      <c r="D148" s="125" t="str">
        <f xml:space="preserve"> IF(C148="","",setValueToTime(C148))</f>
        <v xml:space="preserve"> 10 min</v>
      </c>
      <c r="E148" s="42"/>
      <c r="F148" s="262"/>
      <c r="G148" s="263"/>
      <c r="H148" s="152"/>
    </row>
    <row r="149" spans="2:8" s="43" customFormat="1" ht="27" x14ac:dyDescent="0.3">
      <c r="B149" s="44" t="s">
        <v>163</v>
      </c>
      <c r="C149" s="45">
        <v>10</v>
      </c>
      <c r="D149" s="126" t="str">
        <f t="shared" ref="D149:D155" si="12" xml:space="preserve"> IF(C149="","",setValueToTime(C149))</f>
        <v xml:space="preserve"> 50 min</v>
      </c>
      <c r="E149" s="46" t="s">
        <v>237</v>
      </c>
      <c r="F149" s="254"/>
      <c r="G149" s="255"/>
      <c r="H149" s="152"/>
    </row>
    <row r="150" spans="2:8" s="43" customFormat="1" ht="27" x14ac:dyDescent="0.3">
      <c r="B150" s="44" t="s">
        <v>160</v>
      </c>
      <c r="C150" s="45">
        <v>30</v>
      </c>
      <c r="D150" s="126" t="str">
        <f t="shared" si="12"/>
        <v>2h 30 min</v>
      </c>
      <c r="E150" s="46" t="s">
        <v>236</v>
      </c>
      <c r="F150" s="254"/>
      <c r="G150" s="255"/>
      <c r="H150" s="152"/>
    </row>
    <row r="151" spans="2:8" s="43" customFormat="1" x14ac:dyDescent="0.3">
      <c r="B151" s="44"/>
      <c r="C151" s="45"/>
      <c r="D151" s="126" t="str">
        <f t="shared" si="12"/>
        <v/>
      </c>
      <c r="E151" s="46"/>
      <c r="F151" s="254"/>
      <c r="G151" s="255"/>
      <c r="H151" s="152"/>
    </row>
    <row r="152" spans="2:8" s="43" customFormat="1" x14ac:dyDescent="0.3">
      <c r="B152" s="45"/>
      <c r="C152" s="45"/>
      <c r="D152" s="127" t="str">
        <f t="shared" si="12"/>
        <v/>
      </c>
      <c r="E152" s="46"/>
      <c r="F152" s="254"/>
      <c r="G152" s="255"/>
      <c r="H152" s="152"/>
    </row>
    <row r="153" spans="2:8" s="43" customFormat="1" x14ac:dyDescent="0.3">
      <c r="B153" s="45"/>
      <c r="C153" s="45"/>
      <c r="D153" s="127" t="str">
        <f t="shared" si="12"/>
        <v/>
      </c>
      <c r="E153" s="46"/>
      <c r="F153" s="254"/>
      <c r="G153" s="255"/>
      <c r="H153" s="152"/>
    </row>
    <row r="154" spans="2:8" s="43" customFormat="1" x14ac:dyDescent="0.3">
      <c r="B154" s="45"/>
      <c r="C154" s="45"/>
      <c r="D154" s="127" t="str">
        <f t="shared" si="12"/>
        <v/>
      </c>
      <c r="E154" s="46"/>
      <c r="F154" s="254"/>
      <c r="G154" s="255"/>
      <c r="H154" s="152"/>
    </row>
    <row r="155" spans="2:8" s="43" customFormat="1" ht="15" thickBot="1" x14ac:dyDescent="0.35">
      <c r="B155" s="47"/>
      <c r="C155" s="47"/>
      <c r="D155" s="128" t="str">
        <f t="shared" si="12"/>
        <v/>
      </c>
      <c r="E155" s="48"/>
      <c r="F155" s="256"/>
      <c r="G155" s="257"/>
      <c r="H155" s="152"/>
    </row>
    <row r="156" spans="2:8" s="43" customFormat="1" ht="15" thickBot="1" x14ac:dyDescent="0.35">
      <c r="B156" s="135" t="s">
        <v>43</v>
      </c>
      <c r="C156" s="66">
        <f>SUM(C148:C155)</f>
        <v>42</v>
      </c>
      <c r="D156" s="135" t="str">
        <f xml:space="preserve"> setValueToTime(C156)</f>
        <v>3h 30 min</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36</v>
      </c>
      <c r="C158" s="137">
        <v>17</v>
      </c>
      <c r="D158" s="137"/>
      <c r="E158" s="130" t="s">
        <v>37</v>
      </c>
      <c r="F158" s="131" t="s">
        <v>139</v>
      </c>
      <c r="G158" s="132" t="s">
        <v>56</v>
      </c>
      <c r="H158" s="151"/>
    </row>
    <row r="159" spans="2:8" s="39" customFormat="1" ht="30" customHeight="1" thickBot="1" x14ac:dyDescent="0.3">
      <c r="B159" s="61" t="s">
        <v>38</v>
      </c>
      <c r="C159" s="134" t="s">
        <v>39</v>
      </c>
      <c r="D159" s="133"/>
      <c r="E159" s="61" t="s">
        <v>40</v>
      </c>
      <c r="F159" s="266" t="s">
        <v>41</v>
      </c>
      <c r="G159" s="267"/>
      <c r="H159" s="151"/>
    </row>
    <row r="160" spans="2:8" s="43" customFormat="1" ht="27" x14ac:dyDescent="0.3">
      <c r="B160" s="40" t="s">
        <v>30</v>
      </c>
      <c r="C160" s="41">
        <v>3</v>
      </c>
      <c r="D160" s="125" t="str">
        <f xml:space="preserve"> IF(C160="","",setValueToTime(C160))</f>
        <v xml:space="preserve"> 15 min</v>
      </c>
      <c r="E160" s="42"/>
      <c r="F160" s="262"/>
      <c r="G160" s="263"/>
      <c r="H160" s="152"/>
    </row>
    <row r="161" spans="2:8" s="43" customFormat="1" x14ac:dyDescent="0.3">
      <c r="B161" s="44" t="s">
        <v>109</v>
      </c>
      <c r="C161" s="45">
        <v>6</v>
      </c>
      <c r="D161" s="126" t="str">
        <f t="shared" ref="D161:D167" si="13" xml:space="preserve"> IF(C161="","",setValueToTime(C161))</f>
        <v xml:space="preserve"> 30 min</v>
      </c>
      <c r="E161" s="46" t="s">
        <v>235</v>
      </c>
      <c r="F161" s="254"/>
      <c r="G161" s="255"/>
      <c r="H161" s="152"/>
    </row>
    <row r="162" spans="2:8" s="43" customFormat="1" ht="27" x14ac:dyDescent="0.3">
      <c r="B162" s="44" t="s">
        <v>160</v>
      </c>
      <c r="C162" s="45">
        <v>20</v>
      </c>
      <c r="D162" s="126" t="str">
        <f t="shared" si="13"/>
        <v>1h 40 min</v>
      </c>
      <c r="E162" s="46" t="s">
        <v>234</v>
      </c>
      <c r="F162" s="254"/>
      <c r="G162" s="255"/>
      <c r="H162" s="152"/>
    </row>
    <row r="163" spans="2:8" s="43" customFormat="1" x14ac:dyDescent="0.3">
      <c r="B163" s="44" t="s">
        <v>162</v>
      </c>
      <c r="C163" s="45">
        <v>10</v>
      </c>
      <c r="D163" s="126" t="str">
        <f t="shared" si="13"/>
        <v xml:space="preserve"> 50 min</v>
      </c>
      <c r="E163" t="s">
        <v>233</v>
      </c>
      <c r="F163" s="254"/>
      <c r="G163" s="255"/>
      <c r="H163" s="152"/>
    </row>
    <row r="164" spans="2:8" s="43" customFormat="1" x14ac:dyDescent="0.3">
      <c r="B164" s="45"/>
      <c r="C164" s="45"/>
      <c r="D164" s="127" t="str">
        <f t="shared" si="13"/>
        <v/>
      </c>
      <c r="E164" s="46"/>
      <c r="F164" s="254"/>
      <c r="G164" s="255"/>
      <c r="H164" s="152"/>
    </row>
    <row r="165" spans="2:8" s="43" customFormat="1" x14ac:dyDescent="0.3">
      <c r="B165" s="45"/>
      <c r="C165" s="45"/>
      <c r="D165" s="127" t="str">
        <f t="shared" si="13"/>
        <v/>
      </c>
      <c r="E165" s="46"/>
      <c r="F165" s="254"/>
      <c r="G165" s="255"/>
      <c r="H165" s="152"/>
    </row>
    <row r="166" spans="2:8" s="43" customFormat="1" x14ac:dyDescent="0.3">
      <c r="B166" s="45"/>
      <c r="C166" s="45"/>
      <c r="D166" s="127" t="str">
        <f t="shared" si="13"/>
        <v/>
      </c>
      <c r="E166" s="46"/>
      <c r="F166" s="254"/>
      <c r="G166" s="255"/>
      <c r="H166" s="152"/>
    </row>
    <row r="167" spans="2:8" s="43" customFormat="1" ht="15" thickBot="1" x14ac:dyDescent="0.35">
      <c r="B167" s="47"/>
      <c r="C167" s="47"/>
      <c r="D167" s="128" t="str">
        <f t="shared" si="13"/>
        <v/>
      </c>
      <c r="E167" s="48"/>
      <c r="F167" s="256"/>
      <c r="G167" s="257"/>
      <c r="H167" s="152"/>
    </row>
    <row r="168" spans="2:8" s="43" customFormat="1" ht="15" thickBot="1" x14ac:dyDescent="0.35">
      <c r="B168" s="135" t="s">
        <v>43</v>
      </c>
      <c r="C168" s="66">
        <f>SUM(C160:C167)</f>
        <v>39</v>
      </c>
      <c r="D168" s="135" t="str">
        <f xml:space="preserve"> setValueToTime(C168)</f>
        <v>3h 15 min</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36</v>
      </c>
      <c r="C170" s="137">
        <v>16</v>
      </c>
      <c r="D170" s="137"/>
      <c r="E170" s="130" t="s">
        <v>37</v>
      </c>
      <c r="F170" s="131" t="s">
        <v>142</v>
      </c>
      <c r="G170" s="132" t="s">
        <v>55</v>
      </c>
      <c r="H170" s="151"/>
    </row>
    <row r="171" spans="2:8" s="39" customFormat="1" ht="30" customHeight="1" thickBot="1" x14ac:dyDescent="0.3">
      <c r="B171" s="61" t="s">
        <v>38</v>
      </c>
      <c r="C171" s="134" t="s">
        <v>39</v>
      </c>
      <c r="D171" s="133"/>
      <c r="E171" s="61" t="s">
        <v>40</v>
      </c>
      <c r="F171" s="266" t="s">
        <v>41</v>
      </c>
      <c r="G171" s="267"/>
      <c r="H171" s="151"/>
    </row>
    <row r="172" spans="2:8" s="43" customFormat="1" x14ac:dyDescent="0.3">
      <c r="B172" s="40" t="s">
        <v>162</v>
      </c>
      <c r="C172" s="41">
        <v>5</v>
      </c>
      <c r="D172" s="125" t="str">
        <f xml:space="preserve"> IF(C172="","",setValueToTime(C172))</f>
        <v xml:space="preserve"> 25 min</v>
      </c>
      <c r="E172" t="s">
        <v>214</v>
      </c>
      <c r="F172" s="262"/>
      <c r="G172" s="263"/>
      <c r="H172" s="152"/>
    </row>
    <row r="173" spans="2:8" s="43" customFormat="1" ht="27" x14ac:dyDescent="0.3">
      <c r="B173" s="44" t="s">
        <v>32</v>
      </c>
      <c r="C173" s="45">
        <v>7</v>
      </c>
      <c r="D173" s="126" t="str">
        <f t="shared" ref="D173:D179" si="14" xml:space="preserve"> IF(C173="","",setValueToTime(C173))</f>
        <v xml:space="preserve"> 35 min</v>
      </c>
      <c r="E173" s="46" t="s">
        <v>232</v>
      </c>
      <c r="F173" s="254"/>
      <c r="G173" s="255"/>
      <c r="H173" s="152"/>
    </row>
    <row r="174" spans="2:8" s="43" customFormat="1" ht="27" x14ac:dyDescent="0.3">
      <c r="B174" s="44" t="s">
        <v>30</v>
      </c>
      <c r="C174" s="45">
        <v>2</v>
      </c>
      <c r="D174" s="126" t="str">
        <f t="shared" si="14"/>
        <v xml:space="preserve"> 10 min</v>
      </c>
      <c r="E174" s="46"/>
      <c r="F174" s="254"/>
      <c r="G174" s="255"/>
      <c r="H174" s="152"/>
    </row>
    <row r="175" spans="2:8" s="43" customFormat="1" ht="27" x14ac:dyDescent="0.3">
      <c r="B175" s="44" t="s">
        <v>163</v>
      </c>
      <c r="C175" s="45">
        <v>4</v>
      </c>
      <c r="D175" s="126" t="str">
        <f t="shared" si="14"/>
        <v xml:space="preserve"> 20 min</v>
      </c>
      <c r="E175" s="46" t="s">
        <v>215</v>
      </c>
      <c r="F175" s="254"/>
      <c r="G175" s="255"/>
      <c r="H175" s="152"/>
    </row>
    <row r="176" spans="2:8" s="43" customFormat="1" x14ac:dyDescent="0.3">
      <c r="B176" s="45" t="s">
        <v>27</v>
      </c>
      <c r="C176" s="45">
        <v>18</v>
      </c>
      <c r="D176" s="127" t="str">
        <f t="shared" si="14"/>
        <v>1h 30 min</v>
      </c>
      <c r="E176" s="46"/>
      <c r="F176" s="254"/>
      <c r="G176" s="255"/>
      <c r="H176" s="152"/>
    </row>
    <row r="177" spans="2:8" s="43" customFormat="1" x14ac:dyDescent="0.3">
      <c r="B177" s="45"/>
      <c r="C177" s="45"/>
      <c r="D177" s="127" t="str">
        <f t="shared" si="14"/>
        <v/>
      </c>
      <c r="E177" s="46"/>
      <c r="F177" s="254"/>
      <c r="G177" s="255"/>
      <c r="H177" s="152"/>
    </row>
    <row r="178" spans="2:8" s="43" customFormat="1" x14ac:dyDescent="0.3">
      <c r="B178" s="45"/>
      <c r="C178" s="45"/>
      <c r="D178" s="127" t="str">
        <f t="shared" si="14"/>
        <v/>
      </c>
      <c r="E178" s="46"/>
      <c r="F178" s="254"/>
      <c r="G178" s="255"/>
      <c r="H178" s="152"/>
    </row>
    <row r="179" spans="2:8" s="43" customFormat="1" ht="15" thickBot="1" x14ac:dyDescent="0.35">
      <c r="B179" s="47"/>
      <c r="C179" s="47"/>
      <c r="D179" s="128" t="str">
        <f t="shared" si="14"/>
        <v/>
      </c>
      <c r="E179" s="48"/>
      <c r="F179" s="256"/>
      <c r="G179" s="257"/>
      <c r="H179" s="152"/>
    </row>
    <row r="180" spans="2:8" s="43" customFormat="1" ht="15" thickBot="1" x14ac:dyDescent="0.35">
      <c r="B180" s="135" t="s">
        <v>43</v>
      </c>
      <c r="C180" s="66">
        <f>SUM(C172:C179)</f>
        <v>36</v>
      </c>
      <c r="D180" s="135" t="str">
        <f xml:space="preserve"> setValueToTime(C180)</f>
        <v>3h</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36</v>
      </c>
      <c r="C182" s="137">
        <v>15</v>
      </c>
      <c r="D182" s="137"/>
      <c r="E182" s="130" t="s">
        <v>37</v>
      </c>
      <c r="F182" s="131" t="s">
        <v>142</v>
      </c>
      <c r="G182" s="132" t="s">
        <v>56</v>
      </c>
      <c r="H182" s="151"/>
    </row>
    <row r="183" spans="2:8" s="39" customFormat="1" ht="30" customHeight="1" thickBot="1" x14ac:dyDescent="0.3">
      <c r="B183" s="61" t="s">
        <v>38</v>
      </c>
      <c r="C183" s="134" t="s">
        <v>39</v>
      </c>
      <c r="D183" s="133"/>
      <c r="E183" s="61" t="s">
        <v>40</v>
      </c>
      <c r="F183" s="266" t="s">
        <v>41</v>
      </c>
      <c r="G183" s="267"/>
      <c r="H183" s="151"/>
    </row>
    <row r="184" spans="2:8" s="43" customFormat="1" ht="27" x14ac:dyDescent="0.3">
      <c r="B184" s="40" t="s">
        <v>166</v>
      </c>
      <c r="C184" s="41">
        <v>4</v>
      </c>
      <c r="D184" s="125" t="str">
        <f xml:space="preserve"> IF(C184="","",setValueToTime(C184))</f>
        <v xml:space="preserve"> 20 min</v>
      </c>
      <c r="E184" t="s">
        <v>213</v>
      </c>
      <c r="F184" s="262"/>
      <c r="G184" s="263"/>
      <c r="H184" s="152"/>
    </row>
    <row r="185" spans="2:8" s="43" customFormat="1" x14ac:dyDescent="0.3">
      <c r="B185" s="44" t="s">
        <v>162</v>
      </c>
      <c r="C185" s="45">
        <v>10</v>
      </c>
      <c r="D185" s="126" t="str">
        <f t="shared" ref="D185:D191" si="15" xml:space="preserve"> IF(C185="","",setValueToTime(C185))</f>
        <v xml:space="preserve"> 50 min</v>
      </c>
      <c r="E185" t="s">
        <v>224</v>
      </c>
      <c r="F185" s="254"/>
      <c r="G185" s="255"/>
      <c r="H185" s="152"/>
    </row>
    <row r="186" spans="2:8" s="43" customFormat="1" ht="27" x14ac:dyDescent="0.3">
      <c r="B186" s="44" t="s">
        <v>160</v>
      </c>
      <c r="C186" s="45">
        <v>15</v>
      </c>
      <c r="D186" s="126" t="str">
        <f t="shared" si="15"/>
        <v>1h 15 min</v>
      </c>
      <c r="E186" t="s">
        <v>225</v>
      </c>
      <c r="F186" s="254"/>
      <c r="G186" s="255"/>
      <c r="H186" s="152"/>
    </row>
    <row r="187" spans="2:8" s="43" customFormat="1" ht="27" x14ac:dyDescent="0.3">
      <c r="B187" s="44" t="s">
        <v>30</v>
      </c>
      <c r="C187" s="45">
        <v>4</v>
      </c>
      <c r="D187" s="126" t="str">
        <f t="shared" si="15"/>
        <v xml:space="preserve"> 20 min</v>
      </c>
      <c r="E187" s="46"/>
      <c r="F187" s="254"/>
      <c r="G187" s="255"/>
      <c r="H187" s="152"/>
    </row>
    <row r="188" spans="2:8" s="43" customFormat="1" x14ac:dyDescent="0.3">
      <c r="B188" s="45" t="s">
        <v>27</v>
      </c>
      <c r="C188" s="45">
        <v>9</v>
      </c>
      <c r="D188" s="127" t="str">
        <f t="shared" si="15"/>
        <v xml:space="preserve"> 45 min</v>
      </c>
      <c r="E188" s="46"/>
      <c r="F188" s="254"/>
      <c r="G188" s="255"/>
      <c r="H188" s="152"/>
    </row>
    <row r="189" spans="2:8" s="43" customFormat="1" x14ac:dyDescent="0.3">
      <c r="B189" s="45"/>
      <c r="C189" s="45"/>
      <c r="D189" s="127" t="str">
        <f t="shared" si="15"/>
        <v/>
      </c>
      <c r="E189" s="46"/>
      <c r="F189" s="254"/>
      <c r="G189" s="255"/>
      <c r="H189" s="152"/>
    </row>
    <row r="190" spans="2:8" s="43" customFormat="1" x14ac:dyDescent="0.3">
      <c r="B190" s="45"/>
      <c r="C190" s="45"/>
      <c r="D190" s="127" t="str">
        <f t="shared" si="15"/>
        <v/>
      </c>
      <c r="E190" s="46"/>
      <c r="F190" s="254"/>
      <c r="G190" s="255"/>
      <c r="H190" s="152"/>
    </row>
    <row r="191" spans="2:8" s="43" customFormat="1" ht="15" thickBot="1" x14ac:dyDescent="0.35">
      <c r="B191" s="47"/>
      <c r="C191" s="47"/>
      <c r="D191" s="128" t="str">
        <f t="shared" si="15"/>
        <v/>
      </c>
      <c r="E191" s="48"/>
      <c r="F191" s="256"/>
      <c r="G191" s="257"/>
      <c r="H191" s="152"/>
    </row>
    <row r="192" spans="2:8" s="43" customFormat="1" ht="15" thickBot="1" x14ac:dyDescent="0.35">
      <c r="B192" s="135" t="s">
        <v>43</v>
      </c>
      <c r="C192" s="66">
        <f>SUM(C184:C191)</f>
        <v>42</v>
      </c>
      <c r="D192" s="135" t="str">
        <f xml:space="preserve"> setValueToTime(C192)</f>
        <v>3h 30 min</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36</v>
      </c>
      <c r="C194" s="137">
        <v>14</v>
      </c>
      <c r="D194" s="137"/>
      <c r="E194" s="130" t="s">
        <v>37</v>
      </c>
      <c r="F194" s="131" t="s">
        <v>145</v>
      </c>
      <c r="G194" s="132" t="s">
        <v>55</v>
      </c>
      <c r="H194" s="151"/>
    </row>
    <row r="195" spans="2:8" s="39" customFormat="1" ht="30" customHeight="1" thickBot="1" x14ac:dyDescent="0.3">
      <c r="B195" s="61" t="s">
        <v>38</v>
      </c>
      <c r="C195" s="134" t="s">
        <v>39</v>
      </c>
      <c r="D195" s="133"/>
      <c r="E195" s="61" t="s">
        <v>40</v>
      </c>
      <c r="F195" s="266" t="s">
        <v>41</v>
      </c>
      <c r="G195" s="267"/>
      <c r="H195" s="151"/>
    </row>
    <row r="196" spans="2:8" s="43" customFormat="1" ht="27" x14ac:dyDescent="0.3">
      <c r="B196" s="40" t="s">
        <v>30</v>
      </c>
      <c r="C196" s="41">
        <v>3</v>
      </c>
      <c r="D196" s="125" t="str">
        <f xml:space="preserve"> IF(C196="","",setValueToTime(C196))</f>
        <v xml:space="preserve"> 15 min</v>
      </c>
      <c r="E196" s="42"/>
      <c r="F196" s="262"/>
      <c r="G196" s="263"/>
      <c r="H196" s="152"/>
    </row>
    <row r="197" spans="2:8" s="43" customFormat="1" ht="40.5" x14ac:dyDescent="0.3">
      <c r="B197" s="44" t="s">
        <v>169</v>
      </c>
      <c r="C197" s="45">
        <v>3</v>
      </c>
      <c r="D197" s="126" t="str">
        <f t="shared" ref="D197:D203" si="16" xml:space="preserve"> IF(C197="","",setValueToTime(C197))</f>
        <v xml:space="preserve"> 15 min</v>
      </c>
      <c r="E197" s="46" t="s">
        <v>216</v>
      </c>
      <c r="F197" s="254"/>
      <c r="G197" s="255"/>
      <c r="H197" s="152"/>
    </row>
    <row r="198" spans="2:8" s="43" customFormat="1" ht="27" x14ac:dyDescent="0.3">
      <c r="B198" s="44" t="s">
        <v>159</v>
      </c>
      <c r="C198" s="45">
        <v>15</v>
      </c>
      <c r="D198" s="126" t="str">
        <f t="shared" si="16"/>
        <v>1h 15 min</v>
      </c>
      <c r="E198" s="46" t="s">
        <v>217</v>
      </c>
      <c r="F198" s="254"/>
      <c r="G198" s="255"/>
      <c r="H198" s="152"/>
    </row>
    <row r="199" spans="2:8" s="43" customFormat="1" ht="27" x14ac:dyDescent="0.3">
      <c r="B199" s="44" t="s">
        <v>163</v>
      </c>
      <c r="C199" s="45">
        <v>9</v>
      </c>
      <c r="D199" s="126" t="str">
        <f t="shared" si="16"/>
        <v xml:space="preserve"> 45 min</v>
      </c>
      <c r="E199" s="46" t="s">
        <v>218</v>
      </c>
      <c r="F199" s="254"/>
      <c r="G199" s="255"/>
      <c r="H199" s="152"/>
    </row>
    <row r="200" spans="2:8" s="43" customFormat="1" x14ac:dyDescent="0.3">
      <c r="B200" s="45" t="s">
        <v>49</v>
      </c>
      <c r="C200" s="45">
        <v>3</v>
      </c>
      <c r="D200" s="127" t="str">
        <f t="shared" si="16"/>
        <v xml:space="preserve"> 15 min</v>
      </c>
      <c r="E200" t="s">
        <v>219</v>
      </c>
      <c r="F200" s="254"/>
      <c r="G200" s="255"/>
      <c r="H200" s="152"/>
    </row>
    <row r="201" spans="2:8" s="43" customFormat="1" x14ac:dyDescent="0.3">
      <c r="B201" s="45"/>
      <c r="C201" s="45"/>
      <c r="D201" s="127" t="str">
        <f t="shared" si="16"/>
        <v/>
      </c>
      <c r="E201" s="46"/>
      <c r="F201" s="254"/>
      <c r="G201" s="255"/>
      <c r="H201" s="152"/>
    </row>
    <row r="202" spans="2:8" s="43" customFormat="1" x14ac:dyDescent="0.3">
      <c r="B202" s="45"/>
      <c r="C202" s="45"/>
      <c r="D202" s="127" t="str">
        <f t="shared" si="16"/>
        <v/>
      </c>
      <c r="E202" s="46"/>
      <c r="F202" s="254"/>
      <c r="G202" s="255"/>
      <c r="H202" s="152"/>
    </row>
    <row r="203" spans="2:8" s="43" customFormat="1" ht="15" thickBot="1" x14ac:dyDescent="0.35">
      <c r="B203" s="47"/>
      <c r="C203" s="47"/>
      <c r="D203" s="128" t="str">
        <f t="shared" si="16"/>
        <v/>
      </c>
      <c r="E203" s="48"/>
      <c r="F203" s="256"/>
      <c r="G203" s="257"/>
      <c r="H203" s="152"/>
    </row>
    <row r="204" spans="2:8" s="43" customFormat="1" ht="15" thickBot="1" x14ac:dyDescent="0.35">
      <c r="B204" s="135" t="s">
        <v>43</v>
      </c>
      <c r="C204" s="66">
        <f>SUM(C196:C203)</f>
        <v>33</v>
      </c>
      <c r="D204" s="135" t="str">
        <f xml:space="preserve"> setValueToTime(C204)</f>
        <v>2h 45 min</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36</v>
      </c>
      <c r="C206" s="137">
        <v>13</v>
      </c>
      <c r="D206" s="137"/>
      <c r="E206" s="130" t="s">
        <v>37</v>
      </c>
      <c r="F206" s="131" t="s">
        <v>145</v>
      </c>
      <c r="G206" s="132" t="s">
        <v>56</v>
      </c>
      <c r="H206" s="151"/>
    </row>
    <row r="207" spans="2:8" s="39" customFormat="1" ht="30" customHeight="1" thickBot="1" x14ac:dyDescent="0.3">
      <c r="B207" s="61" t="s">
        <v>38</v>
      </c>
      <c r="C207" s="134" t="s">
        <v>39</v>
      </c>
      <c r="D207" s="133"/>
      <c r="E207" s="61" t="s">
        <v>40</v>
      </c>
      <c r="F207" s="266" t="s">
        <v>41</v>
      </c>
      <c r="G207" s="267"/>
      <c r="H207" s="151"/>
    </row>
    <row r="208" spans="2:8" s="43" customFormat="1" x14ac:dyDescent="0.3">
      <c r="B208" s="40" t="s">
        <v>162</v>
      </c>
      <c r="C208" s="41">
        <v>6</v>
      </c>
      <c r="D208" s="125" t="str">
        <f xml:space="preserve"> IF(C208="","",setValueToTime(C208))</f>
        <v xml:space="preserve"> 30 min</v>
      </c>
      <c r="E208" s="46" t="s">
        <v>222</v>
      </c>
      <c r="F208" s="262"/>
      <c r="G208" s="263"/>
      <c r="H208" s="152"/>
    </row>
    <row r="209" spans="2:8" s="43" customFormat="1" ht="27" x14ac:dyDescent="0.3">
      <c r="B209" s="44" t="s">
        <v>163</v>
      </c>
      <c r="C209" s="45">
        <v>12</v>
      </c>
      <c r="D209" s="126" t="str">
        <f t="shared" ref="D209:D215" si="17" xml:space="preserve"> IF(C209="","",setValueToTime(C209))</f>
        <v>1h</v>
      </c>
      <c r="E209" t="s">
        <v>223</v>
      </c>
      <c r="F209" s="254"/>
      <c r="G209" s="255"/>
      <c r="H209" s="152"/>
    </row>
    <row r="210" spans="2:8" s="43" customFormat="1" ht="40.5" x14ac:dyDescent="0.3">
      <c r="B210" s="44" t="s">
        <v>169</v>
      </c>
      <c r="C210" s="45">
        <v>6</v>
      </c>
      <c r="D210" s="126" t="str">
        <f t="shared" si="17"/>
        <v xml:space="preserve"> 30 min</v>
      </c>
      <c r="E210" s="46" t="s">
        <v>221</v>
      </c>
      <c r="F210" s="254"/>
      <c r="G210" s="255"/>
      <c r="H210" s="152"/>
    </row>
    <row r="211" spans="2:8" s="43" customFormat="1" x14ac:dyDescent="0.3">
      <c r="B211" s="44"/>
      <c r="C211" s="45"/>
      <c r="D211" s="126" t="str">
        <f t="shared" si="17"/>
        <v/>
      </c>
      <c r="E211" s="46"/>
      <c r="F211" s="254"/>
      <c r="G211" s="255"/>
      <c r="H211" s="152"/>
    </row>
    <row r="212" spans="2:8" s="43" customFormat="1" x14ac:dyDescent="0.3">
      <c r="B212" s="45"/>
      <c r="C212" s="45"/>
      <c r="D212" s="127" t="str">
        <f t="shared" si="17"/>
        <v/>
      </c>
      <c r="E212" s="46"/>
      <c r="F212" s="254"/>
      <c r="G212" s="255"/>
      <c r="H212" s="152"/>
    </row>
    <row r="213" spans="2:8" s="43" customFormat="1" x14ac:dyDescent="0.3">
      <c r="B213" s="45"/>
      <c r="C213" s="45"/>
      <c r="D213" s="127" t="str">
        <f t="shared" si="17"/>
        <v/>
      </c>
      <c r="E213" s="46"/>
      <c r="F213" s="254"/>
      <c r="G213" s="255"/>
      <c r="H213" s="152"/>
    </row>
    <row r="214" spans="2:8" s="43" customFormat="1" x14ac:dyDescent="0.3">
      <c r="B214" s="45"/>
      <c r="C214" s="45"/>
      <c r="D214" s="127" t="str">
        <f t="shared" si="17"/>
        <v/>
      </c>
      <c r="E214" s="46"/>
      <c r="F214" s="254"/>
      <c r="G214" s="255"/>
      <c r="H214" s="152"/>
    </row>
    <row r="215" spans="2:8" s="43" customFormat="1" ht="15" thickBot="1" x14ac:dyDescent="0.35">
      <c r="B215" s="47"/>
      <c r="C215" s="47"/>
      <c r="D215" s="128" t="str">
        <f t="shared" si="17"/>
        <v/>
      </c>
      <c r="E215" s="48"/>
      <c r="F215" s="256"/>
      <c r="G215" s="257"/>
      <c r="H215" s="152"/>
    </row>
    <row r="216" spans="2:8" s="43" customFormat="1" ht="15" thickBot="1" x14ac:dyDescent="0.35">
      <c r="B216" s="135" t="s">
        <v>43</v>
      </c>
      <c r="C216" s="66">
        <f>SUM(C208:C215)</f>
        <v>24</v>
      </c>
      <c r="D216" s="135" t="str">
        <f xml:space="preserve"> setValueToTime(C216)</f>
        <v>2h</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36</v>
      </c>
      <c r="C218" s="137">
        <v>12</v>
      </c>
      <c r="D218" s="137"/>
      <c r="E218" s="130" t="s">
        <v>37</v>
      </c>
      <c r="F218" s="131" t="s">
        <v>148</v>
      </c>
      <c r="G218" s="132" t="s">
        <v>55</v>
      </c>
      <c r="H218" s="151"/>
    </row>
    <row r="219" spans="2:8" s="39" customFormat="1" ht="30" customHeight="1" thickBot="1" x14ac:dyDescent="0.3">
      <c r="B219" s="61" t="s">
        <v>38</v>
      </c>
      <c r="C219" s="134" t="s">
        <v>39</v>
      </c>
      <c r="D219" s="133"/>
      <c r="E219" s="61" t="s">
        <v>40</v>
      </c>
      <c r="F219" s="266" t="s">
        <v>41</v>
      </c>
      <c r="G219" s="267"/>
      <c r="H219" s="151"/>
    </row>
    <row r="220" spans="2:8" s="43" customFormat="1" ht="27" x14ac:dyDescent="0.3">
      <c r="B220" s="40" t="s">
        <v>30</v>
      </c>
      <c r="C220" s="41">
        <v>3</v>
      </c>
      <c r="D220" s="125" t="str">
        <f xml:space="preserve"> IF(C220="","",setValueToTime(C220))</f>
        <v xml:space="preserve"> 15 min</v>
      </c>
      <c r="E220" s="42"/>
      <c r="F220" s="262"/>
      <c r="G220" s="263"/>
      <c r="H220" s="152"/>
    </row>
    <row r="221" spans="2:8" s="43" customFormat="1" ht="27" x14ac:dyDescent="0.3">
      <c r="B221" s="44" t="s">
        <v>166</v>
      </c>
      <c r="C221" s="45">
        <v>9</v>
      </c>
      <c r="D221" s="126" t="str">
        <f t="shared" ref="D221:D227" si="18" xml:space="preserve"> IF(C221="","",setValueToTime(C221))</f>
        <v xml:space="preserve"> 45 min</v>
      </c>
      <c r="E221" s="46" t="s">
        <v>226</v>
      </c>
      <c r="F221" s="254"/>
      <c r="G221" s="255"/>
      <c r="H221" s="152"/>
    </row>
    <row r="222" spans="2:8" s="43" customFormat="1" ht="27" x14ac:dyDescent="0.3">
      <c r="B222" s="44" t="s">
        <v>86</v>
      </c>
      <c r="C222" s="45">
        <v>12</v>
      </c>
      <c r="D222" s="126" t="str">
        <f t="shared" si="18"/>
        <v>1h</v>
      </c>
      <c r="E222" t="s">
        <v>220</v>
      </c>
      <c r="F222" s="254"/>
      <c r="G222" s="255"/>
      <c r="H222" s="152"/>
    </row>
    <row r="223" spans="2:8" s="43" customFormat="1" x14ac:dyDescent="0.3">
      <c r="B223" s="44" t="s">
        <v>162</v>
      </c>
      <c r="C223" s="45">
        <v>12</v>
      </c>
      <c r="D223" s="126" t="str">
        <f t="shared" si="18"/>
        <v>1h</v>
      </c>
      <c r="E223" s="46" t="s">
        <v>227</v>
      </c>
      <c r="F223" s="254"/>
      <c r="G223" s="255"/>
      <c r="H223" s="152"/>
    </row>
    <row r="224" spans="2:8" s="43" customFormat="1" x14ac:dyDescent="0.3">
      <c r="B224" s="45"/>
      <c r="C224" s="45"/>
      <c r="D224" s="127" t="str">
        <f t="shared" si="18"/>
        <v/>
      </c>
      <c r="E224" s="46"/>
      <c r="F224" s="254"/>
      <c r="G224" s="255"/>
      <c r="H224" s="152"/>
    </row>
    <row r="225" spans="2:8" s="43" customFormat="1" x14ac:dyDescent="0.3">
      <c r="B225" s="45"/>
      <c r="C225" s="45"/>
      <c r="D225" s="127" t="str">
        <f t="shared" si="18"/>
        <v/>
      </c>
      <c r="E225" s="46"/>
      <c r="F225" s="254"/>
      <c r="G225" s="255"/>
      <c r="H225" s="152"/>
    </row>
    <row r="226" spans="2:8" s="43" customFormat="1" x14ac:dyDescent="0.3">
      <c r="B226" s="45"/>
      <c r="C226" s="45"/>
      <c r="D226" s="127" t="str">
        <f t="shared" si="18"/>
        <v/>
      </c>
      <c r="E226" s="46"/>
      <c r="F226" s="254"/>
      <c r="G226" s="255"/>
      <c r="H226" s="152"/>
    </row>
    <row r="227" spans="2:8" s="43" customFormat="1" ht="15" thickBot="1" x14ac:dyDescent="0.35">
      <c r="B227" s="47"/>
      <c r="C227" s="47"/>
      <c r="D227" s="128" t="str">
        <f t="shared" si="18"/>
        <v/>
      </c>
      <c r="E227" s="48"/>
      <c r="F227" s="256"/>
      <c r="G227" s="257"/>
      <c r="H227" s="152"/>
    </row>
    <row r="228" spans="2:8" s="43" customFormat="1" ht="15" thickBot="1" x14ac:dyDescent="0.35">
      <c r="B228" s="135" t="s">
        <v>43</v>
      </c>
      <c r="C228" s="66">
        <f>SUM(C220:C227)</f>
        <v>36</v>
      </c>
      <c r="D228" s="135" t="str">
        <f xml:space="preserve"> setValueToTime(C228)</f>
        <v>3h</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36</v>
      </c>
      <c r="C230" s="137">
        <v>11</v>
      </c>
      <c r="D230" s="137"/>
      <c r="E230" s="130" t="s">
        <v>37</v>
      </c>
      <c r="F230" s="131" t="s">
        <v>148</v>
      </c>
      <c r="G230" s="132" t="s">
        <v>56</v>
      </c>
      <c r="H230" s="151"/>
    </row>
    <row r="231" spans="2:8" s="39" customFormat="1" ht="30" customHeight="1" thickBot="1" x14ac:dyDescent="0.3">
      <c r="B231" s="61" t="s">
        <v>38</v>
      </c>
      <c r="C231" s="134" t="s">
        <v>39</v>
      </c>
      <c r="D231" s="133"/>
      <c r="E231" s="61" t="s">
        <v>40</v>
      </c>
      <c r="F231" s="266" t="s">
        <v>41</v>
      </c>
      <c r="G231" s="267"/>
      <c r="H231" s="151"/>
    </row>
    <row r="232" spans="2:8" s="43" customFormat="1" ht="27" x14ac:dyDescent="0.3">
      <c r="B232" s="40" t="s">
        <v>30</v>
      </c>
      <c r="C232" s="41">
        <v>3</v>
      </c>
      <c r="D232" s="125" t="str">
        <f xml:space="preserve"> IF(C232="","",setValueToTime(C232))</f>
        <v xml:space="preserve"> 15 min</v>
      </c>
      <c r="E232" s="42"/>
      <c r="F232" s="262"/>
      <c r="G232" s="263"/>
      <c r="H232" s="152"/>
    </row>
    <row r="233" spans="2:8" s="43" customFormat="1" ht="27" x14ac:dyDescent="0.3">
      <c r="B233" s="44" t="s">
        <v>166</v>
      </c>
      <c r="C233" s="45">
        <v>15</v>
      </c>
      <c r="D233" s="126" t="str">
        <f t="shared" ref="D233:D239" si="19" xml:space="preserve"> IF(C233="","",setValueToTime(C233))</f>
        <v>1h 15 min</v>
      </c>
      <c r="E233" s="46" t="s">
        <v>210</v>
      </c>
      <c r="F233" s="254"/>
      <c r="G233" s="255"/>
      <c r="H233" s="152"/>
    </row>
    <row r="234" spans="2:8" s="43" customFormat="1" ht="27" x14ac:dyDescent="0.3">
      <c r="B234" s="44" t="s">
        <v>158</v>
      </c>
      <c r="C234" s="45">
        <v>6</v>
      </c>
      <c r="D234" s="126" t="str">
        <f t="shared" si="19"/>
        <v xml:space="preserve"> 30 min</v>
      </c>
      <c r="E234" s="46" t="s">
        <v>209</v>
      </c>
      <c r="F234" s="254"/>
      <c r="G234" s="255"/>
      <c r="H234" s="152"/>
    </row>
    <row r="235" spans="2:8" s="43" customFormat="1" x14ac:dyDescent="0.3">
      <c r="B235" s="44" t="s">
        <v>49</v>
      </c>
      <c r="C235" s="45">
        <v>3</v>
      </c>
      <c r="D235" s="126" t="str">
        <f t="shared" si="19"/>
        <v xml:space="preserve"> 15 min</v>
      </c>
      <c r="E235" s="46"/>
      <c r="F235" s="254"/>
      <c r="G235" s="255"/>
      <c r="H235" s="152"/>
    </row>
    <row r="236" spans="2:8" s="43" customFormat="1" x14ac:dyDescent="0.3">
      <c r="B236" s="45" t="s">
        <v>201</v>
      </c>
      <c r="C236" s="45">
        <v>15</v>
      </c>
      <c r="D236" s="127" t="str">
        <f t="shared" si="19"/>
        <v>1h 15 min</v>
      </c>
      <c r="E236" s="46" t="s">
        <v>211</v>
      </c>
      <c r="F236" s="254"/>
      <c r="G236" s="255"/>
      <c r="H236" s="152"/>
    </row>
    <row r="237" spans="2:8" s="43" customFormat="1" x14ac:dyDescent="0.3">
      <c r="B237" s="45"/>
      <c r="C237" s="45"/>
      <c r="D237" s="127" t="str">
        <f t="shared" si="19"/>
        <v/>
      </c>
      <c r="E237" s="46"/>
      <c r="F237" s="254"/>
      <c r="G237" s="255"/>
      <c r="H237" s="152"/>
    </row>
    <row r="238" spans="2:8" s="43" customFormat="1" x14ac:dyDescent="0.3">
      <c r="B238" s="45"/>
      <c r="C238" s="45"/>
      <c r="D238" s="127" t="str">
        <f t="shared" si="19"/>
        <v/>
      </c>
      <c r="E238" s="46"/>
      <c r="F238" s="254"/>
      <c r="G238" s="255"/>
      <c r="H238" s="152"/>
    </row>
    <row r="239" spans="2:8" s="43" customFormat="1" ht="15" thickBot="1" x14ac:dyDescent="0.35">
      <c r="B239" s="47"/>
      <c r="C239" s="47"/>
      <c r="D239" s="128" t="str">
        <f t="shared" si="19"/>
        <v/>
      </c>
      <c r="E239" s="48"/>
      <c r="F239" s="256"/>
      <c r="G239" s="257"/>
      <c r="H239" s="152"/>
    </row>
    <row r="240" spans="2:8" s="43" customFormat="1" ht="15" thickBot="1" x14ac:dyDescent="0.35">
      <c r="B240" s="135" t="s">
        <v>43</v>
      </c>
      <c r="C240" s="66">
        <f>SUM(C232:C239)</f>
        <v>42</v>
      </c>
      <c r="D240" s="135" t="str">
        <f xml:space="preserve"> setValueToTime(C240)</f>
        <v>3h 30 min</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36</v>
      </c>
      <c r="C242" s="137">
        <v>10</v>
      </c>
      <c r="D242" s="137"/>
      <c r="E242" s="130" t="s">
        <v>37</v>
      </c>
      <c r="F242" s="131" t="s">
        <v>151</v>
      </c>
      <c r="G242" s="132" t="s">
        <v>55</v>
      </c>
      <c r="H242" s="151"/>
    </row>
    <row r="243" spans="2:8" s="39" customFormat="1" ht="30" customHeight="1" thickBot="1" x14ac:dyDescent="0.3">
      <c r="B243" s="61" t="s">
        <v>38</v>
      </c>
      <c r="C243" s="134" t="s">
        <v>39</v>
      </c>
      <c r="D243" s="133"/>
      <c r="E243" s="61" t="s">
        <v>40</v>
      </c>
      <c r="F243" s="266" t="s">
        <v>41</v>
      </c>
      <c r="G243" s="267"/>
      <c r="H243" s="151"/>
    </row>
    <row r="244" spans="2:8" s="43" customFormat="1" ht="27" x14ac:dyDescent="0.3">
      <c r="B244" s="40" t="s">
        <v>30</v>
      </c>
      <c r="C244" s="41">
        <v>3</v>
      </c>
      <c r="D244" s="125" t="str">
        <f xml:space="preserve"> IF(C244="","",setValueToTime(C244))</f>
        <v xml:space="preserve"> 15 min</v>
      </c>
      <c r="E244" s="42"/>
      <c r="F244" s="262"/>
      <c r="G244" s="263"/>
      <c r="H244" s="152"/>
    </row>
    <row r="245" spans="2:8" s="43" customFormat="1" x14ac:dyDescent="0.3">
      <c r="B245" s="44" t="s">
        <v>201</v>
      </c>
      <c r="C245" s="45">
        <v>20</v>
      </c>
      <c r="D245" s="126" t="str">
        <f t="shared" ref="D245:D251" si="20" xml:space="preserve"> IF(C245="","",setValueToTime(C245))</f>
        <v>1h 40 min</v>
      </c>
      <c r="E245" s="46" t="s">
        <v>228</v>
      </c>
      <c r="F245" s="254"/>
      <c r="G245" s="255"/>
      <c r="H245" s="152"/>
    </row>
    <row r="246" spans="2:8" s="43" customFormat="1" ht="27" x14ac:dyDescent="0.3">
      <c r="B246" s="44" t="s">
        <v>158</v>
      </c>
      <c r="C246" s="45">
        <v>9</v>
      </c>
      <c r="D246" s="126" t="str">
        <f t="shared" si="20"/>
        <v xml:space="preserve"> 45 min</v>
      </c>
      <c r="E246" s="46" t="s">
        <v>212</v>
      </c>
      <c r="F246" s="254"/>
      <c r="G246" s="255"/>
      <c r="H246" s="152"/>
    </row>
    <row r="247" spans="2:8" s="43" customFormat="1" x14ac:dyDescent="0.3">
      <c r="B247" s="44" t="s">
        <v>49</v>
      </c>
      <c r="C247" s="45">
        <v>4</v>
      </c>
      <c r="D247" s="126" t="str">
        <f t="shared" si="20"/>
        <v xml:space="preserve"> 20 min</v>
      </c>
      <c r="E247" s="46" t="s">
        <v>208</v>
      </c>
      <c r="F247" s="254"/>
      <c r="G247" s="255"/>
      <c r="H247" s="152"/>
    </row>
    <row r="248" spans="2:8" s="43" customFormat="1" x14ac:dyDescent="0.3">
      <c r="B248" s="45"/>
      <c r="C248" s="45"/>
      <c r="D248" s="127" t="str">
        <f t="shared" si="20"/>
        <v/>
      </c>
      <c r="E248" s="46"/>
      <c r="F248" s="254"/>
      <c r="G248" s="255"/>
      <c r="H248" s="152"/>
    </row>
    <row r="249" spans="2:8" s="43" customFormat="1" x14ac:dyDescent="0.3">
      <c r="B249" s="45"/>
      <c r="C249" s="45"/>
      <c r="D249" s="127" t="str">
        <f t="shared" si="20"/>
        <v/>
      </c>
      <c r="E249" s="46"/>
      <c r="F249" s="254"/>
      <c r="G249" s="255"/>
      <c r="H249" s="152"/>
    </row>
    <row r="250" spans="2:8" s="43" customFormat="1" x14ac:dyDescent="0.3">
      <c r="B250" s="45"/>
      <c r="C250" s="45"/>
      <c r="D250" s="127" t="str">
        <f t="shared" si="20"/>
        <v/>
      </c>
      <c r="E250" s="46"/>
      <c r="F250" s="254"/>
      <c r="G250" s="255"/>
      <c r="H250" s="152"/>
    </row>
    <row r="251" spans="2:8" s="43" customFormat="1" ht="15" thickBot="1" x14ac:dyDescent="0.35">
      <c r="B251" s="47"/>
      <c r="C251" s="47"/>
      <c r="D251" s="128" t="str">
        <f t="shared" si="20"/>
        <v/>
      </c>
      <c r="E251" s="48"/>
      <c r="F251" s="256"/>
      <c r="G251" s="257"/>
      <c r="H251" s="152"/>
    </row>
    <row r="252" spans="2:8" s="43" customFormat="1" ht="15" thickBot="1" x14ac:dyDescent="0.35">
      <c r="B252" s="135" t="s">
        <v>43</v>
      </c>
      <c r="C252" s="66">
        <f>SUM(C244:C251)</f>
        <v>36</v>
      </c>
      <c r="D252" s="135" t="str">
        <f xml:space="preserve"> setValueToTime(C252)</f>
        <v>3h</v>
      </c>
      <c r="E252" s="96"/>
      <c r="F252" s="264"/>
      <c r="G252" s="265"/>
      <c r="H252" s="152"/>
    </row>
    <row r="253" spans="2:8" s="43" customFormat="1" ht="15" thickBot="1" x14ac:dyDescent="0.35">
      <c r="B253" s="60"/>
      <c r="C253" s="60"/>
      <c r="D253" s="60"/>
      <c r="E253" s="60"/>
      <c r="F253" s="60"/>
      <c r="G253" s="60"/>
      <c r="H253" s="152"/>
    </row>
    <row r="254" spans="2:8" s="39" customFormat="1" ht="30" customHeight="1" thickBot="1" x14ac:dyDescent="0.3">
      <c r="B254" s="129" t="s">
        <v>36</v>
      </c>
      <c r="C254" s="137">
        <v>9</v>
      </c>
      <c r="D254" s="137"/>
      <c r="E254" s="130" t="s">
        <v>37</v>
      </c>
      <c r="F254" s="131" t="s">
        <v>151</v>
      </c>
      <c r="G254" s="132" t="s">
        <v>56</v>
      </c>
      <c r="H254" s="151"/>
    </row>
    <row r="255" spans="2:8" s="39" customFormat="1" ht="30" customHeight="1" thickBot="1" x14ac:dyDescent="0.3">
      <c r="B255" s="61" t="s">
        <v>38</v>
      </c>
      <c r="C255" s="134" t="s">
        <v>39</v>
      </c>
      <c r="D255" s="133"/>
      <c r="E255" s="61" t="s">
        <v>40</v>
      </c>
      <c r="F255" s="266" t="s">
        <v>41</v>
      </c>
      <c r="G255" s="267"/>
      <c r="H255" s="151"/>
    </row>
    <row r="256" spans="2:8" s="43" customFormat="1" ht="27" x14ac:dyDescent="0.3">
      <c r="B256" s="40" t="s">
        <v>30</v>
      </c>
      <c r="C256" s="41">
        <v>4</v>
      </c>
      <c r="D256" s="125" t="str">
        <f xml:space="preserve"> IF(C256="","",setValueToTime(C256))</f>
        <v xml:space="preserve"> 20 min</v>
      </c>
      <c r="E256" s="42" t="s">
        <v>205</v>
      </c>
      <c r="F256" s="262"/>
      <c r="G256" s="263"/>
      <c r="H256" s="152"/>
    </row>
    <row r="257" spans="2:8" s="43" customFormat="1" ht="27" x14ac:dyDescent="0.3">
      <c r="B257" s="44" t="s">
        <v>201</v>
      </c>
      <c r="C257" s="45">
        <v>14</v>
      </c>
      <c r="D257" s="126" t="str">
        <f t="shared" ref="D257:D263" si="21" xml:space="preserve"> IF(C257="","",setValueToTime(C257))</f>
        <v>1h 10 min</v>
      </c>
      <c r="E257" s="46" t="s">
        <v>229</v>
      </c>
      <c r="F257" s="254"/>
      <c r="G257" s="255"/>
      <c r="H257" s="152"/>
    </row>
    <row r="258" spans="2:8" s="43" customFormat="1" ht="27" x14ac:dyDescent="0.3">
      <c r="B258" s="44" t="s">
        <v>161</v>
      </c>
      <c r="C258" s="45">
        <v>12</v>
      </c>
      <c r="D258" s="126" t="str">
        <f t="shared" si="21"/>
        <v>1h</v>
      </c>
      <c r="E258" s="46" t="s">
        <v>206</v>
      </c>
      <c r="F258" s="254"/>
      <c r="G258" s="255"/>
      <c r="H258" s="152"/>
    </row>
    <row r="259" spans="2:8" s="43" customFormat="1" ht="27" x14ac:dyDescent="0.3">
      <c r="B259" s="44" t="s">
        <v>158</v>
      </c>
      <c r="C259" s="45">
        <v>12</v>
      </c>
      <c r="D259" s="126" t="str">
        <f t="shared" si="21"/>
        <v>1h</v>
      </c>
      <c r="E259" s="46" t="s">
        <v>207</v>
      </c>
      <c r="F259" s="254"/>
      <c r="G259" s="255"/>
      <c r="H259" s="152"/>
    </row>
    <row r="260" spans="2:8" s="43" customFormat="1" x14ac:dyDescent="0.3">
      <c r="B260" s="45"/>
      <c r="C260" s="45"/>
      <c r="D260" s="127" t="str">
        <f t="shared" si="21"/>
        <v/>
      </c>
      <c r="E260" s="46"/>
      <c r="F260" s="254"/>
      <c r="G260" s="255"/>
      <c r="H260" s="152"/>
    </row>
    <row r="261" spans="2:8" s="43" customFormat="1" x14ac:dyDescent="0.3">
      <c r="B261" s="45"/>
      <c r="C261" s="45"/>
      <c r="D261" s="127" t="str">
        <f t="shared" si="21"/>
        <v/>
      </c>
      <c r="E261" s="46"/>
      <c r="F261" s="254"/>
      <c r="G261" s="255"/>
      <c r="H261" s="152"/>
    </row>
    <row r="262" spans="2:8" s="43" customFormat="1" x14ac:dyDescent="0.3">
      <c r="B262" s="45"/>
      <c r="C262" s="45"/>
      <c r="D262" s="127" t="str">
        <f t="shared" si="21"/>
        <v/>
      </c>
      <c r="E262" s="46"/>
      <c r="F262" s="254"/>
      <c r="G262" s="255"/>
      <c r="H262" s="152"/>
    </row>
    <row r="263" spans="2:8" s="43" customFormat="1" ht="15" thickBot="1" x14ac:dyDescent="0.35">
      <c r="B263" s="47"/>
      <c r="C263" s="47"/>
      <c r="D263" s="128" t="str">
        <f t="shared" si="21"/>
        <v/>
      </c>
      <c r="E263" s="48"/>
      <c r="F263" s="256"/>
      <c r="G263" s="257"/>
      <c r="H263" s="152"/>
    </row>
    <row r="264" spans="2:8" s="43" customFormat="1" ht="15" thickBot="1" x14ac:dyDescent="0.35">
      <c r="B264" s="135" t="s">
        <v>43</v>
      </c>
      <c r="C264" s="66">
        <f>SUM(C256:C263)</f>
        <v>42</v>
      </c>
      <c r="D264" s="135" t="str">
        <f xml:space="preserve"> setValueToTime(C264)</f>
        <v>3h 30 min</v>
      </c>
      <c r="E264" s="96"/>
      <c r="F264" s="264"/>
      <c r="G264" s="265"/>
      <c r="H264" s="152"/>
    </row>
    <row r="265" spans="2:8" s="43" customFormat="1" ht="15" thickBot="1" x14ac:dyDescent="0.35">
      <c r="B265" s="60"/>
      <c r="C265" s="60"/>
      <c r="D265" s="60"/>
      <c r="E265" s="60"/>
      <c r="F265" s="60"/>
      <c r="G265" s="60"/>
      <c r="H265" s="152"/>
    </row>
    <row r="266" spans="2:8" s="39" customFormat="1" ht="30" customHeight="1" thickBot="1" x14ac:dyDescent="0.3">
      <c r="B266" s="129" t="s">
        <v>36</v>
      </c>
      <c r="C266" s="137">
        <v>8</v>
      </c>
      <c r="D266" s="137"/>
      <c r="E266" s="130" t="s">
        <v>37</v>
      </c>
      <c r="F266" s="131" t="s">
        <v>65</v>
      </c>
      <c r="G266" s="132" t="s">
        <v>55</v>
      </c>
      <c r="H266" s="151"/>
    </row>
    <row r="267" spans="2:8" s="39" customFormat="1" ht="30" customHeight="1" thickBot="1" x14ac:dyDescent="0.3">
      <c r="B267" s="61" t="s">
        <v>38</v>
      </c>
      <c r="C267" s="134" t="s">
        <v>39</v>
      </c>
      <c r="D267" s="133"/>
      <c r="E267" s="61" t="s">
        <v>40</v>
      </c>
      <c r="F267" s="266" t="s">
        <v>41</v>
      </c>
      <c r="G267" s="267"/>
      <c r="H267" s="151"/>
    </row>
    <row r="268" spans="2:8" s="43" customFormat="1" ht="27" x14ac:dyDescent="0.3">
      <c r="B268" s="40" t="s">
        <v>30</v>
      </c>
      <c r="C268" s="41">
        <v>3</v>
      </c>
      <c r="D268" s="125" t="str">
        <f xml:space="preserve"> IF(C268="","",setValueToTime(C268))</f>
        <v xml:space="preserve"> 15 min</v>
      </c>
      <c r="E268" s="42"/>
      <c r="F268" s="262"/>
      <c r="G268" s="263"/>
      <c r="H268" s="152"/>
    </row>
    <row r="269" spans="2:8" s="43" customFormat="1" x14ac:dyDescent="0.3">
      <c r="B269" s="44" t="s">
        <v>201</v>
      </c>
      <c r="C269" s="45">
        <v>20</v>
      </c>
      <c r="D269" s="126" t="str">
        <f t="shared" ref="D269:D275" si="22" xml:space="preserve"> IF(C269="","",setValueToTime(C269))</f>
        <v>1h 40 min</v>
      </c>
      <c r="E269" s="46" t="s">
        <v>230</v>
      </c>
      <c r="F269" s="254"/>
      <c r="G269" s="255"/>
      <c r="H269" s="152"/>
    </row>
    <row r="270" spans="2:8" s="43" customFormat="1" ht="27" x14ac:dyDescent="0.3">
      <c r="B270" s="44" t="s">
        <v>161</v>
      </c>
      <c r="C270" s="45">
        <v>10</v>
      </c>
      <c r="D270" s="126" t="str">
        <f t="shared" si="22"/>
        <v xml:space="preserve"> 50 min</v>
      </c>
      <c r="E270" s="46" t="s">
        <v>203</v>
      </c>
      <c r="F270" s="254"/>
      <c r="G270" s="255"/>
      <c r="H270" s="152"/>
    </row>
    <row r="271" spans="2:8" s="43" customFormat="1" x14ac:dyDescent="0.3">
      <c r="B271" s="44" t="s">
        <v>47</v>
      </c>
      <c r="C271" s="45">
        <v>3</v>
      </c>
      <c r="D271" s="126" t="str">
        <f t="shared" si="22"/>
        <v xml:space="preserve"> 15 min</v>
      </c>
      <c r="E271" s="46" t="s">
        <v>202</v>
      </c>
      <c r="F271" s="254"/>
      <c r="G271" s="255"/>
      <c r="H271" s="152"/>
    </row>
    <row r="272" spans="2:8" s="43" customFormat="1" ht="27" x14ac:dyDescent="0.3">
      <c r="B272" s="45" t="s">
        <v>158</v>
      </c>
      <c r="C272" s="45">
        <v>6</v>
      </c>
      <c r="D272" s="127" t="str">
        <f t="shared" si="22"/>
        <v xml:space="preserve"> 30 min</v>
      </c>
      <c r="E272" s="46" t="s">
        <v>204</v>
      </c>
      <c r="F272" s="254"/>
      <c r="G272" s="255"/>
      <c r="H272" s="152"/>
    </row>
    <row r="273" spans="2:8" s="43" customFormat="1" x14ac:dyDescent="0.3">
      <c r="B273" s="45"/>
      <c r="C273" s="45"/>
      <c r="D273" s="127" t="str">
        <f t="shared" si="22"/>
        <v/>
      </c>
      <c r="E273" s="46"/>
      <c r="F273" s="254"/>
      <c r="G273" s="255"/>
      <c r="H273" s="152"/>
    </row>
    <row r="274" spans="2:8" s="43" customFormat="1" x14ac:dyDescent="0.3">
      <c r="B274" s="45"/>
      <c r="C274" s="45"/>
      <c r="D274" s="127" t="str">
        <f t="shared" si="22"/>
        <v/>
      </c>
      <c r="E274" s="46"/>
      <c r="F274" s="254"/>
      <c r="G274" s="255"/>
      <c r="H274" s="152"/>
    </row>
    <row r="275" spans="2:8" s="43" customFormat="1" ht="15" thickBot="1" x14ac:dyDescent="0.35">
      <c r="B275" s="47"/>
      <c r="C275" s="47"/>
      <c r="D275" s="128" t="str">
        <f t="shared" si="22"/>
        <v/>
      </c>
      <c r="E275" s="48"/>
      <c r="F275" s="256"/>
      <c r="G275" s="257"/>
      <c r="H275" s="152"/>
    </row>
    <row r="276" spans="2:8" s="43" customFormat="1" ht="15" thickBot="1" x14ac:dyDescent="0.35">
      <c r="B276" s="135" t="s">
        <v>43</v>
      </c>
      <c r="C276" s="66">
        <f>SUM(C268:C275)</f>
        <v>42</v>
      </c>
      <c r="D276" s="135" t="str">
        <f xml:space="preserve"> setValueToTime(C276)</f>
        <v>3h 30 min</v>
      </c>
      <c r="E276" s="96"/>
      <c r="F276" s="264"/>
      <c r="G276" s="265"/>
      <c r="H276" s="152"/>
    </row>
    <row r="277" spans="2:8" s="43" customFormat="1" ht="15" thickBot="1" x14ac:dyDescent="0.35">
      <c r="B277" s="60"/>
      <c r="C277" s="60"/>
      <c r="D277" s="60"/>
      <c r="E277" s="60"/>
      <c r="F277" s="60"/>
      <c r="G277" s="60"/>
      <c r="H277" s="152"/>
    </row>
    <row r="278" spans="2:8" s="39" customFormat="1" ht="30" customHeight="1" thickBot="1" x14ac:dyDescent="0.3">
      <c r="B278" s="129" t="s">
        <v>36</v>
      </c>
      <c r="C278" s="137">
        <v>7</v>
      </c>
      <c r="D278" s="137"/>
      <c r="E278" s="130" t="s">
        <v>37</v>
      </c>
      <c r="F278" s="131" t="s">
        <v>65</v>
      </c>
      <c r="G278" s="132" t="s">
        <v>56</v>
      </c>
      <c r="H278" s="151"/>
    </row>
    <row r="279" spans="2:8" s="39" customFormat="1" ht="30" customHeight="1" thickBot="1" x14ac:dyDescent="0.3">
      <c r="B279" s="61" t="s">
        <v>38</v>
      </c>
      <c r="C279" s="134" t="s">
        <v>39</v>
      </c>
      <c r="D279" s="133"/>
      <c r="E279" s="61" t="s">
        <v>40</v>
      </c>
      <c r="F279" s="266" t="s">
        <v>41</v>
      </c>
      <c r="G279" s="267"/>
      <c r="H279" s="151"/>
    </row>
    <row r="280" spans="2:8" s="43" customFormat="1" ht="27" x14ac:dyDescent="0.3">
      <c r="B280" s="40" t="s">
        <v>30</v>
      </c>
      <c r="C280" s="41">
        <v>3</v>
      </c>
      <c r="D280" s="125" t="str">
        <f xml:space="preserve"> IF(C280="","",setValueToTime(C280))</f>
        <v xml:space="preserve"> 15 min</v>
      </c>
      <c r="E280" s="42"/>
      <c r="F280" s="262"/>
      <c r="G280" s="263"/>
      <c r="H280" s="152"/>
    </row>
    <row r="281" spans="2:8" s="43" customFormat="1" ht="27" x14ac:dyDescent="0.3">
      <c r="B281" s="44" t="s">
        <v>168</v>
      </c>
      <c r="C281" s="45">
        <v>10</v>
      </c>
      <c r="D281" s="126" t="str">
        <f t="shared" ref="D281:D287" si="23" xml:space="preserve"> IF(C281="","",setValueToTime(C281))</f>
        <v xml:space="preserve"> 50 min</v>
      </c>
      <c r="E281" s="46" t="s">
        <v>194</v>
      </c>
      <c r="F281" s="254"/>
      <c r="G281" s="255"/>
      <c r="H281" s="152"/>
    </row>
    <row r="282" spans="2:8" s="43" customFormat="1" ht="27" x14ac:dyDescent="0.3">
      <c r="B282" s="44" t="s">
        <v>158</v>
      </c>
      <c r="C282" s="45">
        <v>15</v>
      </c>
      <c r="D282" s="126" t="str">
        <f t="shared" si="23"/>
        <v>1h 15 min</v>
      </c>
      <c r="E282" s="46" t="s">
        <v>200</v>
      </c>
      <c r="F282" s="254"/>
      <c r="G282" s="255"/>
      <c r="H282" s="152"/>
    </row>
    <row r="283" spans="2:8" s="43" customFormat="1" x14ac:dyDescent="0.3">
      <c r="B283" s="44" t="s">
        <v>201</v>
      </c>
      <c r="C283" s="45">
        <v>14</v>
      </c>
      <c r="D283" s="126" t="str">
        <f t="shared" si="23"/>
        <v>1h 10 min</v>
      </c>
      <c r="E283" s="46" t="s">
        <v>231</v>
      </c>
      <c r="F283" s="254"/>
      <c r="G283" s="255"/>
      <c r="H283" s="152"/>
    </row>
    <row r="284" spans="2:8" s="43" customFormat="1" x14ac:dyDescent="0.3">
      <c r="B284" s="45"/>
      <c r="C284" s="45"/>
      <c r="D284" s="127" t="str">
        <f t="shared" si="23"/>
        <v/>
      </c>
      <c r="E284" s="46"/>
      <c r="F284" s="254"/>
      <c r="G284" s="255"/>
      <c r="H284" s="152"/>
    </row>
    <row r="285" spans="2:8" s="43" customFormat="1" x14ac:dyDescent="0.3">
      <c r="B285" s="45"/>
      <c r="C285" s="45"/>
      <c r="D285" s="127" t="str">
        <f t="shared" si="23"/>
        <v/>
      </c>
      <c r="E285" s="46"/>
      <c r="F285" s="254"/>
      <c r="G285" s="255"/>
      <c r="H285" s="152"/>
    </row>
    <row r="286" spans="2:8" s="43" customFormat="1" x14ac:dyDescent="0.3">
      <c r="B286" s="45"/>
      <c r="C286" s="45"/>
      <c r="D286" s="127" t="str">
        <f t="shared" si="23"/>
        <v/>
      </c>
      <c r="E286" s="46"/>
      <c r="F286" s="254"/>
      <c r="G286" s="255"/>
      <c r="H286" s="152"/>
    </row>
    <row r="287" spans="2:8" s="43" customFormat="1" ht="15" thickBot="1" x14ac:dyDescent="0.35">
      <c r="B287" s="47"/>
      <c r="C287" s="47"/>
      <c r="D287" s="128" t="str">
        <f t="shared" si="23"/>
        <v/>
      </c>
      <c r="E287" s="48"/>
      <c r="F287" s="256"/>
      <c r="G287" s="257"/>
      <c r="H287" s="152"/>
    </row>
    <row r="288" spans="2:8" s="43" customFormat="1" ht="15" thickBot="1" x14ac:dyDescent="0.35">
      <c r="B288" s="135" t="s">
        <v>43</v>
      </c>
      <c r="C288" s="66">
        <f>SUM(C280:C287)</f>
        <v>42</v>
      </c>
      <c r="D288" s="135" t="str">
        <f xml:space="preserve"> setValueToTime(C288)</f>
        <v>3h 30 min</v>
      </c>
      <c r="E288" s="96"/>
      <c r="F288" s="264"/>
      <c r="G288" s="265"/>
      <c r="H288" s="152"/>
    </row>
    <row r="289" spans="2:8" s="43" customFormat="1" ht="15" thickBot="1" x14ac:dyDescent="0.35">
      <c r="B289" s="60"/>
      <c r="C289" s="60"/>
      <c r="D289" s="60"/>
      <c r="E289" s="60"/>
      <c r="F289" s="60"/>
      <c r="G289" s="60"/>
      <c r="H289" s="152"/>
    </row>
    <row r="290" spans="2:8" s="39" customFormat="1" ht="30" customHeight="1" thickBot="1" x14ac:dyDescent="0.3">
      <c r="B290" s="129" t="s">
        <v>36</v>
      </c>
      <c r="C290" s="137">
        <v>6</v>
      </c>
      <c r="D290" s="137"/>
      <c r="E290" s="130" t="s">
        <v>37</v>
      </c>
      <c r="F290" s="131" t="s">
        <v>68</v>
      </c>
      <c r="G290" s="132" t="s">
        <v>55</v>
      </c>
      <c r="H290" s="151"/>
    </row>
    <row r="291" spans="2:8" s="39" customFormat="1" ht="30" customHeight="1" thickBot="1" x14ac:dyDescent="0.3">
      <c r="B291" s="61" t="s">
        <v>38</v>
      </c>
      <c r="C291" s="134" t="s">
        <v>39</v>
      </c>
      <c r="D291" s="133"/>
      <c r="E291" s="61" t="s">
        <v>40</v>
      </c>
      <c r="F291" s="266" t="s">
        <v>41</v>
      </c>
      <c r="G291" s="267"/>
      <c r="H291" s="151"/>
    </row>
    <row r="292" spans="2:8" s="43" customFormat="1" x14ac:dyDescent="0.3">
      <c r="B292" s="40" t="s">
        <v>167</v>
      </c>
      <c r="C292" s="41">
        <v>6</v>
      </c>
      <c r="D292" s="125" t="str">
        <f xml:space="preserve"> IF(C292="","",setValueToTime(C292))</f>
        <v xml:space="preserve"> 30 min</v>
      </c>
      <c r="E292" s="42" t="s">
        <v>196</v>
      </c>
      <c r="F292" s="262"/>
      <c r="G292" s="263"/>
      <c r="H292" s="152"/>
    </row>
    <row r="293" spans="2:8" s="43" customFormat="1" ht="27" x14ac:dyDescent="0.3">
      <c r="B293" s="44" t="s">
        <v>49</v>
      </c>
      <c r="C293" s="45">
        <v>6</v>
      </c>
      <c r="D293" s="126" t="str">
        <f t="shared" ref="D293:D299" si="24" xml:space="preserve"> IF(C293="","",setValueToTime(C293))</f>
        <v xml:space="preserve"> 30 min</v>
      </c>
      <c r="E293" s="46" t="s">
        <v>195</v>
      </c>
      <c r="F293" s="254"/>
      <c r="G293" s="255"/>
      <c r="H293" s="152"/>
    </row>
    <row r="294" spans="2:8" s="43" customFormat="1" ht="27" x14ac:dyDescent="0.3">
      <c r="B294" s="44" t="s">
        <v>30</v>
      </c>
      <c r="C294" s="45">
        <v>3</v>
      </c>
      <c r="D294" s="126" t="str">
        <f t="shared" si="24"/>
        <v xml:space="preserve"> 15 min</v>
      </c>
      <c r="E294" s="46" t="s">
        <v>198</v>
      </c>
      <c r="F294" s="254"/>
      <c r="G294" s="255"/>
      <c r="H294" s="152"/>
    </row>
    <row r="295" spans="2:8" s="43" customFormat="1" ht="27" x14ac:dyDescent="0.3">
      <c r="B295" s="44" t="s">
        <v>158</v>
      </c>
      <c r="C295" s="45">
        <v>12</v>
      </c>
      <c r="D295" s="126" t="str">
        <f t="shared" si="24"/>
        <v>1h</v>
      </c>
      <c r="E295" s="46" t="s">
        <v>197</v>
      </c>
      <c r="F295" s="254"/>
      <c r="G295" s="255"/>
      <c r="H295" s="152"/>
    </row>
    <row r="296" spans="2:8" s="43" customFormat="1" x14ac:dyDescent="0.3">
      <c r="B296" s="45"/>
      <c r="C296" s="45"/>
      <c r="D296" s="127" t="str">
        <f t="shared" si="24"/>
        <v/>
      </c>
      <c r="E296" s="46"/>
      <c r="F296" s="254"/>
      <c r="G296" s="255"/>
      <c r="H296" s="152"/>
    </row>
    <row r="297" spans="2:8" s="43" customFormat="1" x14ac:dyDescent="0.3">
      <c r="B297" s="45"/>
      <c r="C297" s="45"/>
      <c r="D297" s="127" t="str">
        <f t="shared" si="24"/>
        <v/>
      </c>
      <c r="E297" s="46"/>
      <c r="F297" s="254"/>
      <c r="G297" s="255"/>
      <c r="H297" s="152"/>
    </row>
    <row r="298" spans="2:8" s="43" customFormat="1" x14ac:dyDescent="0.3">
      <c r="B298" s="45"/>
      <c r="C298" s="45"/>
      <c r="D298" s="127" t="str">
        <f t="shared" si="24"/>
        <v/>
      </c>
      <c r="E298" s="46"/>
      <c r="F298" s="254"/>
      <c r="G298" s="255"/>
      <c r="H298" s="152"/>
    </row>
    <row r="299" spans="2:8" s="43" customFormat="1" ht="15" thickBot="1" x14ac:dyDescent="0.35">
      <c r="B299" s="47"/>
      <c r="C299" s="47"/>
      <c r="D299" s="128" t="str">
        <f t="shared" si="24"/>
        <v/>
      </c>
      <c r="E299" s="48"/>
      <c r="F299" s="256"/>
      <c r="G299" s="257"/>
      <c r="H299" s="152"/>
    </row>
    <row r="300" spans="2:8" s="43" customFormat="1" ht="15" thickBot="1" x14ac:dyDescent="0.35">
      <c r="B300" s="135" t="s">
        <v>43</v>
      </c>
      <c r="C300" s="66">
        <f>SUM(C292:C299)</f>
        <v>27</v>
      </c>
      <c r="D300" s="135" t="str">
        <f xml:space="preserve"> setValueToTime(C300)</f>
        <v>2h 15 min</v>
      </c>
      <c r="E300" s="96"/>
      <c r="F300" s="264"/>
      <c r="G300" s="265"/>
      <c r="H300" s="152"/>
    </row>
    <row r="301" spans="2:8" s="43" customFormat="1" ht="15" thickBot="1" x14ac:dyDescent="0.35">
      <c r="B301" s="60"/>
      <c r="C301" s="60"/>
      <c r="D301" s="60"/>
      <c r="E301" s="60"/>
      <c r="F301" s="60"/>
      <c r="G301" s="60"/>
      <c r="H301" s="152"/>
    </row>
    <row r="302" spans="2:8" s="39" customFormat="1" ht="30" customHeight="1" thickBot="1" x14ac:dyDescent="0.3">
      <c r="B302" s="129" t="s">
        <v>36</v>
      </c>
      <c r="C302" s="137">
        <v>5</v>
      </c>
      <c r="D302" s="137"/>
      <c r="E302" s="130" t="s">
        <v>37</v>
      </c>
      <c r="F302" s="131" t="s">
        <v>68</v>
      </c>
      <c r="G302" s="132" t="s">
        <v>56</v>
      </c>
      <c r="H302" s="151"/>
    </row>
    <row r="303" spans="2:8" s="39" customFormat="1" ht="30" customHeight="1" thickBot="1" x14ac:dyDescent="0.3">
      <c r="B303" s="61" t="s">
        <v>38</v>
      </c>
      <c r="C303" s="134" t="s">
        <v>39</v>
      </c>
      <c r="D303" s="133"/>
      <c r="E303" s="61" t="s">
        <v>40</v>
      </c>
      <c r="F303" s="266" t="s">
        <v>41</v>
      </c>
      <c r="G303" s="267"/>
      <c r="H303" s="151"/>
    </row>
    <row r="304" spans="2:8" s="43" customFormat="1" ht="27" x14ac:dyDescent="0.3">
      <c r="B304" s="40" t="s">
        <v>30</v>
      </c>
      <c r="C304" s="41">
        <v>8</v>
      </c>
      <c r="D304" s="125" t="str">
        <f xml:space="preserve"> IF(C304="","",setValueToTime(C304))</f>
        <v xml:space="preserve"> 40 min</v>
      </c>
      <c r="E304" s="42" t="s">
        <v>193</v>
      </c>
      <c r="F304" s="262"/>
      <c r="G304" s="263"/>
      <c r="H304" s="152"/>
    </row>
    <row r="305" spans="2:8" s="43" customFormat="1" x14ac:dyDescent="0.3">
      <c r="B305" s="44" t="s">
        <v>31</v>
      </c>
      <c r="C305" s="45">
        <v>16</v>
      </c>
      <c r="D305" s="126" t="str">
        <f t="shared" ref="D305:D311" si="25" xml:space="preserve"> IF(C305="","",setValueToTime(C305))</f>
        <v>1h 20 min</v>
      </c>
      <c r="E305" s="46" t="s">
        <v>192</v>
      </c>
      <c r="F305" s="254"/>
      <c r="G305" s="255"/>
      <c r="H305" s="152"/>
    </row>
    <row r="306" spans="2:8" s="43" customFormat="1" ht="27" x14ac:dyDescent="0.3">
      <c r="B306" s="44" t="s">
        <v>158</v>
      </c>
      <c r="C306" s="45">
        <v>12</v>
      </c>
      <c r="D306" s="126" t="str">
        <f t="shared" si="25"/>
        <v>1h</v>
      </c>
      <c r="E306" s="46" t="s">
        <v>172</v>
      </c>
      <c r="F306" s="254"/>
      <c r="G306" s="255"/>
      <c r="H306" s="152"/>
    </row>
    <row r="307" spans="2:8" s="43" customFormat="1" x14ac:dyDescent="0.3">
      <c r="B307" s="44" t="s">
        <v>109</v>
      </c>
      <c r="C307" s="45">
        <v>6</v>
      </c>
      <c r="D307" s="126" t="str">
        <f t="shared" si="25"/>
        <v xml:space="preserve"> 30 min</v>
      </c>
      <c r="E307" s="46" t="s">
        <v>199</v>
      </c>
      <c r="F307" s="254"/>
      <c r="G307" s="255"/>
      <c r="H307" s="152"/>
    </row>
    <row r="308" spans="2:8" s="43" customFormat="1" x14ac:dyDescent="0.3">
      <c r="B308" s="45"/>
      <c r="C308" s="45"/>
      <c r="D308" s="127" t="str">
        <f t="shared" si="25"/>
        <v/>
      </c>
      <c r="E308" s="46"/>
      <c r="F308" s="254"/>
      <c r="G308" s="255"/>
      <c r="H308" s="152"/>
    </row>
    <row r="309" spans="2:8" s="43" customFormat="1" x14ac:dyDescent="0.3">
      <c r="B309" s="45"/>
      <c r="C309" s="45"/>
      <c r="D309" s="127" t="str">
        <f t="shared" si="25"/>
        <v/>
      </c>
      <c r="E309" s="46"/>
      <c r="F309" s="254"/>
      <c r="G309" s="255"/>
      <c r="H309" s="152"/>
    </row>
    <row r="310" spans="2:8" s="43" customFormat="1" x14ac:dyDescent="0.3">
      <c r="B310" s="45"/>
      <c r="C310" s="45"/>
      <c r="D310" s="127" t="str">
        <f t="shared" si="25"/>
        <v/>
      </c>
      <c r="E310" s="46"/>
      <c r="F310" s="254"/>
      <c r="G310" s="255"/>
      <c r="H310" s="152"/>
    </row>
    <row r="311" spans="2:8" s="43" customFormat="1" ht="15" thickBot="1" x14ac:dyDescent="0.35">
      <c r="B311" s="47"/>
      <c r="C311" s="47"/>
      <c r="D311" s="128" t="str">
        <f t="shared" si="25"/>
        <v/>
      </c>
      <c r="E311" s="48"/>
      <c r="F311" s="256"/>
      <c r="G311" s="257"/>
      <c r="H311" s="152"/>
    </row>
    <row r="312" spans="2:8" s="43" customFormat="1" ht="15" thickBot="1" x14ac:dyDescent="0.35">
      <c r="B312" s="135" t="s">
        <v>43</v>
      </c>
      <c r="C312" s="66">
        <f>SUM(C304:C311)</f>
        <v>42</v>
      </c>
      <c r="D312" s="135" t="str">
        <f xml:space="preserve"> setValueToTime(C312)</f>
        <v>3h 30 min</v>
      </c>
      <c r="E312" s="96"/>
      <c r="F312" s="264"/>
      <c r="G312" s="265"/>
      <c r="H312" s="152"/>
    </row>
    <row r="313" spans="2:8" s="43" customFormat="1" ht="15" thickBot="1" x14ac:dyDescent="0.35">
      <c r="B313" s="60"/>
      <c r="C313" s="60"/>
      <c r="D313" s="60"/>
      <c r="E313" s="60"/>
      <c r="F313" s="60"/>
      <c r="G313" s="60"/>
      <c r="H313" s="152"/>
    </row>
    <row r="314" spans="2:8" s="39" customFormat="1" ht="30" customHeight="1" thickBot="1" x14ac:dyDescent="0.3">
      <c r="B314" s="129" t="s">
        <v>36</v>
      </c>
      <c r="C314" s="137">
        <v>4</v>
      </c>
      <c r="D314" s="137"/>
      <c r="E314" s="130" t="s">
        <v>37</v>
      </c>
      <c r="F314" s="131" t="s">
        <v>71</v>
      </c>
      <c r="G314" s="132" t="s">
        <v>55</v>
      </c>
      <c r="H314" s="151"/>
    </row>
    <row r="315" spans="2:8" s="39" customFormat="1" ht="30" customHeight="1" thickBot="1" x14ac:dyDescent="0.3">
      <c r="B315" s="61" t="s">
        <v>38</v>
      </c>
      <c r="C315" s="134" t="s">
        <v>39</v>
      </c>
      <c r="D315" s="133"/>
      <c r="E315" s="61" t="s">
        <v>40</v>
      </c>
      <c r="F315" s="266" t="s">
        <v>41</v>
      </c>
      <c r="G315" s="267"/>
      <c r="H315" s="151"/>
    </row>
    <row r="316" spans="2:8" s="43" customFormat="1" ht="27" x14ac:dyDescent="0.3">
      <c r="B316" s="44" t="s">
        <v>30</v>
      </c>
      <c r="C316" s="45">
        <v>2</v>
      </c>
      <c r="D316" s="126" t="str">
        <f t="shared" ref="D316:D318" si="26" xml:space="preserve"> IF(C316="","",setValueToTime(C316))</f>
        <v xml:space="preserve"> 10 min</v>
      </c>
      <c r="E316" s="46" t="s">
        <v>120</v>
      </c>
      <c r="F316" s="262"/>
      <c r="G316" s="263"/>
      <c r="H316" s="152"/>
    </row>
    <row r="317" spans="2:8" s="43" customFormat="1" ht="27" x14ac:dyDescent="0.3">
      <c r="B317" s="44" t="s">
        <v>44</v>
      </c>
      <c r="C317" s="45">
        <v>10</v>
      </c>
      <c r="D317" s="126" t="str">
        <f t="shared" si="26"/>
        <v xml:space="preserve"> 50 min</v>
      </c>
      <c r="E317" s="46" t="s">
        <v>187</v>
      </c>
      <c r="F317" s="254"/>
      <c r="G317" s="255"/>
      <c r="H317" s="152"/>
    </row>
    <row r="318" spans="2:8" s="43" customFormat="1" ht="27" x14ac:dyDescent="0.3">
      <c r="B318" s="44" t="s">
        <v>48</v>
      </c>
      <c r="C318" s="45">
        <v>12</v>
      </c>
      <c r="D318" s="126" t="str">
        <f t="shared" si="26"/>
        <v>1h</v>
      </c>
      <c r="E318" s="46" t="s">
        <v>130</v>
      </c>
      <c r="F318" s="254"/>
      <c r="G318" s="255"/>
      <c r="H318" s="152"/>
    </row>
    <row r="319" spans="2:8" s="43" customFormat="1" x14ac:dyDescent="0.3">
      <c r="B319" s="44" t="s">
        <v>31</v>
      </c>
      <c r="C319" s="45">
        <v>6</v>
      </c>
      <c r="D319" s="126" t="str">
        <f t="shared" ref="D319:D323" si="27" xml:space="preserve"> IF(C319="","",setValueToTime(C319))</f>
        <v xml:space="preserve"> 30 min</v>
      </c>
      <c r="E319" s="46" t="s">
        <v>188</v>
      </c>
      <c r="F319" s="254"/>
      <c r="G319" s="255"/>
      <c r="H319" s="152"/>
    </row>
    <row r="320" spans="2:8" s="43" customFormat="1" x14ac:dyDescent="0.3">
      <c r="B320" s="45"/>
      <c r="C320" s="45"/>
      <c r="D320" s="127" t="str">
        <f t="shared" si="27"/>
        <v/>
      </c>
      <c r="E320" s="46"/>
      <c r="F320" s="254"/>
      <c r="G320" s="255"/>
      <c r="H320" s="152"/>
    </row>
    <row r="321" spans="2:8" s="43" customFormat="1" x14ac:dyDescent="0.3">
      <c r="B321" s="45"/>
      <c r="C321" s="45"/>
      <c r="D321" s="127" t="str">
        <f t="shared" si="27"/>
        <v/>
      </c>
      <c r="E321" s="46"/>
      <c r="F321" s="254"/>
      <c r="G321" s="255"/>
      <c r="H321" s="152"/>
    </row>
    <row r="322" spans="2:8" s="43" customFormat="1" x14ac:dyDescent="0.3">
      <c r="B322" s="45"/>
      <c r="C322" s="45"/>
      <c r="D322" s="127" t="str">
        <f t="shared" si="27"/>
        <v/>
      </c>
      <c r="E322" s="46"/>
      <c r="F322" s="254"/>
      <c r="G322" s="255"/>
      <c r="H322" s="152"/>
    </row>
    <row r="323" spans="2:8" s="43" customFormat="1" ht="15" thickBot="1" x14ac:dyDescent="0.35">
      <c r="B323" s="47"/>
      <c r="C323" s="47"/>
      <c r="D323" s="128" t="str">
        <f t="shared" si="27"/>
        <v/>
      </c>
      <c r="E323" s="48"/>
      <c r="F323" s="256"/>
      <c r="G323" s="257"/>
      <c r="H323" s="152"/>
    </row>
    <row r="324" spans="2:8" s="43" customFormat="1" ht="15" thickBot="1" x14ac:dyDescent="0.35">
      <c r="B324" s="135" t="s">
        <v>43</v>
      </c>
      <c r="C324" s="66">
        <f>SUM(C316:C323)</f>
        <v>30</v>
      </c>
      <c r="D324" s="135" t="str">
        <f xml:space="preserve"> setValueToTime(C324)</f>
        <v>2h 30 min</v>
      </c>
      <c r="E324" s="96"/>
      <c r="F324" s="264"/>
      <c r="G324" s="265"/>
      <c r="H324" s="152"/>
    </row>
    <row r="325" spans="2:8" s="43" customFormat="1" ht="15" thickBot="1" x14ac:dyDescent="0.35">
      <c r="B325" s="60"/>
      <c r="C325" s="60"/>
      <c r="D325" s="60"/>
      <c r="E325" s="60"/>
      <c r="F325" s="60"/>
      <c r="G325" s="60"/>
      <c r="H325" s="152"/>
    </row>
    <row r="326" spans="2:8" s="39" customFormat="1" ht="30" customHeight="1" thickBot="1" x14ac:dyDescent="0.3">
      <c r="B326" s="129" t="s">
        <v>36</v>
      </c>
      <c r="C326" s="137">
        <v>3</v>
      </c>
      <c r="D326" s="137"/>
      <c r="E326" s="130" t="s">
        <v>37</v>
      </c>
      <c r="F326" s="131" t="s">
        <v>71</v>
      </c>
      <c r="G326" s="132" t="s">
        <v>56</v>
      </c>
      <c r="H326" s="151"/>
    </row>
    <row r="327" spans="2:8" s="39" customFormat="1" ht="30" customHeight="1" thickBot="1" x14ac:dyDescent="0.3">
      <c r="B327" s="61" t="s">
        <v>38</v>
      </c>
      <c r="C327" s="134" t="s">
        <v>39</v>
      </c>
      <c r="D327" s="133"/>
      <c r="E327" s="61" t="s">
        <v>40</v>
      </c>
      <c r="F327" s="266" t="s">
        <v>41</v>
      </c>
      <c r="G327" s="267"/>
      <c r="H327" s="151"/>
    </row>
    <row r="328" spans="2:8" s="43" customFormat="1" ht="27" x14ac:dyDescent="0.3">
      <c r="B328" s="44" t="s">
        <v>30</v>
      </c>
      <c r="C328" s="45">
        <v>3</v>
      </c>
      <c r="D328" s="126" t="str">
        <f t="shared" ref="D328:D329" si="28" xml:space="preserve"> IF(C328="","",setValueToTime(C328))</f>
        <v xml:space="preserve"> 15 min</v>
      </c>
      <c r="E328" s="46" t="s">
        <v>120</v>
      </c>
      <c r="F328" s="262"/>
      <c r="G328" s="263"/>
      <c r="H328" s="152"/>
    </row>
    <row r="329" spans="2:8" s="43" customFormat="1" ht="27" x14ac:dyDescent="0.3">
      <c r="B329" s="45" t="s">
        <v>45</v>
      </c>
      <c r="C329" s="45">
        <v>21</v>
      </c>
      <c r="D329" s="127" t="str">
        <f t="shared" si="28"/>
        <v>1h 45 min</v>
      </c>
      <c r="E329" t="s">
        <v>123</v>
      </c>
      <c r="F329" s="254"/>
      <c r="G329" s="255"/>
      <c r="H329" s="152"/>
    </row>
    <row r="330" spans="2:8" s="43" customFormat="1" x14ac:dyDescent="0.3">
      <c r="B330" s="44" t="s">
        <v>27</v>
      </c>
      <c r="C330" s="45">
        <v>9</v>
      </c>
      <c r="D330" s="126" t="str">
        <f t="shared" ref="D330:D335" si="29" xml:space="preserve"> IF(C330="","",setValueToTime(C330))</f>
        <v xml:space="preserve"> 45 min</v>
      </c>
      <c r="E330" s="46" t="s">
        <v>129</v>
      </c>
      <c r="F330" s="254"/>
      <c r="G330" s="255"/>
      <c r="H330" s="152"/>
    </row>
    <row r="331" spans="2:8" s="43" customFormat="1" ht="27" x14ac:dyDescent="0.3">
      <c r="B331" s="44" t="s">
        <v>44</v>
      </c>
      <c r="C331" s="45">
        <v>9</v>
      </c>
      <c r="D331" s="126" t="str">
        <f t="shared" si="29"/>
        <v xml:space="preserve"> 45 min</v>
      </c>
      <c r="E331" s="46" t="s">
        <v>187</v>
      </c>
      <c r="F331" s="254"/>
      <c r="G331" s="255"/>
      <c r="H331" s="152"/>
    </row>
    <row r="332" spans="2:8" s="43" customFormat="1" x14ac:dyDescent="0.3">
      <c r="B332" s="45"/>
      <c r="C332" s="45"/>
      <c r="D332" s="127" t="str">
        <f t="shared" si="29"/>
        <v/>
      </c>
      <c r="E332" s="46"/>
      <c r="F332" s="254"/>
      <c r="G332" s="255"/>
      <c r="H332" s="152"/>
    </row>
    <row r="333" spans="2:8" s="43" customFormat="1" x14ac:dyDescent="0.3">
      <c r="B333" s="45"/>
      <c r="C333" s="45"/>
      <c r="D333" s="127" t="str">
        <f t="shared" si="29"/>
        <v/>
      </c>
      <c r="E333" s="46"/>
      <c r="F333" s="254"/>
      <c r="G333" s="255"/>
      <c r="H333" s="152"/>
    </row>
    <row r="334" spans="2:8" s="43" customFormat="1" x14ac:dyDescent="0.3">
      <c r="B334" s="45"/>
      <c r="C334" s="45"/>
      <c r="D334" s="127" t="str">
        <f t="shared" si="29"/>
        <v/>
      </c>
      <c r="E334" s="46"/>
      <c r="F334" s="254"/>
      <c r="G334" s="255"/>
      <c r="H334" s="152"/>
    </row>
    <row r="335" spans="2:8" s="43" customFormat="1" ht="15" thickBot="1" x14ac:dyDescent="0.35">
      <c r="B335" s="47"/>
      <c r="C335" s="47"/>
      <c r="D335" s="128" t="str">
        <f t="shared" si="29"/>
        <v/>
      </c>
      <c r="E335" s="48"/>
      <c r="F335" s="256"/>
      <c r="G335" s="257"/>
      <c r="H335" s="152"/>
    </row>
    <row r="336" spans="2:8" s="43" customFormat="1" ht="15" thickBot="1" x14ac:dyDescent="0.35">
      <c r="B336" s="135" t="s">
        <v>43</v>
      </c>
      <c r="C336" s="66">
        <f>SUM(C328:C335)</f>
        <v>42</v>
      </c>
      <c r="D336" s="135" t="str">
        <f xml:space="preserve"> setValueToTime(C336)</f>
        <v>3h 30 min</v>
      </c>
      <c r="E336" s="96"/>
      <c r="F336" s="264"/>
      <c r="G336" s="265"/>
      <c r="H336" s="152"/>
    </row>
    <row r="337" spans="2:8" s="43" customFormat="1" ht="15" thickBot="1" x14ac:dyDescent="0.35">
      <c r="B337" s="60"/>
      <c r="C337" s="60"/>
      <c r="D337" s="60"/>
      <c r="E337" s="60"/>
      <c r="F337" s="60"/>
      <c r="G337" s="60"/>
      <c r="H337" s="152"/>
    </row>
    <row r="338" spans="2:8" s="39" customFormat="1" ht="30" customHeight="1" thickBot="1" x14ac:dyDescent="0.3">
      <c r="B338" s="129" t="s">
        <v>36</v>
      </c>
      <c r="C338" s="137">
        <v>2</v>
      </c>
      <c r="D338" s="137"/>
      <c r="E338" s="130" t="s">
        <v>37</v>
      </c>
      <c r="F338" s="131" t="s">
        <v>72</v>
      </c>
      <c r="G338" s="132" t="s">
        <v>55</v>
      </c>
      <c r="H338" s="151"/>
    </row>
    <row r="339" spans="2:8" s="39" customFormat="1" ht="30" customHeight="1" thickBot="1" x14ac:dyDescent="0.3">
      <c r="B339" s="61" t="s">
        <v>38</v>
      </c>
      <c r="C339" s="134" t="s">
        <v>39</v>
      </c>
      <c r="D339" s="133"/>
      <c r="E339" s="61" t="s">
        <v>40</v>
      </c>
      <c r="F339" s="266" t="s">
        <v>41</v>
      </c>
      <c r="G339" s="267"/>
      <c r="H339" s="151"/>
    </row>
    <row r="340" spans="2:8" s="43" customFormat="1" ht="27" x14ac:dyDescent="0.3">
      <c r="B340" s="40" t="s">
        <v>48</v>
      </c>
      <c r="C340" s="41">
        <v>2</v>
      </c>
      <c r="D340" s="125" t="str">
        <f xml:space="preserve"> IF(C340="","",setValueToTime(C340))</f>
        <v xml:space="preserve"> 10 min</v>
      </c>
      <c r="E340" s="42" t="s">
        <v>189</v>
      </c>
      <c r="F340" s="262"/>
      <c r="G340" s="263"/>
      <c r="H340" s="152"/>
    </row>
    <row r="341" spans="2:8" s="43" customFormat="1" ht="27.75" thickBot="1" x14ac:dyDescent="0.35">
      <c r="B341" s="44" t="s">
        <v>30</v>
      </c>
      <c r="C341" s="45">
        <v>2</v>
      </c>
      <c r="D341" s="126" t="str">
        <f t="shared" ref="D341" si="30" xml:space="preserve"> IF(C341="","",setValueToTime(C341))</f>
        <v xml:space="preserve"> 10 min</v>
      </c>
      <c r="E341" s="46" t="s">
        <v>121</v>
      </c>
      <c r="F341" s="254"/>
      <c r="G341" s="255"/>
      <c r="H341" s="152"/>
    </row>
    <row r="342" spans="2:8" s="43" customFormat="1" x14ac:dyDescent="0.3">
      <c r="B342" s="40"/>
      <c r="C342" s="41"/>
      <c r="D342" s="125" t="str">
        <f xml:space="preserve"> IF(C342="","",setValueToTime(C342))</f>
        <v/>
      </c>
      <c r="E342" s="42"/>
      <c r="F342" s="254"/>
      <c r="G342" s="255"/>
      <c r="H342" s="152"/>
    </row>
    <row r="343" spans="2:8" s="43" customFormat="1" ht="27" x14ac:dyDescent="0.3">
      <c r="B343" s="44" t="s">
        <v>44</v>
      </c>
      <c r="C343" s="45">
        <v>6</v>
      </c>
      <c r="D343" s="126" t="str">
        <f t="shared" ref="D343:D344" si="31" xml:space="preserve"> IF(C343="","",setValueToTime(C343))</f>
        <v xml:space="preserve"> 30 min</v>
      </c>
      <c r="E343" s="46" t="s">
        <v>122</v>
      </c>
      <c r="F343" s="254"/>
      <c r="G343" s="255"/>
      <c r="H343" s="152"/>
    </row>
    <row r="344" spans="2:8" s="43" customFormat="1" ht="27" x14ac:dyDescent="0.3">
      <c r="B344" s="44" t="s">
        <v>48</v>
      </c>
      <c r="C344" s="45">
        <v>6</v>
      </c>
      <c r="D344" s="126" t="str">
        <f t="shared" si="31"/>
        <v xml:space="preserve"> 30 min</v>
      </c>
      <c r="E344" s="46" t="s">
        <v>190</v>
      </c>
      <c r="F344" s="254"/>
      <c r="G344" s="255"/>
      <c r="H344" s="152"/>
    </row>
    <row r="345" spans="2:8" s="43" customFormat="1" ht="27" x14ac:dyDescent="0.3">
      <c r="B345" s="45" t="s">
        <v>45</v>
      </c>
      <c r="C345" s="45">
        <v>20</v>
      </c>
      <c r="D345" s="127" t="str">
        <f t="shared" ref="D345:D347" si="32" xml:space="preserve"> IF(C345="","",setValueToTime(C345))</f>
        <v>1h 40 min</v>
      </c>
      <c r="E345" t="s">
        <v>123</v>
      </c>
      <c r="F345" s="269" t="s">
        <v>124</v>
      </c>
      <c r="G345" s="255"/>
      <c r="H345" s="152"/>
    </row>
    <row r="346" spans="2:8" s="43" customFormat="1" x14ac:dyDescent="0.3">
      <c r="B346" s="45"/>
      <c r="C346" s="45"/>
      <c r="D346" s="127" t="str">
        <f t="shared" si="32"/>
        <v/>
      </c>
      <c r="E346" s="46"/>
      <c r="F346" s="254"/>
      <c r="G346" s="255"/>
      <c r="H346" s="152"/>
    </row>
    <row r="347" spans="2:8" s="43" customFormat="1" ht="15" thickBot="1" x14ac:dyDescent="0.35">
      <c r="B347" s="47"/>
      <c r="C347" s="47"/>
      <c r="D347" s="128" t="str">
        <f t="shared" si="32"/>
        <v/>
      </c>
      <c r="E347" s="48"/>
      <c r="F347" s="256"/>
      <c r="G347" s="257"/>
      <c r="H347" s="152"/>
    </row>
    <row r="348" spans="2:8" s="43" customFormat="1" ht="15" thickBot="1" x14ac:dyDescent="0.35">
      <c r="B348" s="135" t="s">
        <v>43</v>
      </c>
      <c r="C348" s="66">
        <f>SUM(C340:C347)</f>
        <v>36</v>
      </c>
      <c r="D348" s="135" t="str">
        <f xml:space="preserve"> setValueToTime(C348)</f>
        <v>3h</v>
      </c>
      <c r="E348" s="96"/>
      <c r="F348" s="264"/>
      <c r="G348" s="265"/>
      <c r="H348" s="152"/>
    </row>
    <row r="349" spans="2:8" s="43" customFormat="1" ht="15" thickBot="1" x14ac:dyDescent="0.35">
      <c r="B349" s="60"/>
      <c r="C349" s="60"/>
      <c r="D349" s="60"/>
      <c r="E349" s="60"/>
      <c r="F349" s="60"/>
      <c r="G349" s="60"/>
      <c r="H349" s="152"/>
    </row>
    <row r="350" spans="2:8" s="39" customFormat="1" ht="30" customHeight="1" thickBot="1" x14ac:dyDescent="0.3">
      <c r="B350" s="129" t="s">
        <v>36</v>
      </c>
      <c r="C350" s="137">
        <v>1</v>
      </c>
      <c r="D350" s="137"/>
      <c r="E350" s="130" t="s">
        <v>37</v>
      </c>
      <c r="F350" s="131" t="s">
        <v>72</v>
      </c>
      <c r="G350" s="132" t="s">
        <v>56</v>
      </c>
      <c r="H350" s="151"/>
    </row>
    <row r="351" spans="2:8" s="39" customFormat="1" ht="30" customHeight="1" thickBot="1" x14ac:dyDescent="0.3">
      <c r="B351" s="61" t="s">
        <v>38</v>
      </c>
      <c r="C351" s="134" t="s">
        <v>39</v>
      </c>
      <c r="D351" s="133"/>
      <c r="E351" s="61" t="s">
        <v>40</v>
      </c>
      <c r="F351" s="266" t="s">
        <v>41</v>
      </c>
      <c r="G351" s="267"/>
      <c r="H351" s="151"/>
    </row>
    <row r="352" spans="2:8" s="43" customFormat="1" ht="27" x14ac:dyDescent="0.3">
      <c r="B352" s="40" t="s">
        <v>30</v>
      </c>
      <c r="C352" s="41">
        <v>18</v>
      </c>
      <c r="D352" s="125" t="s">
        <v>21</v>
      </c>
      <c r="E352" s="42" t="s">
        <v>191</v>
      </c>
      <c r="F352" s="268" t="s">
        <v>127</v>
      </c>
      <c r="G352" s="263"/>
      <c r="H352" s="152"/>
    </row>
    <row r="353" spans="2:8" s="43" customFormat="1" x14ac:dyDescent="0.3">
      <c r="B353" s="44" t="s">
        <v>31</v>
      </c>
      <c r="C353" s="45">
        <v>2</v>
      </c>
      <c r="D353" s="126" t="str">
        <f t="shared" ref="D353:D359" si="33" xml:space="preserve"> IF(C353="","",setValueToTime(C353))</f>
        <v xml:space="preserve"> 10 min</v>
      </c>
      <c r="E353" s="46" t="s">
        <v>118</v>
      </c>
      <c r="F353" s="269" t="s">
        <v>126</v>
      </c>
      <c r="G353" s="255"/>
      <c r="H353" s="152"/>
    </row>
    <row r="354" spans="2:8" s="43" customFormat="1" x14ac:dyDescent="0.3">
      <c r="B354" s="44" t="s">
        <v>47</v>
      </c>
      <c r="C354" s="45">
        <v>10</v>
      </c>
      <c r="D354" s="126" t="str">
        <f t="shared" si="33"/>
        <v xml:space="preserve"> 50 min</v>
      </c>
      <c r="E354" s="46" t="s">
        <v>75</v>
      </c>
      <c r="F354" s="269" t="s">
        <v>125</v>
      </c>
      <c r="G354" s="255"/>
      <c r="H354" s="152"/>
    </row>
    <row r="355" spans="2:8" s="43" customFormat="1" ht="27" x14ac:dyDescent="0.3">
      <c r="B355" s="44" t="s">
        <v>46</v>
      </c>
      <c r="C355" s="45">
        <v>10</v>
      </c>
      <c r="D355" s="126" t="str">
        <f t="shared" si="33"/>
        <v xml:space="preserve"> 50 min</v>
      </c>
      <c r="E355" s="46" t="s">
        <v>178</v>
      </c>
      <c r="F355" s="254"/>
      <c r="G355" s="255"/>
      <c r="H355" s="152"/>
    </row>
    <row r="356" spans="2:8" s="43" customFormat="1" x14ac:dyDescent="0.3">
      <c r="B356" s="45" t="s">
        <v>49</v>
      </c>
      <c r="C356" s="45">
        <v>2</v>
      </c>
      <c r="D356" s="127" t="str">
        <f t="shared" si="33"/>
        <v xml:space="preserve"> 10 min</v>
      </c>
      <c r="E356" s="46" t="s">
        <v>119</v>
      </c>
      <c r="F356" s="269" t="s">
        <v>128</v>
      </c>
      <c r="G356" s="255"/>
      <c r="H356" s="152"/>
    </row>
    <row r="357" spans="2:8" s="43" customFormat="1" x14ac:dyDescent="0.3">
      <c r="B357" s="45"/>
      <c r="C357" s="45"/>
      <c r="D357" s="127" t="str">
        <f t="shared" si="33"/>
        <v/>
      </c>
      <c r="E357" s="46"/>
      <c r="F357" s="254"/>
      <c r="G357" s="255"/>
      <c r="H357" s="152"/>
    </row>
    <row r="358" spans="2:8" s="43" customFormat="1" x14ac:dyDescent="0.3">
      <c r="B358" s="45"/>
      <c r="C358" s="45"/>
      <c r="D358" s="127" t="str">
        <f t="shared" si="33"/>
        <v/>
      </c>
      <c r="E358" s="46"/>
      <c r="F358" s="254"/>
      <c r="G358" s="255"/>
      <c r="H358" s="152"/>
    </row>
    <row r="359" spans="2:8" s="43" customFormat="1" ht="15" thickBot="1" x14ac:dyDescent="0.35">
      <c r="B359" s="47"/>
      <c r="C359" s="47"/>
      <c r="D359" s="128" t="str">
        <f t="shared" si="33"/>
        <v/>
      </c>
      <c r="E359" s="48"/>
      <c r="F359" s="256"/>
      <c r="G359" s="257"/>
      <c r="H359" s="152"/>
    </row>
    <row r="360" spans="2:8" s="43" customFormat="1" ht="15" thickBot="1" x14ac:dyDescent="0.35">
      <c r="B360" s="135" t="s">
        <v>43</v>
      </c>
      <c r="C360" s="66">
        <f>SUM(C352:C359)</f>
        <v>42</v>
      </c>
      <c r="D360" s="135" t="str">
        <f xml:space="preserve"> setValueToTime(C360)</f>
        <v>3h 30 min</v>
      </c>
      <c r="E360" s="96"/>
      <c r="F360" s="264"/>
      <c r="G360" s="265"/>
      <c r="H360" s="152"/>
    </row>
    <row r="361" spans="2:8" s="43" customFormat="1" x14ac:dyDescent="0.3">
      <c r="B361" s="60"/>
      <c r="C361" s="60"/>
      <c r="D361" s="60"/>
      <c r="E361" s="60"/>
      <c r="F361" s="60"/>
      <c r="G361" s="60"/>
      <c r="H361" s="152"/>
    </row>
  </sheetData>
  <sheetProtection formatRows="0" insertRows="0" insertHyperlinks="0" deleteRows="0" selectLockedCells="1"/>
  <mergeCells count="30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252:G252"/>
    <mergeCell ref="F207:G207"/>
    <mergeCell ref="F208:G208"/>
    <mergeCell ref="F209:G209"/>
    <mergeCell ref="F210:G210"/>
    <mergeCell ref="F211:G211"/>
    <mergeCell ref="F212:G212"/>
    <mergeCell ref="F213:G213"/>
    <mergeCell ref="F214:G214"/>
    <mergeCell ref="F215:G215"/>
    <mergeCell ref="F216:G216"/>
    <mergeCell ref="F243:G243"/>
    <mergeCell ref="F244:G244"/>
    <mergeCell ref="F245:G245"/>
    <mergeCell ref="F246:G246"/>
    <mergeCell ref="F247:G247"/>
    <mergeCell ref="F248:G248"/>
    <mergeCell ref="F249:G249"/>
    <mergeCell ref="F250:G250"/>
    <mergeCell ref="F251:G251"/>
    <mergeCell ref="F236:G236"/>
    <mergeCell ref="F237:G237"/>
    <mergeCell ref="F238:G238"/>
    <mergeCell ref="F239:G239"/>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57:G357"/>
    <mergeCell ref="F358:G358"/>
    <mergeCell ref="F359:G359"/>
    <mergeCell ref="F360:G360"/>
    <mergeCell ref="F351:G351"/>
    <mergeCell ref="F352:G352"/>
    <mergeCell ref="F353:G353"/>
    <mergeCell ref="F354:G354"/>
    <mergeCell ref="F355:G355"/>
    <mergeCell ref="F356:G356"/>
    <mergeCell ref="F272:G272"/>
    <mergeCell ref="F273:G273"/>
    <mergeCell ref="F274:G274"/>
    <mergeCell ref="F275:G275"/>
    <mergeCell ref="F276:G276"/>
    <mergeCell ref="F267:G267"/>
    <mergeCell ref="F268:G268"/>
    <mergeCell ref="F269:G269"/>
    <mergeCell ref="F270:G270"/>
    <mergeCell ref="F271:G271"/>
    <mergeCell ref="F260:G260"/>
    <mergeCell ref="F261:G261"/>
    <mergeCell ref="F262:G262"/>
    <mergeCell ref="F263:G263"/>
    <mergeCell ref="F264:G264"/>
    <mergeCell ref="F255:G255"/>
    <mergeCell ref="F256:G256"/>
    <mergeCell ref="F257:G257"/>
    <mergeCell ref="F258:G258"/>
    <mergeCell ref="F259:G259"/>
    <mergeCell ref="F240:G240"/>
    <mergeCell ref="F231:G231"/>
    <mergeCell ref="F232:G232"/>
    <mergeCell ref="F233:G233"/>
    <mergeCell ref="F234:G234"/>
    <mergeCell ref="F235:G235"/>
    <mergeCell ref="F224:G224"/>
    <mergeCell ref="F225:G225"/>
    <mergeCell ref="F226:G226"/>
    <mergeCell ref="F227:G227"/>
    <mergeCell ref="F228:G228"/>
    <mergeCell ref="F219:G219"/>
    <mergeCell ref="F220:G220"/>
    <mergeCell ref="F221:G221"/>
    <mergeCell ref="F222:G222"/>
    <mergeCell ref="F223:G223"/>
    <mergeCell ref="F195:G195"/>
    <mergeCell ref="F196:G196"/>
    <mergeCell ref="F197:G197"/>
    <mergeCell ref="F198:G198"/>
    <mergeCell ref="F199:G199"/>
    <mergeCell ref="F200:G200"/>
    <mergeCell ref="F201:G201"/>
    <mergeCell ref="F202:G202"/>
    <mergeCell ref="F203:G203"/>
    <mergeCell ref="F204:G204"/>
    <mergeCell ref="F192:G192"/>
    <mergeCell ref="F171:G171"/>
    <mergeCell ref="F172:G172"/>
    <mergeCell ref="F173:G173"/>
    <mergeCell ref="F174:G174"/>
    <mergeCell ref="F175:G175"/>
    <mergeCell ref="F176:G176"/>
    <mergeCell ref="F177:G177"/>
    <mergeCell ref="F178:G178"/>
    <mergeCell ref="F179:G179"/>
    <mergeCell ref="F180:G180"/>
    <mergeCell ref="F183:G183"/>
    <mergeCell ref="F184:G184"/>
    <mergeCell ref="F185:G185"/>
    <mergeCell ref="F186:G186"/>
    <mergeCell ref="F187:G187"/>
    <mergeCell ref="F188:G188"/>
    <mergeCell ref="F189:G189"/>
    <mergeCell ref="F190:G190"/>
    <mergeCell ref="F191:G191"/>
    <mergeCell ref="F168:G168"/>
    <mergeCell ref="F159:G159"/>
    <mergeCell ref="F160:G160"/>
    <mergeCell ref="F161:G161"/>
    <mergeCell ref="F162:G162"/>
    <mergeCell ref="F163:G163"/>
    <mergeCell ref="F164:G164"/>
    <mergeCell ref="F165:G165"/>
    <mergeCell ref="F166:G166"/>
    <mergeCell ref="F167:G167"/>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36:G36"/>
    <mergeCell ref="F27:G27"/>
    <mergeCell ref="F28:G28"/>
    <mergeCell ref="F29:G29"/>
    <mergeCell ref="F30:G30"/>
    <mergeCell ref="F31:G31"/>
    <mergeCell ref="F32:G32"/>
    <mergeCell ref="F33:G33"/>
    <mergeCell ref="F34:G34"/>
    <mergeCell ref="F35:G35"/>
  </mergeCells>
  <phoneticPr fontId="0" type="noConversion"/>
  <conditionalFormatting sqref="C360">
    <cfRule type="cellIs" dxfId="31" priority="30" operator="greaterThan">
      <formula>60</formula>
    </cfRule>
  </conditionalFormatting>
  <conditionalFormatting sqref="C348">
    <cfRule type="cellIs" dxfId="30" priority="29" operator="greaterThan">
      <formula>60</formula>
    </cfRule>
  </conditionalFormatting>
  <conditionalFormatting sqref="C336">
    <cfRule type="cellIs" dxfId="29" priority="28" operator="greaterThan">
      <formula>60</formula>
    </cfRule>
  </conditionalFormatting>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352:C359 C340:C347 C328:C335 C316:C323 C304:C311 C292:C299 C280:C287 C268:C275 C256:C263 C244:C251 C232:C239 C220:C227 C208:C215 C196:C203 C184:C191 C172:C179 C160:C167 C148:C155 C136:C143 C124:C131 C112:C119 C100:C107 C88:C95 C76:C83 C64:C71 C52:C59 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60 C348 C336 C324 C312 C300 C288 C276 C264 C252 C240 C228 C216 C204 C192 C180 C168 C156 C144 C132 C120 C108 C96 C84 C72 C60 C48 C36 C24 C12" xr:uid="{F07B0E06-BAEF-4AB8-8489-5985F597403F}">
      <formula1>0</formula1>
      <formula2>60</formula2>
    </dataValidation>
  </dataValidations>
  <hyperlinks>
    <hyperlink ref="F345" r:id="rId1" xr:uid="{81666E9A-B468-4D90-95A2-E913F1C6DCBC}"/>
    <hyperlink ref="F354" r:id="rId2" xr:uid="{8193756A-593E-4D0C-BA1B-6702C5C76A06}"/>
    <hyperlink ref="F353" r:id="rId3" xr:uid="{BBC14F41-7767-453F-9923-D043A329E1F3}"/>
    <hyperlink ref="F352" r:id="rId4" xr:uid="{3E78045D-33E6-4ABA-B703-D87E3126867E}"/>
    <hyperlink ref="F356" r:id="rId5" xr:uid="{198A02A0-A6A0-4494-BFC7-95CEAA1B45A2}"/>
    <hyperlink ref="F113" r:id="rId6" xr:uid="{4863DDF1-C04C-4F36-ACDD-800EB7F08AEC}"/>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7"/>
  <headerFooter alignWithMargins="0">
    <oddHeader>&amp;L&amp;"ETML,Normal"&amp;14ETML&amp;R&amp;14&amp;USection Informatique</oddHeader>
    <oddFooter>&amp;L&amp;14&amp;D - GGZ&amp;C&amp;14&amp;F - &amp;A&amp;R&amp;14&amp;P/&amp;N</oddFooter>
  </headerFooter>
  <drawing r:id="rId8"/>
  <legacyDrawing r:id="rId9"/>
  <controls>
    <mc:AlternateContent xmlns:mc="http://schemas.openxmlformats.org/markup-compatibility/2006">
      <mc:Choice Requires="x14">
        <control shapeId="9220" r:id="rId10" name="btnAjoutSeqJournal">
          <controlPr defaultSize="0" autoLine="0" r:id="rId11">
            <anchor moveWithCells="1">
              <from>
                <xdr:col>3</xdr:col>
                <xdr:colOff>85725</xdr:colOff>
                <xdr:row>0</xdr:row>
                <xdr:rowOff>85725</xdr:rowOff>
              </from>
              <to>
                <xdr:col>4</xdr:col>
                <xdr:colOff>762000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1</xdr:col>
                <xdr:colOff>104775</xdr:colOff>
                <xdr:row>0</xdr:row>
                <xdr:rowOff>85725</xdr:rowOff>
              </from>
              <to>
                <xdr:col>2</xdr:col>
                <xdr:colOff>457200</xdr:colOff>
                <xdr:row>0</xdr:row>
                <xdr:rowOff>552450</xdr:rowOff>
              </to>
            </anchor>
          </controlPr>
        </control>
      </mc:Choice>
      <mc:Fallback>
        <control shapeId="9224" r:id="rId12"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B356:B359 B353 B340 B345:B347 B329:B335 B317 B319:B323 B304:B311 B292:B299 B280:B287 B268:B275 B256:B263 B244:B251 B232:B239 B220:B227 B208:B215 B196:B203 B184:B191 B172:B179 B160:B167 B148:B155 B136:B143 B124:B131 B112:B119 B100:B107 B88:B95 B76:B83 B64:B71 B28:B35 B40:B47 B52:B59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73"/>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23" t="s">
        <v>36</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5"/>
      <c r="BI13" s="73"/>
    </row>
    <row r="14" spans="1:61" ht="15.75" thickBot="1" x14ac:dyDescent="0.35">
      <c r="A14" s="81"/>
      <c r="B14" s="82"/>
      <c r="C14" s="82"/>
      <c r="D14" s="82"/>
      <c r="E14" s="226" t="s">
        <v>17</v>
      </c>
      <c r="F14" s="226"/>
      <c r="G14" s="226"/>
      <c r="H14" s="226"/>
      <c r="I14" s="82"/>
      <c r="J14" s="82"/>
      <c r="K14" s="227" t="s">
        <v>18</v>
      </c>
      <c r="L14" s="227"/>
      <c r="M14" s="227"/>
      <c r="N14" s="227"/>
      <c r="O14" s="102"/>
      <c r="P14" s="102"/>
      <c r="Q14" s="226" t="s">
        <v>19</v>
      </c>
      <c r="R14" s="226"/>
      <c r="S14" s="226"/>
      <c r="T14" s="226"/>
      <c r="U14" s="82"/>
      <c r="V14" s="82"/>
      <c r="W14" s="227" t="s">
        <v>20</v>
      </c>
      <c r="X14" s="227"/>
      <c r="Y14" s="227"/>
      <c r="Z14" s="227"/>
      <c r="AA14" s="102"/>
      <c r="AB14" s="102"/>
      <c r="AC14" s="226" t="s">
        <v>21</v>
      </c>
      <c r="AD14" s="226"/>
      <c r="AE14" s="226"/>
      <c r="AF14" s="226"/>
      <c r="AG14" s="82"/>
      <c r="AH14" s="82"/>
      <c r="AI14" s="227" t="s">
        <v>22</v>
      </c>
      <c r="AJ14" s="227"/>
      <c r="AK14" s="227"/>
      <c r="AL14" s="227"/>
      <c r="AM14" s="102"/>
      <c r="AN14" s="102"/>
      <c r="AO14" s="226" t="s">
        <v>23</v>
      </c>
      <c r="AP14" s="226"/>
      <c r="AQ14" s="226"/>
      <c r="AR14" s="226"/>
      <c r="AS14" s="82"/>
      <c r="AT14" s="82"/>
      <c r="AU14" s="227" t="s">
        <v>24</v>
      </c>
      <c r="AV14" s="227"/>
      <c r="AW14" s="227"/>
      <c r="AX14" s="227"/>
      <c r="AY14" s="102"/>
      <c r="AZ14" s="102"/>
      <c r="BA14" s="226" t="s">
        <v>25</v>
      </c>
      <c r="BB14" s="226"/>
      <c r="BC14" s="226"/>
      <c r="BD14" s="226"/>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60" t="s">
        <v>41</v>
      </c>
      <c r="G2" s="261"/>
      <c r="H2" s="151"/>
    </row>
    <row r="3" spans="2:8" s="43" customFormat="1" x14ac:dyDescent="0.3">
      <c r="B3" s="40" t="s">
        <v>42</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43</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6" t="s">
        <v>41</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43</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2026-03-09T13:44:35Z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