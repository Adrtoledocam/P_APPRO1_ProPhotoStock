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B1A15188-FC08-4487-9C2E-0151B58A1FEE}"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C36" i="12"/>
  <c r="D35" i="12"/>
  <c r="D34" i="12"/>
  <c r="D33" i="12"/>
  <c r="D32" i="12"/>
  <c r="D31" i="12"/>
  <c r="C48" i="12"/>
  <c r="D47" i="12"/>
  <c r="D46" i="12"/>
  <c r="D45" i="12"/>
  <c r="D44" i="12"/>
  <c r="D43" i="12"/>
  <c r="C60" i="12"/>
  <c r="D59" i="12"/>
  <c r="D58" i="12"/>
  <c r="D57" i="12"/>
  <c r="D56" i="12"/>
  <c r="D55" i="12"/>
  <c r="C72" i="12"/>
  <c r="D71" i="12"/>
  <c r="D70" i="12"/>
  <c r="D69" i="12"/>
  <c r="C84" i="12"/>
  <c r="D83" i="12"/>
  <c r="D82" i="12"/>
  <c r="D81" i="12"/>
  <c r="D80" i="12"/>
  <c r="C96" i="12"/>
  <c r="D95" i="12"/>
  <c r="D94" i="12"/>
  <c r="D93" i="12"/>
  <c r="D92" i="12"/>
  <c r="D91" i="12"/>
  <c r="C108" i="12"/>
  <c r="D107" i="12"/>
  <c r="D106" i="12"/>
  <c r="D105" i="12"/>
  <c r="D104" i="12"/>
  <c r="C120" i="12"/>
  <c r="D119" i="12"/>
  <c r="D118" i="12"/>
  <c r="D117" i="12"/>
  <c r="D116" i="12"/>
  <c r="D115" i="12"/>
  <c r="C132" i="12"/>
  <c r="D131" i="12"/>
  <c r="D130" i="12"/>
  <c r="D129" i="12"/>
  <c r="C144" i="12"/>
  <c r="D143" i="12"/>
  <c r="D142" i="12"/>
  <c r="D141" i="12"/>
  <c r="D140" i="12"/>
  <c r="C156" i="12"/>
  <c r="D155" i="12"/>
  <c r="D154" i="12"/>
  <c r="D153" i="12"/>
  <c r="D152" i="12"/>
  <c r="C168" i="12"/>
  <c r="D167" i="12"/>
  <c r="D166" i="12"/>
  <c r="D165" i="12"/>
  <c r="D164" i="12"/>
  <c r="C180" i="12"/>
  <c r="D179" i="12"/>
  <c r="D178" i="12"/>
  <c r="D177" i="12"/>
  <c r="D176" i="12"/>
  <c r="D175" i="12"/>
  <c r="C192" i="12"/>
  <c r="D191" i="12"/>
  <c r="D190" i="12"/>
  <c r="D189" i="12"/>
  <c r="D188" i="12"/>
  <c r="C204" i="12"/>
  <c r="D203" i="12"/>
  <c r="D202" i="12"/>
  <c r="D201" i="12"/>
  <c r="C216" i="12"/>
  <c r="D215" i="12"/>
  <c r="D214" i="12"/>
  <c r="D213" i="12"/>
  <c r="C228" i="12"/>
  <c r="D227" i="12"/>
  <c r="D226" i="12"/>
  <c r="D225" i="12"/>
  <c r="C240" i="12"/>
  <c r="D239" i="12"/>
  <c r="D238" i="12"/>
  <c r="D237" i="12"/>
  <c r="D236" i="12"/>
  <c r="D235" i="12"/>
  <c r="C252" i="12"/>
  <c r="D251" i="12"/>
  <c r="D250" i="12"/>
  <c r="D249" i="12"/>
  <c r="D248" i="12"/>
  <c r="C264" i="12"/>
  <c r="D263" i="12"/>
  <c r="D262" i="12"/>
  <c r="D261" i="12"/>
  <c r="C276" i="12"/>
  <c r="D275" i="12"/>
  <c r="D274" i="12"/>
  <c r="D273" i="12"/>
  <c r="D272" i="12"/>
  <c r="C288" i="12"/>
  <c r="D287" i="12"/>
  <c r="D286" i="12"/>
  <c r="D285" i="12"/>
  <c r="D284" i="12"/>
  <c r="C300" i="12"/>
  <c r="D299" i="12"/>
  <c r="D298" i="12"/>
  <c r="D297" i="12"/>
  <c r="C312" i="12"/>
  <c r="D311" i="12"/>
  <c r="D310" i="12"/>
  <c r="D309" i="12"/>
  <c r="D308" i="12"/>
  <c r="C324" i="12"/>
  <c r="D323" i="12"/>
  <c r="D322" i="12"/>
  <c r="D321" i="12"/>
  <c r="D320" i="12"/>
  <c r="C336" i="12"/>
  <c r="D335" i="12"/>
  <c r="D334" i="12"/>
  <c r="D333" i="12"/>
  <c r="D332" i="12"/>
  <c r="C348" i="12"/>
  <c r="D347" i="12"/>
  <c r="D346" i="12"/>
  <c r="D345" i="12"/>
  <c r="D344" i="12"/>
  <c r="C360" i="12"/>
  <c r="D359" i="12"/>
  <c r="D358" i="12"/>
  <c r="D357" i="12"/>
  <c r="D356" i="12"/>
  <c r="C372" i="12"/>
  <c r="D371" i="12"/>
  <c r="D370" i="12"/>
  <c r="C384" i="12"/>
  <c r="D383" i="12"/>
  <c r="D382" i="12"/>
  <c r="D381" i="12"/>
  <c r="D366" i="12"/>
  <c r="D140" i="10"/>
  <c r="D67" i="10"/>
  <c r="D149" i="10"/>
  <c r="D141" i="10"/>
  <c r="D209" i="10"/>
  <c r="D137" i="10"/>
  <c r="D151" i="10"/>
  <c r="D186" i="10"/>
  <c r="D78" i="10"/>
  <c r="D222" i="10"/>
  <c r="D102" i="10"/>
  <c r="D90" i="10"/>
  <c r="D211" i="10"/>
  <c r="D16" i="12"/>
  <c r="D4" i="12"/>
  <c r="D6" i="12"/>
  <c r="D18" i="12"/>
  <c r="D5" i="12"/>
  <c r="D17" i="12"/>
  <c r="D12" i="12"/>
  <c r="D24" i="12"/>
  <c r="D40" i="12"/>
  <c r="D209" i="12"/>
  <c r="D306" i="12"/>
  <c r="D268" i="12"/>
  <c r="D329" i="12"/>
  <c r="D156" i="12"/>
  <c r="D348" i="12"/>
  <c r="D372" i="12"/>
  <c r="D150" i="12"/>
  <c r="D210" i="12"/>
  <c r="D78" i="12"/>
  <c r="D48" i="12"/>
  <c r="D223" i="12"/>
  <c r="D208" i="12"/>
  <c r="D220" i="12"/>
  <c r="D77" i="12"/>
  <c r="D163" i="12"/>
  <c r="D197" i="12"/>
  <c r="D136" i="12"/>
  <c r="D282" i="12"/>
  <c r="D224" i="12"/>
  <c r="D246" i="12"/>
  <c r="D281" i="12"/>
  <c r="D100" i="12"/>
  <c r="D172" i="12"/>
  <c r="D353" i="12"/>
  <c r="D173" i="12"/>
  <c r="D36" i="12"/>
  <c r="D240" i="12"/>
  <c r="D187" i="12"/>
  <c r="D137" i="12"/>
  <c r="D216" i="12"/>
  <c r="D368" i="12"/>
  <c r="D384" i="12"/>
  <c r="D96" i="12"/>
  <c r="D72" i="12"/>
  <c r="D174" i="12"/>
  <c r="D67" i="12"/>
  <c r="D148" i="12"/>
  <c r="D331" i="12"/>
  <c r="D149" i="12"/>
  <c r="D336" i="12"/>
  <c r="D168" i="12"/>
  <c r="D280" i="12"/>
  <c r="D288" i="12"/>
  <c r="D68" i="12"/>
  <c r="D112" i="12"/>
  <c r="D352" i="12"/>
  <c r="D76" i="12"/>
  <c r="D52" i="12"/>
  <c r="D127" i="12"/>
  <c r="D132" i="12"/>
  <c r="D185" i="12"/>
  <c r="D316" i="12"/>
  <c r="D355" i="12"/>
  <c r="D139" i="12"/>
  <c r="D101" i="12"/>
  <c r="D89" i="12"/>
  <c r="D84" i="12"/>
  <c r="D294" i="12"/>
  <c r="D247" i="12"/>
  <c r="D126" i="12"/>
  <c r="D259" i="12"/>
  <c r="D379" i="12"/>
  <c r="D125" i="12"/>
  <c r="D295" i="12"/>
  <c r="D258" i="12"/>
  <c r="D196" i="12"/>
  <c r="D53" i="12"/>
  <c r="D228" i="12"/>
  <c r="D60" i="12"/>
  <c r="D252" i="12"/>
  <c r="D232" i="12"/>
  <c r="D221" i="12"/>
  <c r="D120" i="12"/>
  <c r="D212" i="12"/>
  <c r="D161" i="12"/>
  <c r="D318" i="12"/>
  <c r="D360" i="12"/>
  <c r="D341" i="12"/>
  <c r="D276" i="12"/>
  <c r="D64" i="12"/>
  <c r="D312" i="12"/>
  <c r="D184" i="12"/>
  <c r="D103" i="12"/>
  <c r="D260" i="12"/>
  <c r="D128" i="12"/>
  <c r="D293" i="12"/>
  <c r="D365" i="12"/>
  <c r="D264" i="12"/>
  <c r="D162" i="12"/>
  <c r="D138" i="12"/>
  <c r="D292" i="12"/>
  <c r="D28" i="12"/>
  <c r="D256" i="12"/>
  <c r="D90" i="12"/>
  <c r="D186" i="12"/>
  <c r="D257" i="12"/>
  <c r="D354" i="12"/>
  <c r="D54" i="12"/>
  <c r="D29" i="12"/>
  <c r="D367" i="12"/>
  <c r="D317" i="12"/>
  <c r="D328" i="12"/>
  <c r="D283" i="12"/>
  <c r="D319" i="12"/>
  <c r="D30" i="12"/>
  <c r="D114" i="12"/>
  <c r="D342" i="12"/>
  <c r="D124" i="12"/>
  <c r="D192" i="12"/>
  <c r="D88" i="12"/>
  <c r="D102" i="12"/>
  <c r="D378" i="12"/>
  <c r="D108" i="12"/>
  <c r="D198" i="12"/>
  <c r="D305" i="12"/>
  <c r="D343" i="12"/>
  <c r="D304" i="12"/>
  <c r="D324" i="12"/>
  <c r="D377" i="12"/>
  <c r="D233" i="12"/>
  <c r="D113" i="12"/>
  <c r="D380" i="12"/>
  <c r="D204" i="12"/>
  <c r="D364" i="12"/>
  <c r="D296" i="12"/>
  <c r="D270" i="12"/>
  <c r="D180" i="12"/>
  <c r="D200" i="12"/>
  <c r="D269" i="12"/>
  <c r="D151" i="12"/>
  <c r="D369" i="12"/>
  <c r="D211" i="12"/>
  <c r="D307" i="12"/>
  <c r="D41" i="12"/>
  <c r="D330" i="12"/>
  <c r="D340" i="12"/>
  <c r="D42" i="12"/>
  <c r="D244" i="12"/>
  <c r="D65" i="12"/>
  <c r="D234" i="12"/>
  <c r="D160" i="12"/>
  <c r="D79" i="12"/>
  <c r="D271" i="12"/>
  <c r="D66" i="12"/>
  <c r="D199" i="12"/>
  <c r="D144" i="12"/>
  <c r="D245" i="12"/>
  <c r="D300" i="12"/>
  <c r="D222"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233" i="10"/>
  <c r="D132" i="10"/>
  <c r="D240" i="10"/>
  <c r="D172" i="10"/>
  <c r="D343" i="10"/>
  <c r="D348" i="10"/>
  <c r="D196" i="10"/>
  <c r="D336" i="10"/>
  <c r="D89" i="10"/>
  <c r="D221" i="10"/>
  <c r="D280" i="10"/>
  <c r="D234" i="10"/>
  <c r="D360" i="10"/>
  <c r="D125" i="10"/>
  <c r="D246" i="10"/>
  <c r="D247" i="10"/>
  <c r="D294" i="10"/>
  <c r="D84" i="10"/>
  <c r="D329" i="10"/>
  <c r="D197" i="10"/>
  <c r="D342" i="10"/>
  <c r="D317" i="10"/>
  <c r="D96" i="10"/>
  <c r="D66" i="10"/>
  <c r="D173" i="10"/>
  <c r="D108" i="10"/>
  <c r="D76" i="10"/>
  <c r="D77" i="10"/>
  <c r="D101" i="10"/>
  <c r="D364" i="10"/>
  <c r="D281" i="10"/>
  <c r="D11" i="15"/>
  <c r="D276" i="10"/>
  <c r="D232" i="10"/>
  <c r="D126" i="10"/>
  <c r="D270" i="10"/>
  <c r="D113" i="10"/>
  <c r="D366" i="10"/>
  <c r="D54" i="10"/>
  <c r="D124" i="10"/>
  <c r="D318" i="10"/>
  <c r="D244" i="10"/>
  <c r="D100" i="10"/>
  <c r="D283" i="10"/>
  <c r="D127" i="10"/>
  <c r="D112" i="10"/>
  <c r="D204" i="10"/>
  <c r="D65" i="10"/>
  <c r="D48" i="10"/>
  <c r="D312" i="10"/>
  <c r="D223" i="10"/>
  <c r="D268" i="10"/>
  <c r="D88" i="10"/>
  <c r="D184" i="10"/>
  <c r="D305" i="10"/>
  <c r="D42" i="10"/>
  <c r="D53" i="10"/>
  <c r="D220" i="10"/>
  <c r="D341" i="10"/>
  <c r="D352" i="10"/>
  <c r="D72" i="10"/>
  <c r="D368" i="10"/>
  <c r="D367" i="10"/>
  <c r="D328" i="10"/>
  <c r="D365" i="10"/>
  <c r="D353" i="10"/>
  <c r="D41" i="10"/>
  <c r="D324" i="10"/>
  <c r="D307" i="10"/>
  <c r="D258" i="10"/>
  <c r="D150" i="10"/>
  <c r="D331" i="10"/>
  <c r="D355" i="10"/>
  <c r="D304" i="10"/>
  <c r="D316" i="10"/>
  <c r="D198" i="10"/>
  <c r="D300" i="10"/>
  <c r="D354" i="10"/>
  <c r="D136" i="10"/>
  <c r="D156" i="10"/>
  <c r="D64" i="10"/>
  <c r="D160" i="10"/>
  <c r="D120" i="10"/>
  <c r="D144" i="10"/>
  <c r="D292" i="10"/>
  <c r="D216" i="10"/>
  <c r="D340" i="10"/>
  <c r="D252" i="10"/>
  <c r="D269" i="10"/>
  <c r="D180" i="10"/>
  <c r="D245" i="10"/>
  <c r="D148" i="10"/>
  <c r="D372" i="10"/>
  <c r="D256" i="10"/>
  <c r="D257" i="10"/>
  <c r="D11" i="16"/>
  <c r="D60" i="10"/>
  <c r="D185" i="10"/>
  <c r="D306" i="10"/>
  <c r="D163" i="10"/>
  <c r="D210" i="10"/>
  <c r="D139" i="10"/>
  <c r="D168" i="10"/>
  <c r="D264" i="10"/>
  <c r="D208" i="10"/>
  <c r="D228" i="10"/>
  <c r="D295" i="10"/>
  <c r="D174" i="10"/>
  <c r="D52" i="10"/>
  <c r="D282" i="10"/>
  <c r="D192" i="10"/>
  <c r="D235" i="10"/>
  <c r="D293" i="10"/>
  <c r="D288" i="10"/>
  <c r="D224" i="10"/>
  <c r="D162" i="10"/>
  <c r="D161"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<sst xmlns="http://schemas.openxmlformats.org/spreadsheetml/2006/main" count="1434" uniqueCount="278">
  <si>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</si>
  <si>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</si>
  <si>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</si>
  <si>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</si>
  <si>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</si>
  <si>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</si>
  <si>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</si>
  <si>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</si>
  <si>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</si>
  <si>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</si>
  <si>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</si>
  <si>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</si>
  <si>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</si>
  <si>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</si>
  <si>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</si>
  <si>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</si>
  <si>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</si>
  <si>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</si>
  <si>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</si>
  <si>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</si>
  <si>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</si>
  <si>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</si>
  <si>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</si>
  <si>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</si>
  <si>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</si>
  <si>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</si>
  <si>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</si>
  <si>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</si>
  <si>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</si>
  <si>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</si>
  <si>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</si>
  <si>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</si>
  <si>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</si>
  <si>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</si>
  <si>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</si>
  <si>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</si>
  <si>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</si>
  <si>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</si>
  <si>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</si>
  <si>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</si>
  <si>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</si>
  <si>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</si>
  <si>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</si>
  <si>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</si>
  <si>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</si>
  <si>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</si>
  <si>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</si>
  <si>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</si>
  <si>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</si>
  <si>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</si>
  <si>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</si>
  <si>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</si>
  <si>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</si>
  <si>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</si>
  <si>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</si>
  <si>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</si>
  <si>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</si>
  <si>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</si>
  <si>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</si>
  <si>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</si>
  <si>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</si>
  <si>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</si>
  <si>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</si>
  <si>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</si>
  <si>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</si>
  <si>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</si>
  <si>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</si>
  <si>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</si>
  <si>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</si>
  <si>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</si>
  <si>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</si>
  <si>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</si>
  <si>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</si>
  <si>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</si>
  <si>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</si>
  <si>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</si>
  <si>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</si>
  <si>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</si>
  <si>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</si>
  <si>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</si>
  <si>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</si>
  <si>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</si>
  <si>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</si>
  <si>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</si>
  <si>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</si>
  <si>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</si>
  <si>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</si>
  <si>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</si>
  <si>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</si>
  <si>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</si>
  <si>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</si>
  <si>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</si>
  <si>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</si>
  <si>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</si>
  <si>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</si>
  <si>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</si>
  <si>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</si>
  <si>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</si>
  <si>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</si>
  <si>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</si>
  <si>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</si>
  <si>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</si>
  <si>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</si>
  <si>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</si>
  <si>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</si>
  <si>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</si>
  <si>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</si>
  <si>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</si>
  <si>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</si>
  <si>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</si>
  <si>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</si>
  <si>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</si>
  <si>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</si>
  <si>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</si>
  <si>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</si>
  <si>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</si>
  <si>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</si>
  <si>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</si>
  <si>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</si>
  <si>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</si>
  <si>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</si>
  <si>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</si>
  <si>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</si>
  <si>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</si>
  <si>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</si>
  <si>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</si>
  <si>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</si>
  <si>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</si>
  <si>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</si>
  <si>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</si>
  <si>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</si>
  <si>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</si>
  <si>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</si>
  <si>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</si>
  <si>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</si>
  <si>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</si>
  <si>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</si>
  <si>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</si>
  <si>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</si>
  <si>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</si>
  <si>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</si>
  <si>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</si>
  <si>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</si>
  <si>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</si>
  <si>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</si>
  <si>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</si>
  <si>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</si>
  <si>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</si>
  <si>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</si>
  <si>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</si>
  <si>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</si>
  <si>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</si>
  <si>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</si>
  <si>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</si>
  <si>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</si>
  <si>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</si>
  <si>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</si>
  <si>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</si>
  <si>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</si>
  <si>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</si>
  <si>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</si>
  <si>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</si>
  <si>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</si>
  <si>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</si>
  <si>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</si>
  <si>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</si>
  <si>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</si>
  <si>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</si>
  <si>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</si>
  <si>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</si>
  <si>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</si>
  <si>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</si>
  <si>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</si>
  <si>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</si>
  <si>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</si>
  <si>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</si>
  <si>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</si>
  <si>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</si>
  <si>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</si>
  <si>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</si>
  <si>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</si>
  <si>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</si>
  <si>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</si>
  <si>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</si>
  <si>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</si>
  <si>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</si>
  <si>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</si>
  <si>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</si>
  <si>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</si>
  <si>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</si>
  <si>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</si>
  <si>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</si>
  <si>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</si>
  <si>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</si>
  <si>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</si>
  <si>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</si>
  <si>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</si>
  <si>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</si>
  <si>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</si>
  <si>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</si>
  <si>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</si>
  <si>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</si>
  <si>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</si>
  <si>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</si>
  <si>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</si>
  <si>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</si>
  <si>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</si>
  <si>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</si>
  <si>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</si>
  <si>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</si>
  <si>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</si>
  <si>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</si>
  <si>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</si>
  <si>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</si>
  <si>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</si>
  <si>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</si>
  <si>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</si>
  <si>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</si>
  <si>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</si>
  <si>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</si>
  <si>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</si>
  <si>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</si>
  <si>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</si>
  <si>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</si>
  <si>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</si>
  <si>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</si>
  <si>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</si>
  <si>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</si>
  <si>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</si>
  <si>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</si>
  <si>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</si>
  <si>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</si>
  <si>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</si>
  <si>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</si>
  <si>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</si>
  <si>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</si>
  <si>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</si>
  <si>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</si>
  <si>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</si>
  <si>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</si>
  <si>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</si>
  <si>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</si>
  <si>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</si>
  <si>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</si>
  <si>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</si>
  <si>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</si>
  <si>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</si>
  <si>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</si>
  <si>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https://app.diagrams.net/</t>
  </si>
  <si>
    <t xml:space="preserve">Réorganisation des tâches en attente et des tâches réalisées. </t>
  </si>
  <si>
    <t>Diagrammes de l'architecture logique et finalisation du chapitre 1 Analyse préliminaire (Introduction, Objectifs, Planification initiale)</t>
  </si>
  <si>
    <t>Modification du gitignore pour adapter à Cloudinary</t>
  </si>
  <si>
    <t>90h 40 min</t>
  </si>
  <si>
    <t>Modifications apportées à la documentation, aux images et aux schémas avec légendes et mises au point. Description pour le chapitre 2.4. Modélisation des données.</t>
  </si>
  <si>
    <t>Rédaction des tests actuels</t>
  </si>
  <si>
    <t>Présentation de mon projet sous forme d'une petite démo fonctionnelle. Corrections et améliorations possibles pour un TPI réel.</t>
  </si>
  <si>
    <t>Corrections de bugs et suggestion de ma cheffe du projet.</t>
  </si>
  <si>
    <t>Meeting avec mon chef de TPI</t>
  </si>
  <si>
    <t>Finalisation du chapitre dossier de conception et des descriptions des modèles de données</t>
  </si>
  <si>
    <t xml:space="preserve">Ajouter des tests en local à essayer plus tard. </t>
  </si>
  <si>
    <t xml:space="preserve">Test pas intégré dans le code de git car il fait de problèmes. </t>
  </si>
  <si>
    <t xml:space="preserve">Diagramme d'architecture. Présentation d'un schème pour le dossier de réalisation. Prendre des captures d'écran et fournir des références sur l'état actuel de mon projet. Aligner les images et les textes comme pour un document officiel. </t>
  </si>
  <si>
    <t xml:space="preserve">Bugs trouvé et effacer de code supplémentaire </t>
  </si>
  <si>
    <t>Ajouter les suggestions de ma cheffe d'équipe dans le rapport. Début du dossier de conception</t>
  </si>
  <si>
    <t>Flux de navigation e et finalisation du chapitre 2 Concept ( Analyse fonctionnelle, flux de navigation, tests, maquettes UI/UX et MCD/MLD)</t>
  </si>
  <si>
    <t xml:space="preserve">Tests et vérifications de fonctionnalités basique du projet </t>
  </si>
  <si>
    <t>Diagrammes pour définir les cas d'utilisation et son architectura logicielle avec</t>
  </si>
  <si>
    <t>Réalisation de les pages : contrats selon le rôle et réalisation de contrats.</t>
  </si>
  <si>
    <t>Première analyse de l'avancement du projet. Examen des points clés pour son évaluation.</t>
  </si>
  <si>
    <t>Début de dossier de réalisation et conclusions</t>
  </si>
  <si>
    <t xml:space="preserve">Diagrammes du dossier de réalisation : Backend, Frontend code et arborescence. </t>
  </si>
  <si>
    <t>dossier de réalisation et conclusions en cours</t>
  </si>
  <si>
    <t>Structure des tests et tableaux complétés. Avancement au point 3.</t>
  </si>
  <si>
    <t>Chapitres 3 et 4 terminés. À vérifier et améliorer résumé du rapport</t>
  </si>
  <si>
    <t>Tests unitaires adaptés au projet</t>
  </si>
  <si>
    <t>Modifications apportées au test d'intégration destiné au rapport</t>
  </si>
  <si>
    <t>92h 5 min</t>
  </si>
  <si>
    <t>+ 1h 25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</si>
</sst>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19" borderId="24" xfId="0" applyFont="1" applyFill="1" applyBorder="1"/>
    <xf numFmtId="0" fontId="2" fillId="19" borderId="25"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19" borderId="22" xfId="0" applyFont="1" applyFill="1" applyBorder="1"/>
    <xf numFmtId="0" fontId="2" fillId="19" borderId="21"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20" borderId="18" xfId="0" applyFont="1" applyFill="1" applyBorder="1"/>
    <xf numFmtId="0" fontId="2" fillId="20" borderId="19"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54" xfId="0" applyFont="1" applyFill="1" applyBorder="1"/>
    <xf numFmtId="0" fontId="2" fillId="20" borderId="27" xfId="0" applyFont="1" applyFill="1" applyBorder="1"/>
    <xf numFmtId="0" fontId="2" fillId="20" borderId="71" xfId="0" applyFont="1" applyFill="1" applyBorder="1"/>
    <xf numFmtId="0" fontId="2" fillId="20"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0" fillId="20" borderId="11" xfId="0" applyFill="1" applyBorder="1"/>
    <xf numFmtId="0" fontId="2" fillId="20" borderId="0" xfId="0" applyFont="1" applyFill="1"/>
    <xf numFmtId="0" fontId="0" fillId="0" borderId="11" xfId="0" applyFill="1" applyBorder="1"/>
    <xf numFmtId="0" fontId="2" fillId="0" borderId="0" xfId="0" applyFont="1" applyFill="1"/>
    <xf numFmtId="2" fontId="7" fillId="21" borderId="0" xfId="0" applyNumberFormat="1" applyFont="1" applyFill="1" applyAlignment="1">
      <alignment horizontal="center" vertical="center"/>
    </xf>
  </cellXfs>
  <cellStyles count="2">
    <cellStyle name="Lien hypertexte" xfId="1" builtinId="8"/>
    <cellStyle name="Normal" xfId="0" builtinId="0" customBuiltin="1"/>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Frontend</c:v>
              </c:pt>
              <c:pt idx="19">
                <c:v>Réalisation - Git</c:v>
              </c:pt>
              <c:pt idx="20">
                <c:v>Réalisation - intégration mobile–backend</c:v>
              </c:pt>
              <c:pt idx="21">
                <c:v>Test - corrections</c:v>
              </c:pt>
              <c:pt idx="22">
                <c:v>Test - Unitaire</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66</c:v>
              </c:pt>
              <c:pt idx="19">
                <c:v>105</c:v>
              </c:pt>
              <c:pt idx="20">
                <c:v>40</c:v>
              </c:pt>
              <c:pt idx="21">
                <c:v>92</c:v>
              </c:pt>
              <c:pt idx="22">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21h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0"/>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76D-48DC-813C-DF9611FB8169}"/>
                </c:ext>
              </c:extLst>
            </c:dLbl>
            <c:dLbl>
              <c:idx val="21"/>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42</c:v>
              </c:pt>
              <c:pt idx="1">
                <c:v>9</c:v>
              </c:pt>
              <c:pt idx="2">
                <c:v>10</c:v>
              </c:pt>
              <c:pt idx="3">
                <c:v>28</c:v>
              </c:pt>
              <c:pt idx="4">
                <c:v>0</c:v>
              </c:pt>
              <c:pt idx="5">
                <c:v>24</c:v>
              </c:pt>
              <c:pt idx="6">
                <c:v>12</c:v>
              </c:pt>
              <c:pt idx="7">
                <c:v>72</c:v>
              </c:pt>
              <c:pt idx="8">
                <c:v>15</c:v>
              </c:pt>
              <c:pt idx="9">
                <c:v>16</c:v>
              </c:pt>
              <c:pt idx="10">
                <c:v>111</c:v>
              </c:pt>
              <c:pt idx="11">
                <c:v>259</c:v>
              </c:pt>
              <c:pt idx="12">
                <c:v>29</c:v>
              </c:pt>
              <c:pt idx="13">
                <c:v>81</c:v>
              </c:pt>
              <c:pt idx="14">
                <c:v>40</c:v>
              </c:pt>
              <c:pt idx="15">
                <c:v>16</c:v>
              </c:pt>
              <c:pt idx="16">
                <c:v>50</c:v>
              </c:pt>
              <c:pt idx="17">
                <c:v>35</c:v>
              </c:pt>
              <c:pt idx="18">
                <c:v>83</c:v>
              </c:pt>
              <c:pt idx="19">
                <c:v>18</c:v>
              </c:pt>
              <c:pt idx="20">
                <c:v>80</c:v>
              </c:pt>
              <c:pt idx="21">
                <c:v>25</c:v>
              </c:pt>
              <c:pt idx="22">
                <c:v>50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39h 30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474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 30 min</a:t>
                    </a:r>
                  </a:p>
                  <a:p>
                    <a:r>
                      <a:rPr lang="en-US"/>
                      <a:t> 3.9%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5h 55 min</a:t>
                    </a:r>
                  </a:p>
                  <a:p>
                    <a:r>
                      <a:rPr lang="en-US"/>
                      <a:t> 6.6%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32h 10 min</a:t>
                    </a:r>
                  </a:p>
                  <a:p>
                    <a:r>
                      <a:rPr lang="en-US"/>
                      <a:t> 35.9%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33h 35 min</a:t>
                    </a:r>
                  </a:p>
                  <a:p>
                    <a:r>
                      <a:rPr lang="en-US"/>
                      <a:t> 37.5%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6h 15 min</a:t>
                    </a:r>
                  </a:p>
                  <a:p>
                    <a:r>
                      <a:rPr lang="en-US"/>
                      <a:t> 7.0%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42</c:v>
              </c:pt>
              <c:pt idx="1">
                <c:v>71</c:v>
              </c:pt>
              <c:pt idx="2">
                <c:v>99</c:v>
              </c:pt>
              <c:pt idx="3">
                <c:v>386</c:v>
              </c:pt>
              <c:pt idx="4">
                <c:v>403</c:v>
              </c:pt>
              <c:pt idx="5">
                <c:v>75</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A13" zoomScale="55" zoomScaleNormal="55" workbookViewId="0">
      <selection activeCell="AG57" sqref="AG5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252</v>
      </c>
      <c r="G45" s="216" t="s">
        <v>1</v>
      </c>
      <c r="H45" s="216"/>
      <c r="I45" s="216"/>
      <c r="J45" s="140" t="s">
        <v>276</v>
      </c>
      <c r="L45" s="217" t="s">
        <v>2</v>
      </c>
      <c r="M45" s="217"/>
      <c r="N45" s="273" t="s">
        <v>277</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UC99"/>
  <sheetViews>
    <sheetView showGridLines="0" topLeftCell="A49" zoomScale="55" zoomScaleNormal="55" zoomScaleSheetLayoutView="43" workbookViewId="0">
      <selection activeCell="F94" sqref="F94:BUB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900" ht="35.1" customHeight="1" x14ac:dyDescent="0.25">
      <c r="B1" s="141"/>
      <c r="C1" s="239" t="s">
        <v>3</v>
      </c>
      <c r="D1" s="239"/>
      <c r="E1" s="23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900"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900"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900"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900"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900"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900" ht="20.100000000000001" customHeight="1" thickBot="1" x14ac:dyDescent="0.3">
      <c r="B7" s="51"/>
      <c r="C7" s="240"/>
      <c r="D7" s="240"/>
      <c r="E7" s="24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900"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900" ht="30" customHeight="1" x14ac:dyDescent="0.25">
      <c r="B9" s="51"/>
      <c r="C9" s="9" t="s">
        <v>9</v>
      </c>
      <c r="D9" s="114"/>
      <c r="E9" s="10" t="s">
        <v>10</v>
      </c>
      <c r="F9" s="11"/>
      <c r="G9" s="243" t="str">
        <f>E96</f>
        <v>90h 40 min</v>
      </c>
      <c r="H9" s="243"/>
      <c r="I9" s="243"/>
      <c r="J9" s="243"/>
      <c r="K9" s="243"/>
      <c r="L9" s="243"/>
      <c r="M9" s="243"/>
      <c r="N9" s="243"/>
      <c r="O9" s="243"/>
      <c r="P9" s="243"/>
      <c r="Q9" s="243"/>
      <c r="R9" s="243"/>
      <c r="S9" s="243"/>
      <c r="T9" s="243"/>
      <c r="U9" s="243"/>
      <c r="V9" s="94"/>
      <c r="W9" s="244" t="s">
        <v>11</v>
      </c>
      <c r="X9" s="244"/>
      <c r="Y9" s="244"/>
      <c r="Z9" s="244"/>
      <c r="AA9" s="244"/>
      <c r="AB9" s="244"/>
      <c r="AC9" s="244"/>
      <c r="AD9" s="244"/>
      <c r="AE9" s="244"/>
      <c r="AF9" s="244"/>
      <c r="AG9" s="244"/>
      <c r="AH9" s="243" t="str">
        <f>E98</f>
        <v>92h 5 min</v>
      </c>
      <c r="AI9" s="243"/>
      <c r="AJ9" s="243"/>
      <c r="AK9" s="243"/>
      <c r="AL9" s="243"/>
      <c r="AM9" s="243"/>
      <c r="AN9" s="243"/>
      <c r="AO9" s="243"/>
      <c r="AP9" s="243"/>
      <c r="AQ9" s="243"/>
      <c r="AR9" s="243"/>
      <c r="AS9" s="243"/>
      <c r="AT9" s="243"/>
      <c r="AU9" s="243"/>
      <c r="AV9" s="243"/>
      <c r="AW9" s="24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900"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75"/>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219"/>
      <c r="BHG10" s="219"/>
      <c r="BHH10" s="219"/>
      <c r="BHI10" s="219"/>
      <c r="BHJ10" s="219"/>
      <c r="BHK10" s="219"/>
      <c r="BHL10" s="219"/>
      <c r="BHM10" s="219"/>
      <c r="BHN10" s="219"/>
      <c r="BHO10" s="219"/>
      <c r="BHP10" s="219"/>
      <c r="BHQ10" s="219"/>
      <c r="BHR10" s="219"/>
      <c r="BHS10" s="219"/>
      <c r="BHT10" s="219"/>
      <c r="BHU10" s="219"/>
      <c r="BHV10" s="219"/>
      <c r="BHW10" s="219"/>
      <c r="BHX10" s="219"/>
      <c r="BHY10" s="219"/>
      <c r="BHZ10" s="219"/>
      <c r="BIA10" s="219"/>
      <c r="BIB10" s="219"/>
      <c r="BIC10" s="219"/>
      <c r="BID10" s="219"/>
      <c r="BIE10" s="219"/>
      <c r="BIF10" s="219"/>
      <c r="BIG10" s="219"/>
      <c r="BIH10" s="219"/>
      <c r="BII10" s="219"/>
      <c r="BIJ10" s="219"/>
      <c r="BIK10" s="219"/>
      <c r="BIL10" s="219"/>
      <c r="BIM10" s="219"/>
      <c r="BIN10" s="219"/>
      <c r="BIO10" s="219"/>
      <c r="BIP10" s="219"/>
      <c r="BIQ10" s="219"/>
      <c r="BIR10" s="219"/>
      <c r="BIS10" s="219"/>
      <c r="BIT10" s="219"/>
      <c r="BIU10" s="219"/>
      <c r="BIV10" s="219"/>
      <c r="BIW10" s="219"/>
      <c r="BIX10" s="219"/>
      <c r="BIY10" s="219"/>
      <c r="BIZ10" s="219"/>
      <c r="BJA10" s="219"/>
      <c r="BJB10" s="219"/>
      <c r="BJC10" s="219"/>
      <c r="BJD10" s="219"/>
      <c r="BJE10" s="219"/>
      <c r="BJF10" s="219"/>
      <c r="BJG10" s="219"/>
      <c r="BJH10" s="219"/>
      <c r="BJI10" s="219"/>
      <c r="BJJ10" s="219"/>
      <c r="BJK10" s="219"/>
      <c r="BJL10" s="219"/>
      <c r="BJM10" s="219"/>
      <c r="BJN10" s="219"/>
      <c r="BJO10" s="219"/>
      <c r="BJP10" s="219"/>
      <c r="BJQ10" s="219"/>
      <c r="BJR10" s="219"/>
      <c r="BJS10" s="219"/>
      <c r="BJT10" s="219"/>
      <c r="BJU10" s="219"/>
      <c r="BJV10" s="219"/>
      <c r="BJW10" s="219"/>
      <c r="BJX10" s="219"/>
      <c r="BJY10" s="219"/>
      <c r="BJZ10" s="219"/>
      <c r="BKA10" s="219"/>
      <c r="BKB10" s="219"/>
      <c r="BKC10" s="219"/>
      <c r="BKD10" s="219"/>
      <c r="BKE10" s="219"/>
      <c r="BKF10" s="219"/>
      <c r="BKG10" s="219"/>
      <c r="BKH10" s="219"/>
      <c r="BKI10" s="219"/>
      <c r="BKJ10" s="219"/>
      <c r="BKK10" s="219"/>
      <c r="BKL10" s="219"/>
      <c r="BKM10" s="219"/>
      <c r="BKN10" s="219"/>
      <c r="BKO10" s="219"/>
      <c r="BKP10" s="219"/>
      <c r="BKQ10" s="219"/>
      <c r="BKR10" s="219"/>
      <c r="BKS10" s="219"/>
      <c r="BKT10" s="219"/>
      <c r="BKU10" s="219"/>
      <c r="BKV10" s="219"/>
      <c r="BKW10" s="219"/>
      <c r="BKX10" s="219"/>
      <c r="BKY10" s="219"/>
      <c r="BKZ10" s="219"/>
      <c r="BLA10" s="219"/>
      <c r="BLB10" s="219"/>
      <c r="BLC10" s="219"/>
      <c r="BLD10" s="219"/>
      <c r="BLE10" s="219"/>
      <c r="BLF10" s="219"/>
      <c r="BLG10" s="219"/>
      <c r="BLH10" s="219"/>
      <c r="BLI10" s="219"/>
      <c r="BLJ10" s="219"/>
      <c r="BLK10" s="219"/>
      <c r="BLL10" s="219"/>
      <c r="BLM10" s="219"/>
      <c r="BLN10" s="219"/>
      <c r="BLO10" s="219"/>
      <c r="BLP10" s="219"/>
      <c r="BLQ10" s="219"/>
      <c r="BLR10" s="219"/>
      <c r="BLS10" s="219"/>
      <c r="BLT10" s="219"/>
      <c r="BLU10" s="219"/>
      <c r="BLV10" s="219"/>
      <c r="BLW10" s="219"/>
      <c r="BLX10" s="219"/>
      <c r="BLY10" s="219"/>
      <c r="BLZ10" s="219"/>
      <c r="BMA10" s="219"/>
      <c r="BMB10" s="219"/>
      <c r="BMC10" s="219"/>
      <c r="BMD10" s="219"/>
      <c r="BME10" s="219"/>
      <c r="BMF10" s="219"/>
      <c r="BMG10" s="219"/>
      <c r="BMH10" s="219"/>
      <c r="BMI10" s="219"/>
      <c r="BMJ10" s="219"/>
      <c r="BMK10" s="219"/>
      <c r="BML10" s="219"/>
      <c r="BMM10" s="219"/>
      <c r="BMN10" s="219"/>
      <c r="BMO10" s="219"/>
      <c r="BMP10" s="219"/>
      <c r="BMQ10" s="219"/>
      <c r="BMR10" s="219"/>
      <c r="BMS10" s="219"/>
      <c r="BMT10" s="219"/>
      <c r="BMU10" s="219"/>
      <c r="BMV10" s="219"/>
      <c r="BMW10" s="219"/>
      <c r="BMX10" s="219"/>
      <c r="BMY10" s="219"/>
      <c r="BMZ10" s="219"/>
      <c r="BNA10" s="219"/>
      <c r="BNB10" s="219"/>
      <c r="BNC10" s="219"/>
      <c r="BND10" s="219"/>
      <c r="BNE10" s="219"/>
      <c r="BNF10" s="219"/>
      <c r="BNG10" s="219"/>
      <c r="BNH10" s="219"/>
      <c r="BNI10" s="219"/>
      <c r="BNJ10" s="219"/>
      <c r="BNK10" s="219"/>
      <c r="BNL10" s="219"/>
      <c r="BNM10" s="219"/>
      <c r="BNN10" s="219"/>
      <c r="BNO10" s="219"/>
      <c r="BNP10" s="219"/>
      <c r="BNQ10" s="219"/>
      <c r="BNR10" s="219"/>
      <c r="BNS10" s="219"/>
      <c r="BNT10" s="219"/>
      <c r="BNU10" s="219"/>
      <c r="BNV10" s="219"/>
      <c r="BNW10" s="219"/>
      <c r="BNX10" s="219"/>
      <c r="BNY10" s="219"/>
      <c r="BNZ10" s="219"/>
      <c r="BOA10" s="219"/>
      <c r="BOB10" s="219"/>
      <c r="BOC10" s="219"/>
      <c r="BOD10" s="219"/>
      <c r="BOE10" s="219"/>
      <c r="BOF10" s="219"/>
      <c r="BOG10" s="219"/>
      <c r="BOH10" s="219"/>
      <c r="BOI10" s="219"/>
      <c r="BOJ10" s="219"/>
      <c r="BOK10" s="219"/>
      <c r="BOL10" s="219"/>
      <c r="BOM10" s="219"/>
      <c r="BON10" s="219"/>
      <c r="BOO10" s="219"/>
      <c r="BOP10" s="219"/>
      <c r="BOQ10" s="219"/>
      <c r="BOR10" s="219"/>
      <c r="BOS10" s="219"/>
      <c r="BOT10" s="219"/>
      <c r="BOU10" s="219"/>
      <c r="BOV10" s="219"/>
      <c r="BOW10" s="219"/>
      <c r="BOX10" s="219"/>
      <c r="BOY10" s="219"/>
      <c r="BOZ10" s="219"/>
      <c r="BPA10" s="219"/>
      <c r="BPB10" s="219"/>
      <c r="BPC10" s="219"/>
      <c r="BPD10" s="219"/>
      <c r="BPE10" s="219"/>
      <c r="BPF10" s="219"/>
      <c r="BPG10" s="219"/>
      <c r="BPH10" s="219"/>
      <c r="BPI10" s="219"/>
      <c r="BPJ10" s="219"/>
      <c r="BPK10" s="219"/>
      <c r="BPL10" s="219"/>
      <c r="BPM10" s="219"/>
      <c r="BPN10" s="219"/>
      <c r="BPO10" s="219"/>
      <c r="BPP10" s="219"/>
      <c r="BPQ10" s="219"/>
      <c r="BPR10" s="219"/>
      <c r="BPS10" s="219"/>
      <c r="BPT10" s="219"/>
      <c r="BPU10" s="219"/>
      <c r="BPV10" s="219"/>
      <c r="BPW10" s="219"/>
      <c r="BPX10" s="219"/>
      <c r="BPY10" s="219"/>
      <c r="BPZ10" s="219"/>
      <c r="BQA10" s="219"/>
      <c r="BQB10" s="219"/>
      <c r="BQC10" s="219"/>
      <c r="BQD10" s="219"/>
      <c r="BQE10" s="219"/>
      <c r="BQF10" s="219"/>
      <c r="BQG10" s="219"/>
      <c r="BQH10" s="219"/>
      <c r="BQI10" s="219"/>
      <c r="BQJ10" s="219"/>
      <c r="BQK10" s="219"/>
      <c r="BQL10" s="219"/>
      <c r="BQM10" s="219"/>
      <c r="BQN10" s="219"/>
      <c r="BQO10" s="219"/>
      <c r="BQP10" s="219"/>
      <c r="BQQ10" s="219"/>
      <c r="BQR10" s="219"/>
      <c r="BQS10" s="219"/>
      <c r="BQT10" s="219"/>
      <c r="BQU10" s="219"/>
      <c r="BQV10" s="219"/>
      <c r="BQW10" s="219"/>
      <c r="BQX10" s="219"/>
      <c r="BQY10" s="219"/>
      <c r="BQZ10" s="219"/>
      <c r="BRA10" s="219"/>
      <c r="BRB10" s="219"/>
      <c r="BRC10" s="219"/>
      <c r="BRD10" s="219"/>
      <c r="BRE10" s="219"/>
      <c r="BRF10" s="219"/>
      <c r="BRG10" s="219"/>
      <c r="BRH10" s="219"/>
      <c r="BRI10" s="219"/>
      <c r="BRJ10" s="219"/>
      <c r="BRK10" s="219"/>
      <c r="BRL10" s="219"/>
      <c r="BRM10" s="219"/>
      <c r="BRN10" s="219"/>
      <c r="BRO10" s="219"/>
      <c r="BRP10" s="219"/>
      <c r="BRQ10" s="219"/>
      <c r="BRR10" s="219"/>
      <c r="BRS10" s="219"/>
      <c r="BRT10" s="219"/>
      <c r="BRU10" s="219"/>
      <c r="BRV10" s="219"/>
      <c r="BRW10" s="219"/>
      <c r="BRX10" s="219"/>
      <c r="BRY10" s="219"/>
      <c r="BRZ10" s="219"/>
      <c r="BSA10" s="219"/>
      <c r="BSB10" s="219"/>
      <c r="BSC10" s="219"/>
      <c r="BSD10" s="219"/>
      <c r="BSE10" s="219"/>
      <c r="BSF10" s="219"/>
      <c r="BSG10" s="219"/>
      <c r="BSH10" s="219"/>
      <c r="BSI10" s="219"/>
      <c r="BSJ10" s="219"/>
      <c r="BSK10" s="219"/>
      <c r="BSL10" s="219"/>
      <c r="BSM10" s="219"/>
      <c r="BSN10" s="219"/>
      <c r="BSO10" s="219"/>
      <c r="BSP10" s="219"/>
      <c r="BSQ10" s="219"/>
      <c r="BSR10" s="219"/>
      <c r="BSS10" s="219"/>
      <c r="BST10" s="73"/>
    </row>
    <row r="11" spans="1:1900" s="71" customFormat="1" ht="20.100000000000001" customHeight="1" x14ac:dyDescent="0.25">
      <c r="A11" s="146"/>
      <c r="B11" s="142"/>
      <c r="C11" s="230"/>
      <c r="D11" s="230"/>
      <c r="E11" s="230"/>
      <c r="F11" s="220" t="s">
        <v>72</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72</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20" t="s">
        <v>71</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71</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68</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68</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65</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65</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151</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151</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148</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148</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145</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145</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142</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142</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139</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139</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136</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136</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133</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133</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64</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64</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61</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61</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220" t="s">
        <v>58</v>
      </c>
      <c r="BHG11" s="220"/>
      <c r="BHH11" s="220"/>
      <c r="BHI11" s="220"/>
      <c r="BHJ11" s="220"/>
      <c r="BHK11" s="220"/>
      <c r="BHL11" s="220"/>
      <c r="BHM11" s="220"/>
      <c r="BHN11" s="220"/>
      <c r="BHO11" s="220"/>
      <c r="BHP11" s="220"/>
      <c r="BHQ11" s="220"/>
      <c r="BHR11" s="220"/>
      <c r="BHS11" s="220"/>
      <c r="BHT11" s="220"/>
      <c r="BHU11" s="220"/>
      <c r="BHV11" s="220"/>
      <c r="BHW11" s="220"/>
      <c r="BHX11" s="220"/>
      <c r="BHY11" s="220"/>
      <c r="BHZ11" s="220"/>
      <c r="BIA11" s="220"/>
      <c r="BIB11" s="220"/>
      <c r="BIC11" s="220"/>
      <c r="BID11" s="220"/>
      <c r="BIE11" s="220"/>
      <c r="BIF11" s="220"/>
      <c r="BIG11" s="220"/>
      <c r="BIH11" s="220"/>
      <c r="BII11" s="220"/>
      <c r="BIJ11" s="220"/>
      <c r="BIK11" s="220"/>
      <c r="BIL11" s="220"/>
      <c r="BIM11" s="220"/>
      <c r="BIN11" s="220"/>
      <c r="BIO11" s="220"/>
      <c r="BIP11" s="220"/>
      <c r="BIQ11" s="220"/>
      <c r="BIR11" s="220"/>
      <c r="BIS11" s="220"/>
      <c r="BIT11" s="220"/>
      <c r="BIU11" s="220"/>
      <c r="BIV11" s="220"/>
      <c r="BIW11" s="220"/>
      <c r="BIX11" s="220"/>
      <c r="BIY11" s="220"/>
      <c r="BIZ11" s="220"/>
      <c r="BJA11" s="220"/>
      <c r="BJB11" s="220"/>
      <c r="BJC11" s="220"/>
      <c r="BJD11" s="220"/>
      <c r="BJE11" s="220"/>
      <c r="BJF11" s="220"/>
      <c r="BJG11" s="220"/>
      <c r="BJH11" s="220"/>
      <c r="BJI11" s="220"/>
      <c r="BJJ11" s="220"/>
      <c r="BJK11" s="220"/>
      <c r="BJL11" s="220"/>
      <c r="BJM11" s="220"/>
      <c r="BJN11" s="220" t="s">
        <v>58</v>
      </c>
      <c r="BJO11" s="220"/>
      <c r="BJP11" s="220"/>
      <c r="BJQ11" s="220"/>
      <c r="BJR11" s="220"/>
      <c r="BJS11" s="220"/>
      <c r="BJT11" s="220"/>
      <c r="BJU11" s="220"/>
      <c r="BJV11" s="220"/>
      <c r="BJW11" s="220"/>
      <c r="BJX11" s="220"/>
      <c r="BJY11" s="220"/>
      <c r="BJZ11" s="220"/>
      <c r="BKA11" s="220"/>
      <c r="BKB11" s="220"/>
      <c r="BKC11" s="220"/>
      <c r="BKD11" s="220"/>
      <c r="BKE11" s="220"/>
      <c r="BKF11" s="220"/>
      <c r="BKG11" s="220"/>
      <c r="BKH11" s="220"/>
      <c r="BKI11" s="220"/>
      <c r="BKJ11" s="220"/>
      <c r="BKK11" s="220"/>
      <c r="BKL11" s="220"/>
      <c r="BKM11" s="220"/>
      <c r="BKN11" s="220"/>
      <c r="BKO11" s="220"/>
      <c r="BKP11" s="220"/>
      <c r="BKQ11" s="220"/>
      <c r="BKR11" s="220"/>
      <c r="BKS11" s="220"/>
      <c r="BKT11" s="220"/>
      <c r="BKU11" s="220"/>
      <c r="BKV11" s="220"/>
      <c r="BKW11" s="220"/>
      <c r="BKX11" s="220"/>
      <c r="BKY11" s="220"/>
      <c r="BKZ11" s="220"/>
      <c r="BLA11" s="220"/>
      <c r="BLB11" s="220"/>
      <c r="BLC11" s="220"/>
      <c r="BLD11" s="220"/>
      <c r="BLE11" s="220"/>
      <c r="BLF11" s="220"/>
      <c r="BLG11" s="220"/>
      <c r="BLH11" s="220"/>
      <c r="BLI11" s="220"/>
      <c r="BLJ11" s="220"/>
      <c r="BLK11" s="220"/>
      <c r="BLL11" s="220"/>
      <c r="BLM11" s="220"/>
      <c r="BLN11" s="220"/>
      <c r="BLO11" s="220"/>
      <c r="BLP11" s="220"/>
      <c r="BLQ11" s="220"/>
      <c r="BLR11" s="220"/>
      <c r="BLS11" s="220"/>
      <c r="BLT11" s="220"/>
      <c r="BLU11" s="220"/>
      <c r="BLV11" s="220"/>
      <c r="BLW11" s="220"/>
      <c r="BLX11" s="220"/>
      <c r="BLY11" s="220"/>
      <c r="BLZ11" s="220"/>
      <c r="BMA11" s="220"/>
      <c r="BMB11" s="220"/>
      <c r="BMC11" s="220"/>
      <c r="BMD11" s="220"/>
      <c r="BME11" s="220"/>
      <c r="BMF11" s="220"/>
      <c r="BMG11" s="220"/>
      <c r="BMH11" s="220"/>
      <c r="BMI11" s="220"/>
      <c r="BMJ11" s="220"/>
      <c r="BMK11" s="220"/>
      <c r="BML11" s="220"/>
      <c r="BMM11" s="220"/>
      <c r="BMN11" s="220"/>
      <c r="BMO11" s="220"/>
      <c r="BMP11" s="220"/>
      <c r="BMQ11" s="220"/>
      <c r="BMR11" s="220"/>
      <c r="BMS11" s="220"/>
      <c r="BMT11" s="220"/>
      <c r="BMU11" s="220"/>
      <c r="BMV11" s="220"/>
      <c r="BMW11" s="220"/>
      <c r="BMX11" s="220"/>
      <c r="BMY11" s="220"/>
      <c r="BMZ11" s="220"/>
      <c r="BNA11" s="220"/>
      <c r="BNB11" s="220"/>
      <c r="BNC11" s="220"/>
      <c r="BND11" s="220"/>
      <c r="BNE11" s="220"/>
      <c r="BNF11" s="220"/>
      <c r="BNG11" s="220"/>
      <c r="BNH11" s="220"/>
      <c r="BNI11" s="220"/>
      <c r="BNJ11" s="220"/>
      <c r="BNK11" s="220"/>
      <c r="BNL11" s="220"/>
      <c r="BNM11" s="220"/>
      <c r="BNN11" s="220"/>
      <c r="BNO11" s="220"/>
      <c r="BNP11" s="220"/>
      <c r="BNQ11" s="220"/>
      <c r="BNR11" s="220"/>
      <c r="BNS11" s="220"/>
      <c r="BNT11" s="220"/>
      <c r="BNU11" s="220"/>
      <c r="BNV11" s="220"/>
      <c r="BNW11" s="220"/>
      <c r="BNX11" s="220"/>
      <c r="BNY11" s="220"/>
      <c r="BNZ11" s="220"/>
      <c r="BOA11" s="220"/>
      <c r="BOB11" s="220"/>
      <c r="BOC11" s="220"/>
      <c r="BOD11" s="220"/>
      <c r="BOE11" s="220"/>
      <c r="BOF11" s="220"/>
      <c r="BOG11" s="220"/>
      <c r="BOH11" s="220"/>
      <c r="BOI11" s="220"/>
      <c r="BOJ11" s="220"/>
      <c r="BOK11" s="220"/>
      <c r="BOL11" s="220"/>
      <c r="BOM11" s="220"/>
      <c r="BON11" s="220"/>
      <c r="BOO11" s="220"/>
      <c r="BOP11" s="220"/>
      <c r="BOQ11" s="220"/>
      <c r="BOR11" s="220"/>
      <c r="BOS11" s="220"/>
      <c r="BOT11" s="220"/>
      <c r="BOU11" s="220"/>
      <c r="BOV11" s="220"/>
      <c r="BOW11" s="220"/>
      <c r="BOX11" s="220"/>
      <c r="BOY11" s="220"/>
      <c r="BOZ11" s="220"/>
      <c r="BPA11" s="220"/>
      <c r="BPB11" s="220"/>
      <c r="BPC11" s="220"/>
      <c r="BPD11" s="220"/>
      <c r="BPE11" s="220"/>
      <c r="BPF11" s="220"/>
      <c r="BPG11" s="220"/>
      <c r="BPH11" s="220"/>
      <c r="BPI11" s="220"/>
      <c r="BPJ11" s="220"/>
      <c r="BPK11" s="220"/>
      <c r="BPL11" s="220"/>
      <c r="BPM11" s="220"/>
      <c r="BPN11" s="220"/>
      <c r="BPO11" s="220"/>
      <c r="BPP11" s="220"/>
      <c r="BPQ11" s="220"/>
      <c r="BPR11" s="220"/>
      <c r="BPS11" s="220"/>
      <c r="BPT11" s="220"/>
      <c r="BPU11" s="220"/>
      <c r="BPV11" s="220"/>
      <c r="BPW11" s="220"/>
      <c r="BPX11" s="220"/>
      <c r="BPY11" s="220"/>
      <c r="BPZ11" s="220"/>
      <c r="BQA11" s="220"/>
      <c r="BQB11" s="220"/>
      <c r="BQC11" s="220"/>
      <c r="BQD11" s="220"/>
      <c r="BQE11" s="220"/>
      <c r="BQF11" s="220"/>
      <c r="BQG11" s="220"/>
      <c r="BQH11" s="220"/>
      <c r="BQI11" s="220"/>
      <c r="BQJ11" s="220"/>
      <c r="BQK11" s="220"/>
      <c r="BQL11" s="220"/>
      <c r="BQM11" s="220"/>
      <c r="BQN11" s="220"/>
      <c r="BQO11" s="220"/>
      <c r="BQP11" s="220"/>
      <c r="BQQ11" s="220"/>
      <c r="BQR11" s="220"/>
      <c r="BQS11" s="220"/>
      <c r="BQT11" s="220"/>
      <c r="BQU11" s="220"/>
      <c r="BQV11" s="220"/>
      <c r="BQW11" s="220"/>
      <c r="BQX11" s="220"/>
      <c r="BQY11" s="220"/>
      <c r="BQZ11" s="220"/>
      <c r="BRA11" s="220"/>
      <c r="BRB11" s="220"/>
      <c r="BRC11" s="220"/>
      <c r="BRD11" s="220"/>
      <c r="BRE11" s="220"/>
      <c r="BRF11" s="220"/>
      <c r="BRG11" s="220"/>
      <c r="BRH11" s="220"/>
      <c r="BRI11" s="220"/>
      <c r="BRJ11" s="220"/>
      <c r="BRK11" s="220"/>
      <c r="BRL11" s="220"/>
      <c r="BRM11" s="220"/>
      <c r="BRN11" s="220"/>
      <c r="BRO11" s="220"/>
      <c r="BRP11" s="220"/>
      <c r="BRQ11" s="220"/>
      <c r="BRR11" s="220"/>
      <c r="BRS11" s="220"/>
      <c r="BRT11" s="220"/>
      <c r="BRU11" s="220"/>
      <c r="BRV11" s="220"/>
      <c r="BRW11" s="220"/>
      <c r="BRX11" s="220"/>
      <c r="BRY11" s="220"/>
      <c r="BRZ11" s="220"/>
      <c r="BSA11" s="220"/>
      <c r="BSB11" s="220"/>
      <c r="BSC11" s="220"/>
      <c r="BSD11" s="220"/>
      <c r="BSE11" s="220"/>
      <c r="BSF11" s="220"/>
      <c r="BSG11" s="220"/>
      <c r="BSH11" s="220"/>
      <c r="BSI11" s="220"/>
      <c r="BSJ11" s="220"/>
      <c r="BSK11" s="220"/>
      <c r="BSL11" s="220"/>
      <c r="BSM11" s="220"/>
      <c r="BSN11" s="220"/>
      <c r="BSO11" s="220"/>
      <c r="BSP11" s="220"/>
      <c r="BSQ11" s="220"/>
      <c r="BSR11" s="220"/>
      <c r="BSS11" s="220"/>
      <c r="BST11" s="73"/>
    </row>
    <row r="12" spans="1:1900" ht="49.5" customHeight="1" thickBot="1" x14ac:dyDescent="0.3">
      <c r="B12" s="143"/>
      <c r="C12" s="231"/>
      <c r="D12" s="231"/>
      <c r="E12" s="231"/>
      <c r="F12" s="241" t="s">
        <v>56</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55</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7" t="s">
        <v>56</v>
      </c>
      <c r="DW12" s="227"/>
      <c r="DX12" s="227"/>
      <c r="DY12" s="227"/>
      <c r="DZ12" s="227"/>
      <c r="EA12" s="227"/>
      <c r="EB12" s="227"/>
      <c r="EC12" s="227"/>
      <c r="ED12" s="227"/>
      <c r="EE12" s="227"/>
      <c r="EF12" s="227"/>
      <c r="EG12" s="227"/>
      <c r="EH12" s="227"/>
      <c r="EI12" s="227"/>
      <c r="EJ12" s="227"/>
      <c r="EK12" s="227"/>
      <c r="EL12" s="227"/>
      <c r="EM12" s="227"/>
      <c r="EN12" s="227"/>
      <c r="EO12" s="227"/>
      <c r="EP12" s="227"/>
      <c r="EQ12" s="227"/>
      <c r="ER12" s="227"/>
      <c r="ES12" s="227"/>
      <c r="ET12" s="227"/>
      <c r="EU12" s="227"/>
      <c r="EV12" s="227"/>
      <c r="EW12" s="227"/>
      <c r="EX12" s="227"/>
      <c r="EY12" s="227"/>
      <c r="EZ12" s="227"/>
      <c r="FA12" s="227"/>
      <c r="FB12" s="227"/>
      <c r="FC12" s="227"/>
      <c r="FD12" s="227"/>
      <c r="FE12" s="227"/>
      <c r="FF12" s="227"/>
      <c r="FG12" s="227"/>
      <c r="FH12" s="227"/>
      <c r="FI12" s="227"/>
      <c r="FJ12" s="227"/>
      <c r="FK12" s="227"/>
      <c r="FL12" s="227"/>
      <c r="FM12" s="227"/>
      <c r="FN12" s="227"/>
      <c r="FO12" s="227"/>
      <c r="FP12" s="227"/>
      <c r="FQ12" s="227"/>
      <c r="FR12" s="227"/>
      <c r="FS12" s="227"/>
      <c r="FT12" s="227"/>
      <c r="FU12" s="227"/>
      <c r="FV12" s="227"/>
      <c r="FW12" s="227"/>
      <c r="FX12" s="227"/>
      <c r="FY12" s="227"/>
      <c r="FZ12" s="227"/>
      <c r="GA12" s="227"/>
      <c r="GB12" s="227"/>
      <c r="GC12" s="227"/>
      <c r="GD12" s="221" t="s">
        <v>55</v>
      </c>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t="s">
        <v>56</v>
      </c>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t="s">
        <v>55</v>
      </c>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t="s">
        <v>56</v>
      </c>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t="s">
        <v>55</v>
      </c>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t="s">
        <v>56</v>
      </c>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221"/>
      <c r="TW12" s="221"/>
      <c r="TX12" s="221"/>
      <c r="TY12" s="221"/>
      <c r="TZ12" s="221" t="s">
        <v>55</v>
      </c>
      <c r="UA12" s="221"/>
      <c r="UB12" s="221"/>
      <c r="UC12" s="221"/>
      <c r="UD12" s="221"/>
      <c r="UE12" s="221"/>
      <c r="UF12" s="221"/>
      <c r="UG12" s="221"/>
      <c r="UH12" s="221"/>
      <c r="UI12" s="221"/>
      <c r="UJ12" s="221"/>
      <c r="UK12" s="221"/>
      <c r="UL12" s="221"/>
      <c r="UM12" s="221"/>
      <c r="UN12" s="221"/>
      <c r="UO12" s="221"/>
      <c r="UP12" s="221"/>
      <c r="UQ12" s="221"/>
      <c r="UR12" s="221"/>
      <c r="US12" s="221"/>
      <c r="UT12" s="221"/>
      <c r="UU12" s="221"/>
      <c r="UV12" s="221"/>
      <c r="UW12" s="221"/>
      <c r="UX12" s="221"/>
      <c r="UY12" s="221"/>
      <c r="UZ12" s="221"/>
      <c r="VA12" s="221"/>
      <c r="VB12" s="221"/>
      <c r="VC12" s="221"/>
      <c r="VD12" s="221"/>
      <c r="VE12" s="221"/>
      <c r="VF12" s="221"/>
      <c r="VG12" s="221"/>
      <c r="VH12" s="221"/>
      <c r="VI12" s="221"/>
      <c r="VJ12" s="221"/>
      <c r="VK12" s="221"/>
      <c r="VL12" s="221"/>
      <c r="VM12" s="221"/>
      <c r="VN12" s="221"/>
      <c r="VO12" s="221"/>
      <c r="VP12" s="221"/>
      <c r="VQ12" s="221"/>
      <c r="VR12" s="221"/>
      <c r="VS12" s="221"/>
      <c r="VT12" s="221"/>
      <c r="VU12" s="221"/>
      <c r="VV12" s="221"/>
      <c r="VW12" s="221"/>
      <c r="VX12" s="221"/>
      <c r="VY12" s="221"/>
      <c r="VZ12" s="221"/>
      <c r="WA12" s="221"/>
      <c r="WB12" s="221"/>
      <c r="WC12" s="221"/>
      <c r="WD12" s="221"/>
      <c r="WE12" s="221"/>
      <c r="WF12" s="221"/>
      <c r="WG12" s="221"/>
      <c r="WH12" s="221" t="s">
        <v>56</v>
      </c>
      <c r="WI12" s="221"/>
      <c r="WJ12" s="221"/>
      <c r="WK12" s="221"/>
      <c r="WL12" s="221"/>
      <c r="WM12" s="221"/>
      <c r="WN12" s="221"/>
      <c r="WO12" s="221"/>
      <c r="WP12" s="221"/>
      <c r="WQ12" s="221"/>
      <c r="WR12" s="221"/>
      <c r="WS12" s="221"/>
      <c r="WT12" s="221"/>
      <c r="WU12" s="221"/>
      <c r="WV12" s="221"/>
      <c r="WW12" s="221"/>
      <c r="WX12" s="221"/>
      <c r="WY12" s="221"/>
      <c r="WZ12" s="221"/>
      <c r="XA12" s="221"/>
      <c r="XB12" s="221"/>
      <c r="XC12" s="221"/>
      <c r="XD12" s="221"/>
      <c r="XE12" s="221"/>
      <c r="XF12" s="221"/>
      <c r="XG12" s="221"/>
      <c r="XH12" s="221"/>
      <c r="XI12" s="221"/>
      <c r="XJ12" s="221"/>
      <c r="XK12" s="221"/>
      <c r="XL12" s="221"/>
      <c r="XM12" s="221"/>
      <c r="XN12" s="221"/>
      <c r="XO12" s="221"/>
      <c r="XP12" s="221"/>
      <c r="XQ12" s="221"/>
      <c r="XR12" s="221"/>
      <c r="XS12" s="221"/>
      <c r="XT12" s="221"/>
      <c r="XU12" s="221"/>
      <c r="XV12" s="221"/>
      <c r="XW12" s="221"/>
      <c r="XX12" s="221"/>
      <c r="XY12" s="221"/>
      <c r="XZ12" s="221"/>
      <c r="YA12" s="221"/>
      <c r="YB12" s="221"/>
      <c r="YC12" s="221"/>
      <c r="YD12" s="221"/>
      <c r="YE12" s="221"/>
      <c r="YF12" s="221"/>
      <c r="YG12" s="221"/>
      <c r="YH12" s="221"/>
      <c r="YI12" s="221"/>
      <c r="YJ12" s="221"/>
      <c r="YK12" s="221"/>
      <c r="YL12" s="221"/>
      <c r="YM12" s="221"/>
      <c r="YN12" s="221"/>
      <c r="YO12" s="221"/>
      <c r="YP12" s="221" t="s">
        <v>55</v>
      </c>
      <c r="YQ12" s="221"/>
      <c r="YR12" s="221"/>
      <c r="YS12" s="221"/>
      <c r="YT12" s="221"/>
      <c r="YU12" s="221"/>
      <c r="YV12" s="221"/>
      <c r="YW12" s="221"/>
      <c r="YX12" s="221"/>
      <c r="YY12" s="221"/>
      <c r="YZ12" s="221"/>
      <c r="ZA12" s="221"/>
      <c r="ZB12" s="221"/>
      <c r="ZC12" s="221"/>
      <c r="ZD12" s="221"/>
      <c r="ZE12" s="221"/>
      <c r="ZF12" s="221"/>
      <c r="ZG12" s="221"/>
      <c r="ZH12" s="221"/>
      <c r="ZI12" s="221"/>
      <c r="ZJ12" s="221"/>
      <c r="ZK12" s="221"/>
      <c r="ZL12" s="221"/>
      <c r="ZM12" s="221"/>
      <c r="ZN12" s="221"/>
      <c r="ZO12" s="221"/>
      <c r="ZP12" s="221"/>
      <c r="ZQ12" s="221"/>
      <c r="ZR12" s="221"/>
      <c r="ZS12" s="221"/>
      <c r="ZT12" s="221"/>
      <c r="ZU12" s="221"/>
      <c r="ZV12" s="221"/>
      <c r="ZW12" s="221"/>
      <c r="ZX12" s="221"/>
      <c r="ZY12" s="221"/>
      <c r="ZZ12" s="221"/>
      <c r="AAA12" s="221"/>
      <c r="AAB12" s="221"/>
      <c r="AAC12" s="221"/>
      <c r="AAD12" s="221"/>
      <c r="AAE12" s="221"/>
      <c r="AAF12" s="221"/>
      <c r="AAG12" s="221"/>
      <c r="AAH12" s="221"/>
      <c r="AAI12" s="221"/>
      <c r="AAJ12" s="221"/>
      <c r="AAK12" s="221"/>
      <c r="AAL12" s="221"/>
      <c r="AAM12" s="221"/>
      <c r="AAN12" s="221"/>
      <c r="AAO12" s="221"/>
      <c r="AAP12" s="221"/>
      <c r="AAQ12" s="221"/>
      <c r="AAR12" s="221"/>
      <c r="AAS12" s="221"/>
      <c r="AAT12" s="221"/>
      <c r="AAU12" s="221"/>
      <c r="AAV12" s="221"/>
      <c r="AAW12" s="221"/>
      <c r="AAX12" s="221" t="s">
        <v>56</v>
      </c>
      <c r="AAY12" s="221"/>
      <c r="AAZ12" s="221"/>
      <c r="ABA12" s="221"/>
      <c r="ABB12" s="221"/>
      <c r="ABC12" s="221"/>
      <c r="ABD12" s="221"/>
      <c r="ABE12" s="221"/>
      <c r="ABF12" s="221"/>
      <c r="ABG12" s="221"/>
      <c r="ABH12" s="221"/>
      <c r="ABI12" s="221"/>
      <c r="ABJ12" s="221"/>
      <c r="ABK12" s="221"/>
      <c r="ABL12" s="221"/>
      <c r="ABM12" s="221"/>
      <c r="ABN12" s="221"/>
      <c r="ABO12" s="221"/>
      <c r="ABP12" s="221"/>
      <c r="ABQ12" s="221"/>
      <c r="ABR12" s="221"/>
      <c r="ABS12" s="221"/>
      <c r="ABT12" s="221"/>
      <c r="ABU12" s="221"/>
      <c r="ABV12" s="221"/>
      <c r="ABW12" s="221"/>
      <c r="ABX12" s="221"/>
      <c r="ABY12" s="221"/>
      <c r="ABZ12" s="221"/>
      <c r="ACA12" s="221"/>
      <c r="ACB12" s="221"/>
      <c r="ACC12" s="221"/>
      <c r="ACD12" s="221"/>
      <c r="ACE12" s="221"/>
      <c r="ACF12" s="221"/>
      <c r="ACG12" s="221"/>
      <c r="ACH12" s="221"/>
      <c r="ACI12" s="221"/>
      <c r="ACJ12" s="221"/>
      <c r="ACK12" s="221"/>
      <c r="ACL12" s="221"/>
      <c r="ACM12" s="221"/>
      <c r="ACN12" s="221"/>
      <c r="ACO12" s="221"/>
      <c r="ACP12" s="221"/>
      <c r="ACQ12" s="221"/>
      <c r="ACR12" s="221"/>
      <c r="ACS12" s="221"/>
      <c r="ACT12" s="221"/>
      <c r="ACU12" s="221"/>
      <c r="ACV12" s="221"/>
      <c r="ACW12" s="221"/>
      <c r="ACX12" s="221"/>
      <c r="ACY12" s="221"/>
      <c r="ACZ12" s="221"/>
      <c r="ADA12" s="221"/>
      <c r="ADB12" s="221"/>
      <c r="ADC12" s="221"/>
      <c r="ADD12" s="221"/>
      <c r="ADE12" s="221"/>
      <c r="ADF12" s="221" t="s">
        <v>55</v>
      </c>
      <c r="ADG12" s="221"/>
      <c r="ADH12" s="221"/>
      <c r="ADI12" s="221"/>
      <c r="ADJ12" s="221"/>
      <c r="ADK12" s="221"/>
      <c r="ADL12" s="221"/>
      <c r="ADM12" s="221"/>
      <c r="ADN12" s="221"/>
      <c r="ADO12" s="221"/>
      <c r="ADP12" s="221"/>
      <c r="ADQ12" s="221"/>
      <c r="ADR12" s="221"/>
      <c r="ADS12" s="221"/>
      <c r="ADT12" s="221"/>
      <c r="ADU12" s="221"/>
      <c r="ADV12" s="221"/>
      <c r="ADW12" s="221"/>
      <c r="ADX12" s="221"/>
      <c r="ADY12" s="221"/>
      <c r="ADZ12" s="221"/>
      <c r="AEA12" s="221"/>
      <c r="AEB12" s="221"/>
      <c r="AEC12" s="221"/>
      <c r="AED12" s="221"/>
      <c r="AEE12" s="221"/>
      <c r="AEF12" s="221"/>
      <c r="AEG12" s="221"/>
      <c r="AEH12" s="221"/>
      <c r="AEI12" s="221"/>
      <c r="AEJ12" s="221"/>
      <c r="AEK12" s="221"/>
      <c r="AEL12" s="221"/>
      <c r="AEM12" s="221"/>
      <c r="AEN12" s="221"/>
      <c r="AEO12" s="221"/>
      <c r="AEP12" s="221"/>
      <c r="AEQ12" s="221"/>
      <c r="AER12" s="221"/>
      <c r="AES12" s="221"/>
      <c r="AET12" s="221"/>
      <c r="AEU12" s="221"/>
      <c r="AEV12" s="221"/>
      <c r="AEW12" s="221"/>
      <c r="AEX12" s="221"/>
      <c r="AEY12" s="221"/>
      <c r="AEZ12" s="221"/>
      <c r="AFA12" s="221"/>
      <c r="AFB12" s="221"/>
      <c r="AFC12" s="221"/>
      <c r="AFD12" s="221"/>
      <c r="AFE12" s="221"/>
      <c r="AFF12" s="221"/>
      <c r="AFG12" s="221"/>
      <c r="AFH12" s="221"/>
      <c r="AFI12" s="221"/>
      <c r="AFJ12" s="221"/>
      <c r="AFK12" s="221"/>
      <c r="AFL12" s="221"/>
      <c r="AFM12" s="221"/>
      <c r="AFN12" s="221" t="s">
        <v>56</v>
      </c>
      <c r="AFO12" s="221"/>
      <c r="AFP12" s="221"/>
      <c r="AFQ12" s="221"/>
      <c r="AFR12" s="221"/>
      <c r="AFS12" s="221"/>
      <c r="AFT12" s="221"/>
      <c r="AFU12" s="221"/>
      <c r="AFV12" s="221"/>
      <c r="AFW12" s="221"/>
      <c r="AFX12" s="221"/>
      <c r="AFY12" s="221"/>
      <c r="AFZ12" s="221"/>
      <c r="AGA12" s="221"/>
      <c r="AGB12" s="221"/>
      <c r="AGC12" s="221"/>
      <c r="AGD12" s="221"/>
      <c r="AGE12" s="221"/>
      <c r="AGF12" s="221"/>
      <c r="AGG12" s="221"/>
      <c r="AGH12" s="221"/>
      <c r="AGI12" s="221"/>
      <c r="AGJ12" s="221"/>
      <c r="AGK12" s="221"/>
      <c r="AGL12" s="221"/>
      <c r="AGM12" s="221"/>
      <c r="AGN12" s="221"/>
      <c r="AGO12" s="221"/>
      <c r="AGP12" s="221"/>
      <c r="AGQ12" s="221"/>
      <c r="AGR12" s="221"/>
      <c r="AGS12" s="221"/>
      <c r="AGT12" s="221"/>
      <c r="AGU12" s="221"/>
      <c r="AGV12" s="221"/>
      <c r="AGW12" s="221"/>
      <c r="AGX12" s="221"/>
      <c r="AGY12" s="221"/>
      <c r="AGZ12" s="221"/>
      <c r="AHA12" s="221"/>
      <c r="AHB12" s="221"/>
      <c r="AHC12" s="221"/>
      <c r="AHD12" s="221"/>
      <c r="AHE12" s="221"/>
      <c r="AHF12" s="221"/>
      <c r="AHG12" s="221"/>
      <c r="AHH12" s="221"/>
      <c r="AHI12" s="221"/>
      <c r="AHJ12" s="221"/>
      <c r="AHK12" s="221"/>
      <c r="AHL12" s="221"/>
      <c r="AHM12" s="221"/>
      <c r="AHN12" s="221"/>
      <c r="AHO12" s="221"/>
      <c r="AHP12" s="221"/>
      <c r="AHQ12" s="221"/>
      <c r="AHR12" s="221"/>
      <c r="AHS12" s="221"/>
      <c r="AHT12" s="221"/>
      <c r="AHU12" s="221"/>
      <c r="AHV12" s="221" t="s">
        <v>55</v>
      </c>
      <c r="AHW12" s="221"/>
      <c r="AHX12" s="221"/>
      <c r="AHY12" s="221"/>
      <c r="AHZ12" s="221"/>
      <c r="AIA12" s="221"/>
      <c r="AIB12" s="221"/>
      <c r="AIC12" s="221"/>
      <c r="AID12" s="221"/>
      <c r="AIE12" s="221"/>
      <c r="AIF12" s="221"/>
      <c r="AIG12" s="221"/>
      <c r="AIH12" s="221"/>
      <c r="AII12" s="221"/>
      <c r="AIJ12" s="221"/>
      <c r="AIK12" s="221"/>
      <c r="AIL12" s="221"/>
      <c r="AIM12" s="221"/>
      <c r="AIN12" s="221"/>
      <c r="AIO12" s="221"/>
      <c r="AIP12" s="221"/>
      <c r="AIQ12" s="221"/>
      <c r="AIR12" s="221"/>
      <c r="AIS12" s="221"/>
      <c r="AIT12" s="221"/>
      <c r="AIU12" s="221"/>
      <c r="AIV12" s="221"/>
      <c r="AIW12" s="221"/>
      <c r="AIX12" s="221"/>
      <c r="AIY12" s="221"/>
      <c r="AIZ12" s="221"/>
      <c r="AJA12" s="221"/>
      <c r="AJB12" s="221"/>
      <c r="AJC12" s="221"/>
      <c r="AJD12" s="221"/>
      <c r="AJE12" s="221"/>
      <c r="AJF12" s="221"/>
      <c r="AJG12" s="221"/>
      <c r="AJH12" s="221"/>
      <c r="AJI12" s="221"/>
      <c r="AJJ12" s="221"/>
      <c r="AJK12" s="221"/>
      <c r="AJL12" s="221"/>
      <c r="AJM12" s="221"/>
      <c r="AJN12" s="221"/>
      <c r="AJO12" s="221"/>
      <c r="AJP12" s="221"/>
      <c r="AJQ12" s="221"/>
      <c r="AJR12" s="221"/>
      <c r="AJS12" s="221"/>
      <c r="AJT12" s="221"/>
      <c r="AJU12" s="221"/>
      <c r="AJV12" s="221"/>
      <c r="AJW12" s="221"/>
      <c r="AJX12" s="221"/>
      <c r="AJY12" s="221"/>
      <c r="AJZ12" s="221"/>
      <c r="AKA12" s="221"/>
      <c r="AKB12" s="221"/>
      <c r="AKC12" s="221"/>
      <c r="AKD12" s="221" t="s">
        <v>56</v>
      </c>
      <c r="AKE12" s="221"/>
      <c r="AKF12" s="221"/>
      <c r="AKG12" s="221"/>
      <c r="AKH12" s="221"/>
      <c r="AKI12" s="221"/>
      <c r="AKJ12" s="221"/>
      <c r="AKK12" s="221"/>
      <c r="AKL12" s="221"/>
      <c r="AKM12" s="221"/>
      <c r="AKN12" s="221"/>
      <c r="AKO12" s="221"/>
      <c r="AKP12" s="221"/>
      <c r="AKQ12" s="221"/>
      <c r="AKR12" s="221"/>
      <c r="AKS12" s="221"/>
      <c r="AKT12" s="221"/>
      <c r="AKU12" s="221"/>
      <c r="AKV12" s="221"/>
      <c r="AKW12" s="221"/>
      <c r="AKX12" s="221"/>
      <c r="AKY12" s="221"/>
      <c r="AKZ12" s="221"/>
      <c r="ALA12" s="221"/>
      <c r="ALB12" s="221"/>
      <c r="ALC12" s="221"/>
      <c r="ALD12" s="221"/>
      <c r="ALE12" s="221"/>
      <c r="ALF12" s="221"/>
      <c r="ALG12" s="221"/>
      <c r="ALH12" s="221"/>
      <c r="ALI12" s="221"/>
      <c r="ALJ12" s="221"/>
      <c r="ALK12" s="221"/>
      <c r="ALL12" s="221"/>
      <c r="ALM12" s="221"/>
      <c r="ALN12" s="221"/>
      <c r="ALO12" s="221"/>
      <c r="ALP12" s="221"/>
      <c r="ALQ12" s="221"/>
      <c r="ALR12" s="221"/>
      <c r="ALS12" s="221"/>
      <c r="ALT12" s="221"/>
      <c r="ALU12" s="221"/>
      <c r="ALV12" s="221"/>
      <c r="ALW12" s="221"/>
      <c r="ALX12" s="221"/>
      <c r="ALY12" s="221"/>
      <c r="ALZ12" s="221"/>
      <c r="AMA12" s="221"/>
      <c r="AMB12" s="221"/>
      <c r="AMC12" s="221"/>
      <c r="AMD12" s="221"/>
      <c r="AME12" s="221"/>
      <c r="AMF12" s="221"/>
      <c r="AMG12" s="221"/>
      <c r="AMH12" s="221"/>
      <c r="AMI12" s="221"/>
      <c r="AMJ12" s="221"/>
      <c r="AMK12" s="221"/>
      <c r="AML12" s="221" t="s">
        <v>55</v>
      </c>
      <c r="AMM12" s="221"/>
      <c r="AMN12" s="221"/>
      <c r="AMO12" s="221"/>
      <c r="AMP12" s="221"/>
      <c r="AMQ12" s="221"/>
      <c r="AMR12" s="221"/>
      <c r="AMS12" s="221"/>
      <c r="AMT12" s="221"/>
      <c r="AMU12" s="221"/>
      <c r="AMV12" s="221"/>
      <c r="AMW12" s="221"/>
      <c r="AMX12" s="221"/>
      <c r="AMY12" s="221"/>
      <c r="AMZ12" s="221"/>
      <c r="ANA12" s="221"/>
      <c r="ANB12" s="221"/>
      <c r="ANC12" s="221"/>
      <c r="AND12" s="221"/>
      <c r="ANE12" s="221"/>
      <c r="ANF12" s="221"/>
      <c r="ANG12" s="221"/>
      <c r="ANH12" s="221"/>
      <c r="ANI12" s="221"/>
      <c r="ANJ12" s="221"/>
      <c r="ANK12" s="221"/>
      <c r="ANL12" s="221"/>
      <c r="ANM12" s="221"/>
      <c r="ANN12" s="221"/>
      <c r="ANO12" s="221"/>
      <c r="ANP12" s="221"/>
      <c r="ANQ12" s="221"/>
      <c r="ANR12" s="221"/>
      <c r="ANS12" s="221"/>
      <c r="ANT12" s="221"/>
      <c r="ANU12" s="221"/>
      <c r="ANV12" s="221"/>
      <c r="ANW12" s="221"/>
      <c r="ANX12" s="221"/>
      <c r="ANY12" s="221"/>
      <c r="ANZ12" s="221"/>
      <c r="AOA12" s="221"/>
      <c r="AOB12" s="221"/>
      <c r="AOC12" s="221"/>
      <c r="AOD12" s="221"/>
      <c r="AOE12" s="221"/>
      <c r="AOF12" s="221"/>
      <c r="AOG12" s="221"/>
      <c r="AOH12" s="221"/>
      <c r="AOI12" s="221"/>
      <c r="AOJ12" s="221"/>
      <c r="AOK12" s="221"/>
      <c r="AOL12" s="221"/>
      <c r="AOM12" s="221"/>
      <c r="AON12" s="221"/>
      <c r="AOO12" s="221"/>
      <c r="AOP12" s="221"/>
      <c r="AOQ12" s="221"/>
      <c r="AOR12" s="221"/>
      <c r="AOS12" s="221"/>
      <c r="AOT12" s="221" t="s">
        <v>56</v>
      </c>
      <c r="AOU12" s="221"/>
      <c r="AOV12" s="221"/>
      <c r="AOW12" s="221"/>
      <c r="AOX12" s="221"/>
      <c r="AOY12" s="221"/>
      <c r="AOZ12" s="221"/>
      <c r="APA12" s="221"/>
      <c r="APB12" s="221"/>
      <c r="APC12" s="221"/>
      <c r="APD12" s="221"/>
      <c r="APE12" s="221"/>
      <c r="APF12" s="221"/>
      <c r="APG12" s="221"/>
      <c r="APH12" s="221"/>
      <c r="API12" s="221"/>
      <c r="APJ12" s="221"/>
      <c r="APK12" s="221"/>
      <c r="APL12" s="221"/>
      <c r="APM12" s="221"/>
      <c r="APN12" s="221"/>
      <c r="APO12" s="221"/>
      <c r="APP12" s="221"/>
      <c r="APQ12" s="221"/>
      <c r="APR12" s="221"/>
      <c r="APS12" s="221"/>
      <c r="APT12" s="221"/>
      <c r="APU12" s="221"/>
      <c r="APV12" s="221"/>
      <c r="APW12" s="221"/>
      <c r="APX12" s="221"/>
      <c r="APY12" s="221"/>
      <c r="APZ12" s="221"/>
      <c r="AQA12" s="221"/>
      <c r="AQB12" s="221"/>
      <c r="AQC12" s="221"/>
      <c r="AQD12" s="221"/>
      <c r="AQE12" s="221"/>
      <c r="AQF12" s="221"/>
      <c r="AQG12" s="221"/>
      <c r="AQH12" s="221"/>
      <c r="AQI12" s="221"/>
      <c r="AQJ12" s="221"/>
      <c r="AQK12" s="221"/>
      <c r="AQL12" s="221"/>
      <c r="AQM12" s="221"/>
      <c r="AQN12" s="221"/>
      <c r="AQO12" s="221"/>
      <c r="AQP12" s="221"/>
      <c r="AQQ12" s="221"/>
      <c r="AQR12" s="221"/>
      <c r="AQS12" s="221"/>
      <c r="AQT12" s="221"/>
      <c r="AQU12" s="221"/>
      <c r="AQV12" s="221"/>
      <c r="AQW12" s="221"/>
      <c r="AQX12" s="221"/>
      <c r="AQY12" s="221"/>
      <c r="AQZ12" s="221"/>
      <c r="ARA12" s="221"/>
      <c r="ARB12" s="221" t="s">
        <v>55</v>
      </c>
      <c r="ARC12" s="221"/>
      <c r="ARD12" s="221"/>
      <c r="ARE12" s="221"/>
      <c r="ARF12" s="221"/>
      <c r="ARG12" s="221"/>
      <c r="ARH12" s="221"/>
      <c r="ARI12" s="221"/>
      <c r="ARJ12" s="221"/>
      <c r="ARK12" s="221"/>
      <c r="ARL12" s="221"/>
      <c r="ARM12" s="221"/>
      <c r="ARN12" s="221"/>
      <c r="ARO12" s="221"/>
      <c r="ARP12" s="221"/>
      <c r="ARQ12" s="221"/>
      <c r="ARR12" s="221"/>
      <c r="ARS12" s="221"/>
      <c r="ART12" s="221"/>
      <c r="ARU12" s="221"/>
      <c r="ARV12" s="221"/>
      <c r="ARW12" s="221"/>
      <c r="ARX12" s="221"/>
      <c r="ARY12" s="221"/>
      <c r="ARZ12" s="221"/>
      <c r="ASA12" s="221"/>
      <c r="ASB12" s="221"/>
      <c r="ASC12" s="221"/>
      <c r="ASD12" s="221"/>
      <c r="ASE12" s="221"/>
      <c r="ASF12" s="221"/>
      <c r="ASG12" s="221"/>
      <c r="ASH12" s="221"/>
      <c r="ASI12" s="221"/>
      <c r="ASJ12" s="221"/>
      <c r="ASK12" s="221"/>
      <c r="ASL12" s="221"/>
      <c r="ASM12" s="221"/>
      <c r="ASN12" s="221"/>
      <c r="ASO12" s="221"/>
      <c r="ASP12" s="221"/>
      <c r="ASQ12" s="221"/>
      <c r="ASR12" s="221"/>
      <c r="ASS12" s="221"/>
      <c r="AST12" s="221"/>
      <c r="ASU12" s="221"/>
      <c r="ASV12" s="221"/>
      <c r="ASW12" s="221"/>
      <c r="ASX12" s="221"/>
      <c r="ASY12" s="221"/>
      <c r="ASZ12" s="221"/>
      <c r="ATA12" s="221"/>
      <c r="ATB12" s="221"/>
      <c r="ATC12" s="221"/>
      <c r="ATD12" s="221"/>
      <c r="ATE12" s="221"/>
      <c r="ATF12" s="221"/>
      <c r="ATG12" s="221"/>
      <c r="ATH12" s="221"/>
      <c r="ATI12" s="221"/>
      <c r="ATJ12" s="221" t="s">
        <v>56</v>
      </c>
      <c r="ATK12" s="221"/>
      <c r="ATL12" s="221"/>
      <c r="ATM12" s="221"/>
      <c r="ATN12" s="221"/>
      <c r="ATO12" s="221"/>
      <c r="ATP12" s="221"/>
      <c r="ATQ12" s="221"/>
      <c r="ATR12" s="221"/>
      <c r="ATS12" s="221"/>
      <c r="ATT12" s="221"/>
      <c r="ATU12" s="221"/>
      <c r="ATV12" s="221"/>
      <c r="ATW12" s="221"/>
      <c r="ATX12" s="221"/>
      <c r="ATY12" s="221"/>
      <c r="ATZ12" s="221"/>
      <c r="AUA12" s="221"/>
      <c r="AUB12" s="221"/>
      <c r="AUC12" s="221"/>
      <c r="AUD12" s="221"/>
      <c r="AUE12" s="221"/>
      <c r="AUF12" s="221"/>
      <c r="AUG12" s="221"/>
      <c r="AUH12" s="221"/>
      <c r="AUI12" s="221"/>
      <c r="AUJ12" s="221"/>
      <c r="AUK12" s="221"/>
      <c r="AUL12" s="221"/>
      <c r="AUM12" s="221"/>
      <c r="AUN12" s="221"/>
      <c r="AUO12" s="221"/>
      <c r="AUP12" s="221"/>
      <c r="AUQ12" s="221"/>
      <c r="AUR12" s="221"/>
      <c r="AUS12" s="221"/>
      <c r="AUT12" s="221"/>
      <c r="AUU12" s="221"/>
      <c r="AUV12" s="221"/>
      <c r="AUW12" s="221"/>
      <c r="AUX12" s="221"/>
      <c r="AUY12" s="221"/>
      <c r="AUZ12" s="221"/>
      <c r="AVA12" s="221"/>
      <c r="AVB12" s="221"/>
      <c r="AVC12" s="221"/>
      <c r="AVD12" s="221"/>
      <c r="AVE12" s="221"/>
      <c r="AVF12" s="221"/>
      <c r="AVG12" s="221"/>
      <c r="AVH12" s="221"/>
      <c r="AVI12" s="221"/>
      <c r="AVJ12" s="221"/>
      <c r="AVK12" s="221"/>
      <c r="AVL12" s="221"/>
      <c r="AVM12" s="221"/>
      <c r="AVN12" s="221"/>
      <c r="AVO12" s="221"/>
      <c r="AVP12" s="221"/>
      <c r="AVQ12" s="221"/>
      <c r="AVR12" s="221" t="s">
        <v>55</v>
      </c>
      <c r="AVS12" s="221"/>
      <c r="AVT12" s="221"/>
      <c r="AVU12" s="221"/>
      <c r="AVV12" s="221"/>
      <c r="AVW12" s="221"/>
      <c r="AVX12" s="221"/>
      <c r="AVY12" s="221"/>
      <c r="AVZ12" s="221"/>
      <c r="AWA12" s="221"/>
      <c r="AWB12" s="221"/>
      <c r="AWC12" s="221"/>
      <c r="AWD12" s="221"/>
      <c r="AWE12" s="221"/>
      <c r="AWF12" s="221"/>
      <c r="AWG12" s="221"/>
      <c r="AWH12" s="221"/>
      <c r="AWI12" s="221"/>
      <c r="AWJ12" s="221"/>
      <c r="AWK12" s="221"/>
      <c r="AWL12" s="221"/>
      <c r="AWM12" s="221"/>
      <c r="AWN12" s="221"/>
      <c r="AWO12" s="221"/>
      <c r="AWP12" s="221"/>
      <c r="AWQ12" s="221"/>
      <c r="AWR12" s="221"/>
      <c r="AWS12" s="221"/>
      <c r="AWT12" s="221"/>
      <c r="AWU12" s="221"/>
      <c r="AWV12" s="221"/>
      <c r="AWW12" s="221"/>
      <c r="AWX12" s="221"/>
      <c r="AWY12" s="221"/>
      <c r="AWZ12" s="221"/>
      <c r="AXA12" s="221"/>
      <c r="AXB12" s="221"/>
      <c r="AXC12" s="221"/>
      <c r="AXD12" s="221"/>
      <c r="AXE12" s="221"/>
      <c r="AXF12" s="221"/>
      <c r="AXG12" s="221"/>
      <c r="AXH12" s="221"/>
      <c r="AXI12" s="221"/>
      <c r="AXJ12" s="221"/>
      <c r="AXK12" s="221"/>
      <c r="AXL12" s="221"/>
      <c r="AXM12" s="221"/>
      <c r="AXN12" s="221"/>
      <c r="AXO12" s="221"/>
      <c r="AXP12" s="221"/>
      <c r="AXQ12" s="221"/>
      <c r="AXR12" s="221"/>
      <c r="AXS12" s="221"/>
      <c r="AXT12" s="221"/>
      <c r="AXU12" s="221"/>
      <c r="AXV12" s="221"/>
      <c r="AXW12" s="221"/>
      <c r="AXX12" s="221"/>
      <c r="AXY12" s="221"/>
      <c r="AXZ12" s="221" t="s">
        <v>56</v>
      </c>
      <c r="AYA12" s="221"/>
      <c r="AYB12" s="221"/>
      <c r="AYC12" s="221"/>
      <c r="AYD12" s="221"/>
      <c r="AYE12" s="221"/>
      <c r="AYF12" s="221"/>
      <c r="AYG12" s="221"/>
      <c r="AYH12" s="221"/>
      <c r="AYI12" s="221"/>
      <c r="AYJ12" s="221"/>
      <c r="AYK12" s="221"/>
      <c r="AYL12" s="221"/>
      <c r="AYM12" s="221"/>
      <c r="AYN12" s="221"/>
      <c r="AYO12" s="221"/>
      <c r="AYP12" s="221"/>
      <c r="AYQ12" s="221"/>
      <c r="AYR12" s="221"/>
      <c r="AYS12" s="221"/>
      <c r="AYT12" s="221"/>
      <c r="AYU12" s="221"/>
      <c r="AYV12" s="221"/>
      <c r="AYW12" s="221"/>
      <c r="AYX12" s="221"/>
      <c r="AYY12" s="221"/>
      <c r="AYZ12" s="221"/>
      <c r="AZA12" s="221"/>
      <c r="AZB12" s="221"/>
      <c r="AZC12" s="221"/>
      <c r="AZD12" s="221"/>
      <c r="AZE12" s="221"/>
      <c r="AZF12" s="221"/>
      <c r="AZG12" s="221"/>
      <c r="AZH12" s="221"/>
      <c r="AZI12" s="221"/>
      <c r="AZJ12" s="221"/>
      <c r="AZK12" s="221"/>
      <c r="AZL12" s="221"/>
      <c r="AZM12" s="221"/>
      <c r="AZN12" s="221"/>
      <c r="AZO12" s="221"/>
      <c r="AZP12" s="221"/>
      <c r="AZQ12" s="221"/>
      <c r="AZR12" s="221"/>
      <c r="AZS12" s="221"/>
      <c r="AZT12" s="221"/>
      <c r="AZU12" s="221"/>
      <c r="AZV12" s="221"/>
      <c r="AZW12" s="221"/>
      <c r="AZX12" s="221"/>
      <c r="AZY12" s="221"/>
      <c r="AZZ12" s="221"/>
      <c r="BAA12" s="221"/>
      <c r="BAB12" s="221"/>
      <c r="BAC12" s="221"/>
      <c r="BAD12" s="221"/>
      <c r="BAE12" s="221"/>
      <c r="BAF12" s="221"/>
      <c r="BAG12" s="221"/>
      <c r="BAH12" s="221" t="s">
        <v>55</v>
      </c>
      <c r="BAI12" s="221"/>
      <c r="BAJ12" s="221"/>
      <c r="BAK12" s="221"/>
      <c r="BAL12" s="221"/>
      <c r="BAM12" s="221"/>
      <c r="BAN12" s="221"/>
      <c r="BAO12" s="221"/>
      <c r="BAP12" s="221"/>
      <c r="BAQ12" s="221"/>
      <c r="BAR12" s="221"/>
      <c r="BAS12" s="221"/>
      <c r="BAT12" s="221"/>
      <c r="BAU12" s="221"/>
      <c r="BAV12" s="221"/>
      <c r="BAW12" s="221"/>
      <c r="BAX12" s="221"/>
      <c r="BAY12" s="221"/>
      <c r="BAZ12" s="221"/>
      <c r="BBA12" s="221"/>
      <c r="BBB12" s="221"/>
      <c r="BBC12" s="221"/>
      <c r="BBD12" s="221"/>
      <c r="BBE12" s="221"/>
      <c r="BBF12" s="221"/>
      <c r="BBG12" s="221"/>
      <c r="BBH12" s="221"/>
      <c r="BBI12" s="221"/>
      <c r="BBJ12" s="221"/>
      <c r="BBK12" s="221"/>
      <c r="BBL12" s="221"/>
      <c r="BBM12" s="221"/>
      <c r="BBN12" s="221"/>
      <c r="BBO12" s="221"/>
      <c r="BBP12" s="221"/>
      <c r="BBQ12" s="221"/>
      <c r="BBR12" s="221"/>
      <c r="BBS12" s="221"/>
      <c r="BBT12" s="221"/>
      <c r="BBU12" s="221"/>
      <c r="BBV12" s="221"/>
      <c r="BBW12" s="221"/>
      <c r="BBX12" s="221"/>
      <c r="BBY12" s="221"/>
      <c r="BBZ12" s="221"/>
      <c r="BCA12" s="221"/>
      <c r="BCB12" s="221"/>
      <c r="BCC12" s="221"/>
      <c r="BCD12" s="221"/>
      <c r="BCE12" s="221"/>
      <c r="BCF12" s="221"/>
      <c r="BCG12" s="221"/>
      <c r="BCH12" s="221"/>
      <c r="BCI12" s="221"/>
      <c r="BCJ12" s="221"/>
      <c r="BCK12" s="221"/>
      <c r="BCL12" s="221"/>
      <c r="BCM12" s="221"/>
      <c r="BCN12" s="221"/>
      <c r="BCO12" s="221"/>
      <c r="BCP12" s="221" t="s">
        <v>56</v>
      </c>
      <c r="BCQ12" s="221"/>
      <c r="BCR12" s="221"/>
      <c r="BCS12" s="221"/>
      <c r="BCT12" s="221"/>
      <c r="BCU12" s="221"/>
      <c r="BCV12" s="221"/>
      <c r="BCW12" s="221"/>
      <c r="BCX12" s="221"/>
      <c r="BCY12" s="221"/>
      <c r="BCZ12" s="221"/>
      <c r="BDA12" s="221"/>
      <c r="BDB12" s="221"/>
      <c r="BDC12" s="221"/>
      <c r="BDD12" s="221"/>
      <c r="BDE12" s="221"/>
      <c r="BDF12" s="221"/>
      <c r="BDG12" s="221"/>
      <c r="BDH12" s="221"/>
      <c r="BDI12" s="221"/>
      <c r="BDJ12" s="221"/>
      <c r="BDK12" s="221"/>
      <c r="BDL12" s="221"/>
      <c r="BDM12" s="221"/>
      <c r="BDN12" s="221"/>
      <c r="BDO12" s="221"/>
      <c r="BDP12" s="221"/>
      <c r="BDQ12" s="221"/>
      <c r="BDR12" s="221"/>
      <c r="BDS12" s="221"/>
      <c r="BDT12" s="221"/>
      <c r="BDU12" s="221"/>
      <c r="BDV12" s="221"/>
      <c r="BDW12" s="221"/>
      <c r="BDX12" s="221"/>
      <c r="BDY12" s="221"/>
      <c r="BDZ12" s="221"/>
      <c r="BEA12" s="221"/>
      <c r="BEB12" s="221"/>
      <c r="BEC12" s="221"/>
      <c r="BED12" s="221"/>
      <c r="BEE12" s="221"/>
      <c r="BEF12" s="221"/>
      <c r="BEG12" s="221"/>
      <c r="BEH12" s="221"/>
      <c r="BEI12" s="221"/>
      <c r="BEJ12" s="221"/>
      <c r="BEK12" s="221"/>
      <c r="BEL12" s="221"/>
      <c r="BEM12" s="221"/>
      <c r="BEN12" s="221"/>
      <c r="BEO12" s="221"/>
      <c r="BEP12" s="221"/>
      <c r="BEQ12" s="221"/>
      <c r="BER12" s="221"/>
      <c r="BES12" s="221"/>
      <c r="BET12" s="221"/>
      <c r="BEU12" s="221"/>
      <c r="BEV12" s="221"/>
      <c r="BEW12" s="221"/>
      <c r="BEX12" s="221" t="s">
        <v>55</v>
      </c>
      <c r="BEY12" s="221"/>
      <c r="BEZ12" s="221"/>
      <c r="BFA12" s="221"/>
      <c r="BFB12" s="221"/>
      <c r="BFC12" s="221"/>
      <c r="BFD12" s="221"/>
      <c r="BFE12" s="221"/>
      <c r="BFF12" s="221"/>
      <c r="BFG12" s="221"/>
      <c r="BFH12" s="221"/>
      <c r="BFI12" s="221"/>
      <c r="BFJ12" s="221"/>
      <c r="BFK12" s="221"/>
      <c r="BFL12" s="221"/>
      <c r="BFM12" s="221"/>
      <c r="BFN12" s="221"/>
      <c r="BFO12" s="221"/>
      <c r="BFP12" s="221"/>
      <c r="BFQ12" s="221"/>
      <c r="BFR12" s="221"/>
      <c r="BFS12" s="221"/>
      <c r="BFT12" s="221"/>
      <c r="BFU12" s="221"/>
      <c r="BFV12" s="221"/>
      <c r="BFW12" s="221"/>
      <c r="BFX12" s="221"/>
      <c r="BFY12" s="221"/>
      <c r="BFZ12" s="221"/>
      <c r="BGA12" s="221"/>
      <c r="BGB12" s="221"/>
      <c r="BGC12" s="221"/>
      <c r="BGD12" s="221"/>
      <c r="BGE12" s="221"/>
      <c r="BGF12" s="221"/>
      <c r="BGG12" s="221"/>
      <c r="BGH12" s="221"/>
      <c r="BGI12" s="221"/>
      <c r="BGJ12" s="221"/>
      <c r="BGK12" s="221"/>
      <c r="BGL12" s="221"/>
      <c r="BGM12" s="221"/>
      <c r="BGN12" s="221"/>
      <c r="BGO12" s="221"/>
      <c r="BGP12" s="221"/>
      <c r="BGQ12" s="221"/>
      <c r="BGR12" s="221"/>
      <c r="BGS12" s="221"/>
      <c r="BGT12" s="221"/>
      <c r="BGU12" s="221"/>
      <c r="BGV12" s="221"/>
      <c r="BGW12" s="221"/>
      <c r="BGX12" s="221"/>
      <c r="BGY12" s="221"/>
      <c r="BGZ12" s="221"/>
      <c r="BHA12" s="221"/>
      <c r="BHB12" s="221"/>
      <c r="BHC12" s="221"/>
      <c r="BHD12" s="221"/>
      <c r="BHE12" s="221"/>
      <c r="BHF12" s="221" t="s">
        <v>56</v>
      </c>
      <c r="BHG12" s="221"/>
      <c r="BHH12" s="221"/>
      <c r="BHI12" s="221"/>
      <c r="BHJ12" s="221"/>
      <c r="BHK12" s="221"/>
      <c r="BHL12" s="221"/>
      <c r="BHM12" s="221"/>
      <c r="BHN12" s="221"/>
      <c r="BHO12" s="221"/>
      <c r="BHP12" s="221"/>
      <c r="BHQ12" s="221"/>
      <c r="BHR12" s="221"/>
      <c r="BHS12" s="221"/>
      <c r="BHT12" s="221"/>
      <c r="BHU12" s="221"/>
      <c r="BHV12" s="221"/>
      <c r="BHW12" s="221"/>
      <c r="BHX12" s="221"/>
      <c r="BHY12" s="221"/>
      <c r="BHZ12" s="221"/>
      <c r="BIA12" s="221"/>
      <c r="BIB12" s="221"/>
      <c r="BIC12" s="221"/>
      <c r="BID12" s="221"/>
      <c r="BIE12" s="221"/>
      <c r="BIF12" s="221"/>
      <c r="BIG12" s="221"/>
      <c r="BIH12" s="221"/>
      <c r="BII12" s="221"/>
      <c r="BIJ12" s="221"/>
      <c r="BIK12" s="221"/>
      <c r="BIL12" s="221"/>
      <c r="BIM12" s="221"/>
      <c r="BIN12" s="221"/>
      <c r="BIO12" s="221"/>
      <c r="BIP12" s="221"/>
      <c r="BIQ12" s="221"/>
      <c r="BIR12" s="221"/>
      <c r="BIS12" s="221"/>
      <c r="BIT12" s="221"/>
      <c r="BIU12" s="221"/>
      <c r="BIV12" s="221"/>
      <c r="BIW12" s="221"/>
      <c r="BIX12" s="221"/>
      <c r="BIY12" s="221"/>
      <c r="BIZ12" s="221"/>
      <c r="BJA12" s="221"/>
      <c r="BJB12" s="221"/>
      <c r="BJC12" s="221"/>
      <c r="BJD12" s="221"/>
      <c r="BJE12" s="221"/>
      <c r="BJF12" s="221"/>
      <c r="BJG12" s="221"/>
      <c r="BJH12" s="221"/>
      <c r="BJI12" s="221"/>
      <c r="BJJ12" s="221"/>
      <c r="BJK12" s="221"/>
      <c r="BJL12" s="221"/>
      <c r="BJM12" s="221"/>
      <c r="BJN12" s="221" t="s">
        <v>55</v>
      </c>
      <c r="BJO12" s="221"/>
      <c r="BJP12" s="221"/>
      <c r="BJQ12" s="221"/>
      <c r="BJR12" s="221"/>
      <c r="BJS12" s="221"/>
      <c r="BJT12" s="221"/>
      <c r="BJU12" s="221"/>
      <c r="BJV12" s="221"/>
      <c r="BJW12" s="221"/>
      <c r="BJX12" s="221"/>
      <c r="BJY12" s="221"/>
      <c r="BJZ12" s="221"/>
      <c r="BKA12" s="221"/>
      <c r="BKB12" s="221"/>
      <c r="BKC12" s="221"/>
      <c r="BKD12" s="221"/>
      <c r="BKE12" s="221"/>
      <c r="BKF12" s="221"/>
      <c r="BKG12" s="221"/>
      <c r="BKH12" s="221"/>
      <c r="BKI12" s="221"/>
      <c r="BKJ12" s="221"/>
      <c r="BKK12" s="221"/>
      <c r="BKL12" s="221"/>
      <c r="BKM12" s="221"/>
      <c r="BKN12" s="221"/>
      <c r="BKO12" s="221"/>
      <c r="BKP12" s="221"/>
      <c r="BKQ12" s="221"/>
      <c r="BKR12" s="221"/>
      <c r="BKS12" s="221"/>
      <c r="BKT12" s="221"/>
      <c r="BKU12" s="221"/>
      <c r="BKV12" s="221"/>
      <c r="BKW12" s="221"/>
      <c r="BKX12" s="221"/>
      <c r="BKY12" s="221"/>
      <c r="BKZ12" s="221"/>
      <c r="BLA12" s="221"/>
      <c r="BLB12" s="221"/>
      <c r="BLC12" s="221"/>
      <c r="BLD12" s="221"/>
      <c r="BLE12" s="221"/>
      <c r="BLF12" s="221"/>
      <c r="BLG12" s="221"/>
      <c r="BLH12" s="221"/>
      <c r="BLI12" s="221"/>
      <c r="BLJ12" s="221"/>
      <c r="BLK12" s="221"/>
      <c r="BLL12" s="221"/>
      <c r="BLM12" s="221"/>
      <c r="BLN12" s="221"/>
      <c r="BLO12" s="221"/>
      <c r="BLP12" s="221"/>
      <c r="BLQ12" s="221"/>
      <c r="BLR12" s="221"/>
      <c r="BLS12" s="221"/>
      <c r="BLT12" s="221"/>
      <c r="BLU12" s="221"/>
      <c r="BLV12" s="221"/>
      <c r="BLW12" s="221"/>
      <c r="BLX12" s="221"/>
      <c r="BLY12" s="221"/>
      <c r="BLZ12" s="221"/>
      <c r="BMA12" s="221"/>
      <c r="BMB12" s="221"/>
      <c r="BMC12" s="221"/>
      <c r="BMD12" s="221"/>
      <c r="BME12" s="221"/>
      <c r="BMF12" s="221"/>
      <c r="BMG12" s="221"/>
      <c r="BMH12" s="221"/>
      <c r="BMI12" s="221"/>
      <c r="BMJ12" s="221"/>
      <c r="BMK12" s="221"/>
      <c r="BML12" s="221"/>
      <c r="BMM12" s="221"/>
      <c r="BMN12" s="221"/>
      <c r="BMO12" s="221"/>
      <c r="BMP12" s="221"/>
      <c r="BMQ12" s="221"/>
      <c r="BMR12" s="221"/>
      <c r="BMS12" s="221"/>
      <c r="BMT12" s="221"/>
      <c r="BMU12" s="221"/>
      <c r="BMV12" s="221"/>
      <c r="BMW12" s="221"/>
      <c r="BMX12" s="221"/>
      <c r="BMY12" s="221"/>
      <c r="BMZ12" s="221"/>
      <c r="BNA12" s="221"/>
      <c r="BNB12" s="221"/>
      <c r="BNC12" s="221"/>
      <c r="BND12" s="221"/>
      <c r="BNE12" s="221"/>
      <c r="BNF12" s="221"/>
      <c r="BNG12" s="221"/>
      <c r="BNH12" s="221"/>
      <c r="BNI12" s="221"/>
      <c r="BNJ12" s="221"/>
      <c r="BNK12" s="221"/>
      <c r="BNL12" s="221"/>
      <c r="BNM12" s="221"/>
      <c r="BNN12" s="221"/>
      <c r="BNO12" s="221"/>
      <c r="BNP12" s="221"/>
      <c r="BNQ12" s="221"/>
      <c r="BNR12" s="221"/>
      <c r="BNS12" s="221"/>
      <c r="BNT12" s="221"/>
      <c r="BNU12" s="221"/>
      <c r="BNV12" s="221"/>
      <c r="BNW12" s="221"/>
      <c r="BNX12" s="221"/>
      <c r="BNY12" s="221"/>
      <c r="BNZ12" s="221"/>
      <c r="BOA12" s="221"/>
      <c r="BOB12" s="221"/>
      <c r="BOC12" s="221"/>
      <c r="BOD12" s="221"/>
      <c r="BOE12" s="221"/>
      <c r="BOF12" s="221"/>
      <c r="BOG12" s="221"/>
      <c r="BOH12" s="221"/>
      <c r="BOI12" s="221"/>
      <c r="BOJ12" s="221"/>
      <c r="BOK12" s="221"/>
      <c r="BOL12" s="221"/>
      <c r="BOM12" s="221"/>
      <c r="BON12" s="221"/>
      <c r="BOO12" s="221"/>
      <c r="BOP12" s="221"/>
      <c r="BOQ12" s="221"/>
      <c r="BOR12" s="221"/>
      <c r="BOS12" s="221"/>
      <c r="BOT12" s="221"/>
      <c r="BOU12" s="221"/>
      <c r="BOV12" s="221"/>
      <c r="BOW12" s="221"/>
      <c r="BOX12" s="221"/>
      <c r="BOY12" s="221"/>
      <c r="BOZ12" s="221"/>
      <c r="BPA12" s="221"/>
      <c r="BPB12" s="221"/>
      <c r="BPC12" s="221"/>
      <c r="BPD12" s="221"/>
      <c r="BPE12" s="221"/>
      <c r="BPF12" s="221"/>
      <c r="BPG12" s="221"/>
      <c r="BPH12" s="221"/>
      <c r="BPI12" s="221"/>
      <c r="BPJ12" s="221"/>
      <c r="BPK12" s="221"/>
      <c r="BPL12" s="221"/>
      <c r="BPM12" s="221"/>
      <c r="BPN12" s="221"/>
      <c r="BPO12" s="221"/>
      <c r="BPP12" s="221"/>
      <c r="BPQ12" s="221"/>
      <c r="BPR12" s="221"/>
      <c r="BPS12" s="221"/>
      <c r="BPT12" s="221"/>
      <c r="BPU12" s="221"/>
      <c r="BPV12" s="221"/>
      <c r="BPW12" s="221"/>
      <c r="BPX12" s="221"/>
      <c r="BPY12" s="221"/>
      <c r="BPZ12" s="221"/>
      <c r="BQA12" s="221"/>
      <c r="BQB12" s="221"/>
      <c r="BQC12" s="221"/>
      <c r="BQD12" s="221"/>
      <c r="BQE12" s="221"/>
      <c r="BQF12" s="221"/>
      <c r="BQG12" s="221"/>
      <c r="BQH12" s="221"/>
      <c r="BQI12" s="221"/>
      <c r="BQJ12" s="221"/>
      <c r="BQK12" s="221"/>
      <c r="BQL12" s="221"/>
      <c r="BQM12" s="221"/>
      <c r="BQN12" s="221"/>
      <c r="BQO12" s="221"/>
      <c r="BQP12" s="221"/>
      <c r="BQQ12" s="221"/>
      <c r="BQR12" s="221"/>
      <c r="BQS12" s="221"/>
      <c r="BQT12" s="221"/>
      <c r="BQU12" s="221"/>
      <c r="BQV12" s="221"/>
      <c r="BQW12" s="221"/>
      <c r="BQX12" s="221"/>
      <c r="BQY12" s="221"/>
      <c r="BQZ12" s="221"/>
      <c r="BRA12" s="221"/>
      <c r="BRB12" s="221"/>
      <c r="BRC12" s="221"/>
      <c r="BRD12" s="221"/>
      <c r="BRE12" s="221"/>
      <c r="BRF12" s="221"/>
      <c r="BRG12" s="221"/>
      <c r="BRH12" s="221"/>
      <c r="BRI12" s="221"/>
      <c r="BRJ12" s="221"/>
      <c r="BRK12" s="221"/>
      <c r="BRL12" s="221"/>
      <c r="BRM12" s="221"/>
      <c r="BRN12" s="221"/>
      <c r="BRO12" s="221"/>
      <c r="BRP12" s="221"/>
      <c r="BRQ12" s="221"/>
      <c r="BRR12" s="221"/>
      <c r="BRS12" s="221"/>
      <c r="BRT12" s="221"/>
      <c r="BRU12" s="221"/>
      <c r="BRV12" s="221"/>
      <c r="BRW12" s="221"/>
      <c r="BRX12" s="221"/>
      <c r="BRY12" s="221"/>
      <c r="BRZ12" s="221"/>
      <c r="BSA12" s="221"/>
      <c r="BSB12" s="221"/>
      <c r="BSC12" s="221"/>
      <c r="BSD12" s="221"/>
      <c r="BSE12" s="221"/>
      <c r="BSF12" s="221"/>
      <c r="BSG12" s="221"/>
      <c r="BSH12" s="221"/>
      <c r="BSI12" s="221"/>
      <c r="BSJ12" s="221"/>
      <c r="BSK12" s="221"/>
      <c r="BSL12" s="221"/>
      <c r="BSM12" s="221"/>
      <c r="BSN12" s="221"/>
      <c r="BSO12" s="221"/>
      <c r="BSP12" s="221"/>
      <c r="BSQ12" s="221"/>
      <c r="BSR12" s="221"/>
      <c r="BSS12" s="221"/>
      <c r="BST12" s="73"/>
    </row>
    <row r="13" spans="1:1900" ht="42.75" customHeight="1" thickBot="1" x14ac:dyDescent="0.3">
      <c r="B13" s="51"/>
      <c r="C13" s="237" t="s">
        <v>12</v>
      </c>
      <c r="D13" s="117"/>
      <c r="E13" s="235" t="s">
        <v>13</v>
      </c>
      <c r="F13" s="222" t="s">
        <v>14</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15</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16</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70</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69</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67</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66</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153</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152</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150</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149</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147</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146</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144</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143</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141</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140</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138</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137</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135</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134</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132</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131</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63</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62</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60</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222" t="s">
        <v>59</v>
      </c>
      <c r="BHG13" s="223"/>
      <c r="BHH13" s="223"/>
      <c r="BHI13" s="223"/>
      <c r="BHJ13" s="223"/>
      <c r="BHK13" s="223"/>
      <c r="BHL13" s="223"/>
      <c r="BHM13" s="223"/>
      <c r="BHN13" s="223"/>
      <c r="BHO13" s="223"/>
      <c r="BHP13" s="223"/>
      <c r="BHQ13" s="223"/>
      <c r="BHR13" s="223"/>
      <c r="BHS13" s="223"/>
      <c r="BHT13" s="223"/>
      <c r="BHU13" s="223"/>
      <c r="BHV13" s="223"/>
      <c r="BHW13" s="223"/>
      <c r="BHX13" s="223"/>
      <c r="BHY13" s="223"/>
      <c r="BHZ13" s="223"/>
      <c r="BIA13" s="223"/>
      <c r="BIB13" s="223"/>
      <c r="BIC13" s="223"/>
      <c r="BID13" s="223"/>
      <c r="BIE13" s="223"/>
      <c r="BIF13" s="223"/>
      <c r="BIG13" s="223"/>
      <c r="BIH13" s="223"/>
      <c r="BII13" s="223"/>
      <c r="BIJ13" s="223"/>
      <c r="BIK13" s="223"/>
      <c r="BIL13" s="223"/>
      <c r="BIM13" s="223"/>
      <c r="BIN13" s="223"/>
      <c r="BIO13" s="223"/>
      <c r="BIP13" s="223"/>
      <c r="BIQ13" s="223"/>
      <c r="BIR13" s="223"/>
      <c r="BIS13" s="223"/>
      <c r="BIT13" s="223"/>
      <c r="BIU13" s="223"/>
      <c r="BIV13" s="223"/>
      <c r="BIW13" s="223"/>
      <c r="BIX13" s="223"/>
      <c r="BIY13" s="223"/>
      <c r="BIZ13" s="223"/>
      <c r="BJA13" s="223"/>
      <c r="BJB13" s="223"/>
      <c r="BJC13" s="223"/>
      <c r="BJD13" s="223"/>
      <c r="BJE13" s="223"/>
      <c r="BJF13" s="223"/>
      <c r="BJG13" s="223"/>
      <c r="BJH13" s="223"/>
      <c r="BJI13" s="223"/>
      <c r="BJJ13" s="223"/>
      <c r="BJK13" s="223"/>
      <c r="BJL13" s="223"/>
      <c r="BJM13" s="224"/>
      <c r="BJN13" s="222" t="s">
        <v>57</v>
      </c>
      <c r="BJO13" s="223"/>
      <c r="BJP13" s="223"/>
      <c r="BJQ13" s="223"/>
      <c r="BJR13" s="223"/>
      <c r="BJS13" s="223"/>
      <c r="BJT13" s="223"/>
      <c r="BJU13" s="223"/>
      <c r="BJV13" s="223"/>
      <c r="BJW13" s="223"/>
      <c r="BJX13" s="223"/>
      <c r="BJY13" s="223"/>
      <c r="BJZ13" s="223"/>
      <c r="BKA13" s="223"/>
      <c r="BKB13" s="223"/>
      <c r="BKC13" s="223"/>
      <c r="BKD13" s="223"/>
      <c r="BKE13" s="223"/>
      <c r="BKF13" s="223"/>
      <c r="BKG13" s="223"/>
      <c r="BKH13" s="223"/>
      <c r="BKI13" s="223"/>
      <c r="BKJ13" s="223"/>
      <c r="BKK13" s="223"/>
      <c r="BKL13" s="223"/>
      <c r="BKM13" s="223"/>
      <c r="BKN13" s="223"/>
      <c r="BKO13" s="223"/>
      <c r="BKP13" s="223"/>
      <c r="BKQ13" s="223"/>
      <c r="BKR13" s="223"/>
      <c r="BKS13" s="223"/>
      <c r="BKT13" s="223"/>
      <c r="BKU13" s="223"/>
      <c r="BKV13" s="223"/>
      <c r="BKW13" s="223"/>
      <c r="BKX13" s="223"/>
      <c r="BKY13" s="223"/>
      <c r="BKZ13" s="223"/>
      <c r="BLA13" s="223"/>
      <c r="BLB13" s="223"/>
      <c r="BLC13" s="223"/>
      <c r="BLD13" s="223"/>
      <c r="BLE13" s="223"/>
      <c r="BLF13" s="223"/>
      <c r="BLG13" s="223"/>
      <c r="BLH13" s="223"/>
      <c r="BLI13" s="223"/>
      <c r="BLJ13" s="223"/>
      <c r="BLK13" s="223"/>
      <c r="BLL13" s="223"/>
      <c r="BLM13" s="223"/>
      <c r="BLN13" s="223"/>
      <c r="BLO13" s="223"/>
      <c r="BLP13" s="223"/>
      <c r="BLQ13" s="223"/>
      <c r="BLR13" s="223"/>
      <c r="BLS13" s="223"/>
      <c r="BLT13" s="223"/>
      <c r="BLU13" s="224"/>
      <c r="BLV13" s="222" t="s">
        <v>36</v>
      </c>
      <c r="BLW13" s="223"/>
      <c r="BLX13" s="223"/>
      <c r="BLY13" s="223"/>
      <c r="BLZ13" s="223"/>
      <c r="BMA13" s="223"/>
      <c r="BMB13" s="223"/>
      <c r="BMC13" s="223"/>
      <c r="BMD13" s="223"/>
      <c r="BME13" s="223"/>
      <c r="BMF13" s="223"/>
      <c r="BMG13" s="223"/>
      <c r="BMH13" s="223"/>
      <c r="BMI13" s="223"/>
      <c r="BMJ13" s="223"/>
      <c r="BMK13" s="223"/>
      <c r="BML13" s="223"/>
      <c r="BMM13" s="223"/>
      <c r="BMN13" s="223"/>
      <c r="BMO13" s="223"/>
      <c r="BMP13" s="223"/>
      <c r="BMQ13" s="223"/>
      <c r="BMR13" s="223"/>
      <c r="BMS13" s="223"/>
      <c r="BMT13" s="223"/>
      <c r="BMU13" s="223"/>
      <c r="BMV13" s="223"/>
      <c r="BMW13" s="223"/>
      <c r="BMX13" s="223"/>
      <c r="BMY13" s="223"/>
      <c r="BMZ13" s="223"/>
      <c r="BNA13" s="223"/>
      <c r="BNB13" s="223"/>
      <c r="BNC13" s="223"/>
      <c r="BND13" s="223"/>
      <c r="BNE13" s="223"/>
      <c r="BNF13" s="223"/>
      <c r="BNG13" s="223"/>
      <c r="BNH13" s="223"/>
      <c r="BNI13" s="223"/>
      <c r="BNJ13" s="223"/>
      <c r="BNK13" s="223"/>
      <c r="BNL13" s="223"/>
      <c r="BNM13" s="223"/>
      <c r="BNN13" s="223"/>
      <c r="BNO13" s="223"/>
      <c r="BNP13" s="223"/>
      <c r="BNQ13" s="223"/>
      <c r="BNR13" s="223"/>
      <c r="BNS13" s="223"/>
      <c r="BNT13" s="223"/>
      <c r="BNU13" s="223"/>
      <c r="BNV13" s="223"/>
      <c r="BNW13" s="223"/>
      <c r="BNX13" s="223"/>
      <c r="BNY13" s="223"/>
      <c r="BNZ13" s="223"/>
      <c r="BOA13" s="223"/>
      <c r="BOB13" s="223"/>
      <c r="BOC13" s="224"/>
      <c r="BOD13" s="222" t="s">
        <v>36</v>
      </c>
      <c r="BOE13" s="223"/>
      <c r="BOF13" s="223"/>
      <c r="BOG13" s="223"/>
      <c r="BOH13" s="223"/>
      <c r="BOI13" s="223"/>
      <c r="BOJ13" s="223"/>
      <c r="BOK13" s="223"/>
      <c r="BOL13" s="223"/>
      <c r="BOM13" s="223"/>
      <c r="BON13" s="223"/>
      <c r="BOO13" s="223"/>
      <c r="BOP13" s="223"/>
      <c r="BOQ13" s="223"/>
      <c r="BOR13" s="223"/>
      <c r="BOS13" s="223"/>
      <c r="BOT13" s="223"/>
      <c r="BOU13" s="223"/>
      <c r="BOV13" s="223"/>
      <c r="BOW13" s="223"/>
      <c r="BOX13" s="223"/>
      <c r="BOY13" s="223"/>
      <c r="BOZ13" s="223"/>
      <c r="BPA13" s="223"/>
      <c r="BPB13" s="223"/>
      <c r="BPC13" s="223"/>
      <c r="BPD13" s="223"/>
      <c r="BPE13" s="223"/>
      <c r="BPF13" s="223"/>
      <c r="BPG13" s="223"/>
      <c r="BPH13" s="223"/>
      <c r="BPI13" s="223"/>
      <c r="BPJ13" s="223"/>
      <c r="BPK13" s="223"/>
      <c r="BPL13" s="223"/>
      <c r="BPM13" s="223"/>
      <c r="BPN13" s="223"/>
      <c r="BPO13" s="223"/>
      <c r="BPP13" s="223"/>
      <c r="BPQ13" s="223"/>
      <c r="BPR13" s="223"/>
      <c r="BPS13" s="223"/>
      <c r="BPT13" s="223"/>
      <c r="BPU13" s="223"/>
      <c r="BPV13" s="223"/>
      <c r="BPW13" s="223"/>
      <c r="BPX13" s="223"/>
      <c r="BPY13" s="223"/>
      <c r="BPZ13" s="223"/>
      <c r="BQA13" s="223"/>
      <c r="BQB13" s="223"/>
      <c r="BQC13" s="223"/>
      <c r="BQD13" s="223"/>
      <c r="BQE13" s="223"/>
      <c r="BQF13" s="223"/>
      <c r="BQG13" s="223"/>
      <c r="BQH13" s="223"/>
      <c r="BQI13" s="223"/>
      <c r="BQJ13" s="223"/>
      <c r="BQK13" s="224"/>
      <c r="BQL13" s="222" t="s">
        <v>36</v>
      </c>
      <c r="BQM13" s="223"/>
      <c r="BQN13" s="223"/>
      <c r="BQO13" s="223"/>
      <c r="BQP13" s="223"/>
      <c r="BQQ13" s="223"/>
      <c r="BQR13" s="223"/>
      <c r="BQS13" s="223"/>
      <c r="BQT13" s="223"/>
      <c r="BQU13" s="223"/>
      <c r="BQV13" s="223"/>
      <c r="BQW13" s="223"/>
      <c r="BQX13" s="223"/>
      <c r="BQY13" s="223"/>
      <c r="BQZ13" s="223"/>
      <c r="BRA13" s="223"/>
      <c r="BRB13" s="223"/>
      <c r="BRC13" s="223"/>
      <c r="BRD13" s="223"/>
      <c r="BRE13" s="223"/>
      <c r="BRF13" s="223"/>
      <c r="BRG13" s="223"/>
      <c r="BRH13" s="223"/>
      <c r="BRI13" s="223"/>
      <c r="BRJ13" s="223"/>
      <c r="BRK13" s="223"/>
      <c r="BRL13" s="223"/>
      <c r="BRM13" s="223"/>
      <c r="BRN13" s="223"/>
      <c r="BRO13" s="223"/>
      <c r="BRP13" s="223"/>
      <c r="BRQ13" s="223"/>
      <c r="BRR13" s="223"/>
      <c r="BRS13" s="223"/>
      <c r="BRT13" s="223"/>
      <c r="BRU13" s="223"/>
      <c r="BRV13" s="223"/>
      <c r="BRW13" s="223"/>
      <c r="BRX13" s="223"/>
      <c r="BRY13" s="223"/>
      <c r="BRZ13" s="223"/>
      <c r="BSA13" s="223"/>
      <c r="BSB13" s="223"/>
      <c r="BSC13" s="223"/>
      <c r="BSD13" s="223"/>
      <c r="BSE13" s="223"/>
      <c r="BSF13" s="223"/>
      <c r="BSG13" s="223"/>
      <c r="BSH13" s="223"/>
      <c r="BSI13" s="223"/>
      <c r="BSJ13" s="223"/>
      <c r="BSK13" s="223"/>
      <c r="BSL13" s="223"/>
      <c r="BSM13" s="223"/>
      <c r="BSN13" s="223"/>
      <c r="BSO13" s="223"/>
      <c r="BSP13" s="223"/>
      <c r="BSQ13" s="223"/>
      <c r="BSR13" s="223"/>
      <c r="BSS13" s="224"/>
      <c r="BST13" s="73"/>
    </row>
    <row r="14" spans="1:1900" ht="12.75" customHeight="1" thickBot="1" x14ac:dyDescent="0.35">
      <c r="B14" s="51"/>
      <c r="C14" s="238"/>
      <c r="D14" s="118"/>
      <c r="E14" s="236"/>
      <c r="F14" s="81"/>
      <c r="G14" s="82"/>
      <c r="H14" s="82"/>
      <c r="I14" s="82"/>
      <c r="J14" s="225" t="s">
        <v>17</v>
      </c>
      <c r="K14" s="225"/>
      <c r="L14" s="225"/>
      <c r="M14" s="225"/>
      <c r="N14" s="82"/>
      <c r="O14" s="82"/>
      <c r="P14" s="226" t="s">
        <v>18</v>
      </c>
      <c r="Q14" s="226"/>
      <c r="R14" s="226"/>
      <c r="S14" s="226"/>
      <c r="T14" s="102"/>
      <c r="U14" s="102"/>
      <c r="V14" s="225" t="s">
        <v>19</v>
      </c>
      <c r="W14" s="225"/>
      <c r="X14" s="225"/>
      <c r="Y14" s="225"/>
      <c r="Z14" s="82"/>
      <c r="AA14" s="82"/>
      <c r="AB14" s="226" t="s">
        <v>20</v>
      </c>
      <c r="AC14" s="226"/>
      <c r="AD14" s="226"/>
      <c r="AE14" s="226"/>
      <c r="AF14" s="102"/>
      <c r="AG14" s="102"/>
      <c r="AH14" s="225" t="s">
        <v>21</v>
      </c>
      <c r="AI14" s="225"/>
      <c r="AJ14" s="225"/>
      <c r="AK14" s="225"/>
      <c r="AL14" s="82"/>
      <c r="AM14" s="82"/>
      <c r="AN14" s="226" t="s">
        <v>22</v>
      </c>
      <c r="AO14" s="226"/>
      <c r="AP14" s="226"/>
      <c r="AQ14" s="226"/>
      <c r="AR14" s="102"/>
      <c r="AS14" s="102"/>
      <c r="AT14" s="225" t="s">
        <v>23</v>
      </c>
      <c r="AU14" s="225"/>
      <c r="AV14" s="225"/>
      <c r="AW14" s="225"/>
      <c r="AX14" s="82"/>
      <c r="AY14" s="82"/>
      <c r="AZ14" s="226" t="s">
        <v>24</v>
      </c>
      <c r="BA14" s="226"/>
      <c r="BB14" s="226"/>
      <c r="BC14" s="226"/>
      <c r="BD14" s="102"/>
      <c r="BE14" s="102"/>
      <c r="BF14" s="225" t="s">
        <v>25</v>
      </c>
      <c r="BG14" s="225"/>
      <c r="BH14" s="225"/>
      <c r="BI14" s="225"/>
      <c r="BJ14" s="82"/>
      <c r="BK14" s="82"/>
      <c r="BL14" s="82"/>
      <c r="BM14" s="83"/>
      <c r="BN14" s="81"/>
      <c r="BO14" s="82"/>
      <c r="BP14" s="82"/>
      <c r="BQ14" s="82"/>
      <c r="BR14" s="225" t="s">
        <v>17</v>
      </c>
      <c r="BS14" s="225"/>
      <c r="BT14" s="225"/>
      <c r="BU14" s="225"/>
      <c r="BV14" s="82"/>
      <c r="BW14" s="82"/>
      <c r="BX14" s="226" t="s">
        <v>18</v>
      </c>
      <c r="BY14" s="226"/>
      <c r="BZ14" s="226"/>
      <c r="CA14" s="226"/>
      <c r="CB14" s="102"/>
      <c r="CC14" s="102"/>
      <c r="CD14" s="225" t="s">
        <v>19</v>
      </c>
      <c r="CE14" s="225"/>
      <c r="CF14" s="225"/>
      <c r="CG14" s="225"/>
      <c r="CH14" s="82"/>
      <c r="CI14" s="82"/>
      <c r="CJ14" s="226" t="s">
        <v>20</v>
      </c>
      <c r="CK14" s="226"/>
      <c r="CL14" s="226"/>
      <c r="CM14" s="226"/>
      <c r="CN14" s="102"/>
      <c r="CO14" s="102"/>
      <c r="CP14" s="225" t="s">
        <v>21</v>
      </c>
      <c r="CQ14" s="225"/>
      <c r="CR14" s="225"/>
      <c r="CS14" s="225"/>
      <c r="CT14" s="82"/>
      <c r="CU14" s="82"/>
      <c r="CV14" s="226" t="s">
        <v>22</v>
      </c>
      <c r="CW14" s="226"/>
      <c r="CX14" s="226"/>
      <c r="CY14" s="226"/>
      <c r="CZ14" s="102"/>
      <c r="DA14" s="102"/>
      <c r="DB14" s="225" t="s">
        <v>23</v>
      </c>
      <c r="DC14" s="225"/>
      <c r="DD14" s="225"/>
      <c r="DE14" s="225"/>
      <c r="DF14" s="82"/>
      <c r="DG14" s="82"/>
      <c r="DH14" s="226" t="s">
        <v>24</v>
      </c>
      <c r="DI14" s="226"/>
      <c r="DJ14" s="226"/>
      <c r="DK14" s="226"/>
      <c r="DL14" s="102"/>
      <c r="DM14" s="102"/>
      <c r="DN14" s="225" t="s">
        <v>25</v>
      </c>
      <c r="DO14" s="225"/>
      <c r="DP14" s="225"/>
      <c r="DQ14" s="225"/>
      <c r="DR14" s="82"/>
      <c r="DS14" s="82"/>
      <c r="DT14" s="82"/>
      <c r="DU14" s="83"/>
      <c r="DV14" s="81"/>
      <c r="DW14" s="82"/>
      <c r="DX14" s="82"/>
      <c r="DY14" s="82"/>
      <c r="DZ14" s="225" t="s">
        <v>17</v>
      </c>
      <c r="EA14" s="225"/>
      <c r="EB14" s="225"/>
      <c r="EC14" s="225"/>
      <c r="ED14" s="82"/>
      <c r="EE14" s="82"/>
      <c r="EF14" s="226" t="s">
        <v>18</v>
      </c>
      <c r="EG14" s="226"/>
      <c r="EH14" s="226"/>
      <c r="EI14" s="226"/>
      <c r="EJ14" s="102"/>
      <c r="EK14" s="102"/>
      <c r="EL14" s="225" t="s">
        <v>19</v>
      </c>
      <c r="EM14" s="225"/>
      <c r="EN14" s="225"/>
      <c r="EO14" s="225"/>
      <c r="EP14" s="82"/>
      <c r="EQ14" s="82"/>
      <c r="ER14" s="226" t="s">
        <v>20</v>
      </c>
      <c r="ES14" s="226"/>
      <c r="ET14" s="226"/>
      <c r="EU14" s="226"/>
      <c r="EV14" s="102"/>
      <c r="EW14" s="102"/>
      <c r="EX14" s="225" t="s">
        <v>21</v>
      </c>
      <c r="EY14" s="225"/>
      <c r="EZ14" s="225"/>
      <c r="FA14" s="225"/>
      <c r="FB14" s="82"/>
      <c r="FC14" s="82"/>
      <c r="FD14" s="226" t="s">
        <v>22</v>
      </c>
      <c r="FE14" s="226"/>
      <c r="FF14" s="226"/>
      <c r="FG14" s="226"/>
      <c r="FH14" s="102"/>
      <c r="FI14" s="102"/>
      <c r="FJ14" s="225" t="s">
        <v>23</v>
      </c>
      <c r="FK14" s="225"/>
      <c r="FL14" s="225"/>
      <c r="FM14" s="225"/>
      <c r="FN14" s="82"/>
      <c r="FO14" s="82"/>
      <c r="FP14" s="226" t="s">
        <v>24</v>
      </c>
      <c r="FQ14" s="226"/>
      <c r="FR14" s="226"/>
      <c r="FS14" s="226"/>
      <c r="FT14" s="102"/>
      <c r="FU14" s="102"/>
      <c r="FV14" s="225" t="s">
        <v>25</v>
      </c>
      <c r="FW14" s="225"/>
      <c r="FX14" s="225"/>
      <c r="FY14" s="225"/>
      <c r="FZ14" s="82"/>
      <c r="GA14" s="82"/>
      <c r="GB14" s="82"/>
      <c r="GC14" s="83"/>
      <c r="GD14" s="81"/>
      <c r="GE14" s="82"/>
      <c r="GF14" s="82"/>
      <c r="GG14" s="82"/>
      <c r="GH14" s="225" t="s">
        <v>17</v>
      </c>
      <c r="GI14" s="225"/>
      <c r="GJ14" s="225"/>
      <c r="GK14" s="225"/>
      <c r="GL14" s="82"/>
      <c r="GM14" s="82"/>
      <c r="GN14" s="226" t="s">
        <v>18</v>
      </c>
      <c r="GO14" s="226"/>
      <c r="GP14" s="226"/>
      <c r="GQ14" s="226"/>
      <c r="GR14" s="102"/>
      <c r="GS14" s="102"/>
      <c r="GT14" s="225" t="s">
        <v>19</v>
      </c>
      <c r="GU14" s="225"/>
      <c r="GV14" s="225"/>
      <c r="GW14" s="225"/>
      <c r="GX14" s="82"/>
      <c r="GY14" s="82"/>
      <c r="GZ14" s="226" t="s">
        <v>20</v>
      </c>
      <c r="HA14" s="226"/>
      <c r="HB14" s="226"/>
      <c r="HC14" s="226"/>
      <c r="HD14" s="102"/>
      <c r="HE14" s="102"/>
      <c r="HF14" s="225" t="s">
        <v>21</v>
      </c>
      <c r="HG14" s="225"/>
      <c r="HH14" s="225"/>
      <c r="HI14" s="225"/>
      <c r="HJ14" s="82"/>
      <c r="HK14" s="82"/>
      <c r="HL14" s="226" t="s">
        <v>22</v>
      </c>
      <c r="HM14" s="226"/>
      <c r="HN14" s="226"/>
      <c r="HO14" s="226"/>
      <c r="HP14" s="102"/>
      <c r="HQ14" s="102"/>
      <c r="HR14" s="225" t="s">
        <v>23</v>
      </c>
      <c r="HS14" s="225"/>
      <c r="HT14" s="225"/>
      <c r="HU14" s="225"/>
      <c r="HV14" s="82"/>
      <c r="HW14" s="82"/>
      <c r="HX14" s="226" t="s">
        <v>24</v>
      </c>
      <c r="HY14" s="226"/>
      <c r="HZ14" s="226"/>
      <c r="IA14" s="226"/>
      <c r="IB14" s="102"/>
      <c r="IC14" s="102"/>
      <c r="ID14" s="225" t="s">
        <v>25</v>
      </c>
      <c r="IE14" s="225"/>
      <c r="IF14" s="225"/>
      <c r="IG14" s="225"/>
      <c r="IH14" s="82"/>
      <c r="II14" s="82"/>
      <c r="IJ14" s="82"/>
      <c r="IK14" s="83"/>
      <c r="IL14" s="81"/>
      <c r="IM14" s="82"/>
      <c r="IN14" s="82"/>
      <c r="IO14" s="82"/>
      <c r="IP14" s="225" t="s">
        <v>17</v>
      </c>
      <c r="IQ14" s="225"/>
      <c r="IR14" s="225"/>
      <c r="IS14" s="225"/>
      <c r="IT14" s="82"/>
      <c r="IU14" s="82"/>
      <c r="IV14" s="226" t="s">
        <v>18</v>
      </c>
      <c r="IW14" s="226"/>
      <c r="IX14" s="226"/>
      <c r="IY14" s="226"/>
      <c r="IZ14" s="102"/>
      <c r="JA14" s="102"/>
      <c r="JB14" s="225" t="s">
        <v>19</v>
      </c>
      <c r="JC14" s="225"/>
      <c r="JD14" s="225"/>
      <c r="JE14" s="225"/>
      <c r="JF14" s="82"/>
      <c r="JG14" s="82"/>
      <c r="JH14" s="226" t="s">
        <v>20</v>
      </c>
      <c r="JI14" s="226"/>
      <c r="JJ14" s="226"/>
      <c r="JK14" s="226"/>
      <c r="JL14" s="102"/>
      <c r="JM14" s="102"/>
      <c r="JN14" s="225" t="s">
        <v>21</v>
      </c>
      <c r="JO14" s="225"/>
      <c r="JP14" s="225"/>
      <c r="JQ14" s="225"/>
      <c r="JR14" s="82"/>
      <c r="JS14" s="82"/>
      <c r="JT14" s="226" t="s">
        <v>22</v>
      </c>
      <c r="JU14" s="226"/>
      <c r="JV14" s="226"/>
      <c r="JW14" s="226"/>
      <c r="JX14" s="102"/>
      <c r="JY14" s="102"/>
      <c r="JZ14" s="225" t="s">
        <v>23</v>
      </c>
      <c r="KA14" s="225"/>
      <c r="KB14" s="225"/>
      <c r="KC14" s="225"/>
      <c r="KD14" s="82"/>
      <c r="KE14" s="82"/>
      <c r="KF14" s="226" t="s">
        <v>24</v>
      </c>
      <c r="KG14" s="226"/>
      <c r="KH14" s="226"/>
      <c r="KI14" s="226"/>
      <c r="KJ14" s="102"/>
      <c r="KK14" s="102"/>
      <c r="KL14" s="225" t="s">
        <v>25</v>
      </c>
      <c r="KM14" s="225"/>
      <c r="KN14" s="225"/>
      <c r="KO14" s="225"/>
      <c r="KP14" s="82"/>
      <c r="KQ14" s="82"/>
      <c r="KR14" s="82"/>
      <c r="KS14" s="83"/>
      <c r="KT14" s="81"/>
      <c r="KU14" s="82"/>
      <c r="KV14" s="82"/>
      <c r="KW14" s="82"/>
      <c r="KX14" s="225" t="s">
        <v>17</v>
      </c>
      <c r="KY14" s="225"/>
      <c r="KZ14" s="225"/>
      <c r="LA14" s="225"/>
      <c r="LB14" s="82"/>
      <c r="LC14" s="82"/>
      <c r="LD14" s="226" t="s">
        <v>18</v>
      </c>
      <c r="LE14" s="226"/>
      <c r="LF14" s="226"/>
      <c r="LG14" s="226"/>
      <c r="LH14" s="102"/>
      <c r="LI14" s="102"/>
      <c r="LJ14" s="225" t="s">
        <v>19</v>
      </c>
      <c r="LK14" s="225"/>
      <c r="LL14" s="225"/>
      <c r="LM14" s="225"/>
      <c r="LN14" s="82"/>
      <c r="LO14" s="82"/>
      <c r="LP14" s="226" t="s">
        <v>20</v>
      </c>
      <c r="LQ14" s="226"/>
      <c r="LR14" s="226"/>
      <c r="LS14" s="226"/>
      <c r="LT14" s="102"/>
      <c r="LU14" s="102"/>
      <c r="LV14" s="225" t="s">
        <v>21</v>
      </c>
      <c r="LW14" s="225"/>
      <c r="LX14" s="225"/>
      <c r="LY14" s="225"/>
      <c r="LZ14" s="82"/>
      <c r="MA14" s="82"/>
      <c r="MB14" s="226" t="s">
        <v>22</v>
      </c>
      <c r="MC14" s="226"/>
      <c r="MD14" s="226"/>
      <c r="ME14" s="226"/>
      <c r="MF14" s="102"/>
      <c r="MG14" s="102"/>
      <c r="MH14" s="225" t="s">
        <v>23</v>
      </c>
      <c r="MI14" s="225"/>
      <c r="MJ14" s="225"/>
      <c r="MK14" s="225"/>
      <c r="ML14" s="82"/>
      <c r="MM14" s="82"/>
      <c r="MN14" s="226" t="s">
        <v>24</v>
      </c>
      <c r="MO14" s="226"/>
      <c r="MP14" s="226"/>
      <c r="MQ14" s="226"/>
      <c r="MR14" s="102"/>
      <c r="MS14" s="102"/>
      <c r="MT14" s="225" t="s">
        <v>25</v>
      </c>
      <c r="MU14" s="225"/>
      <c r="MV14" s="225"/>
      <c r="MW14" s="225"/>
      <c r="MX14" s="82"/>
      <c r="MY14" s="82"/>
      <c r="MZ14" s="82"/>
      <c r="NA14" s="83"/>
      <c r="NB14" s="81"/>
      <c r="NC14" s="82"/>
      <c r="ND14" s="82"/>
      <c r="NE14" s="82"/>
      <c r="NF14" s="225" t="s">
        <v>17</v>
      </c>
      <c r="NG14" s="225"/>
      <c r="NH14" s="225"/>
      <c r="NI14" s="225"/>
      <c r="NJ14" s="82"/>
      <c r="NK14" s="82"/>
      <c r="NL14" s="226" t="s">
        <v>18</v>
      </c>
      <c r="NM14" s="226"/>
      <c r="NN14" s="226"/>
      <c r="NO14" s="226"/>
      <c r="NP14" s="102"/>
      <c r="NQ14" s="102"/>
      <c r="NR14" s="225" t="s">
        <v>19</v>
      </c>
      <c r="NS14" s="225"/>
      <c r="NT14" s="225"/>
      <c r="NU14" s="225"/>
      <c r="NV14" s="82"/>
      <c r="NW14" s="82"/>
      <c r="NX14" s="226" t="s">
        <v>20</v>
      </c>
      <c r="NY14" s="226"/>
      <c r="NZ14" s="226"/>
      <c r="OA14" s="226"/>
      <c r="OB14" s="102"/>
      <c r="OC14" s="102"/>
      <c r="OD14" s="225" t="s">
        <v>21</v>
      </c>
      <c r="OE14" s="225"/>
      <c r="OF14" s="225"/>
      <c r="OG14" s="225"/>
      <c r="OH14" s="82"/>
      <c r="OI14" s="82"/>
      <c r="OJ14" s="226" t="s">
        <v>22</v>
      </c>
      <c r="OK14" s="226"/>
      <c r="OL14" s="226"/>
      <c r="OM14" s="226"/>
      <c r="ON14" s="102"/>
      <c r="OO14" s="102"/>
      <c r="OP14" s="225" t="s">
        <v>23</v>
      </c>
      <c r="OQ14" s="225"/>
      <c r="OR14" s="225"/>
      <c r="OS14" s="225"/>
      <c r="OT14" s="82"/>
      <c r="OU14" s="82"/>
      <c r="OV14" s="226" t="s">
        <v>24</v>
      </c>
      <c r="OW14" s="226"/>
      <c r="OX14" s="226"/>
      <c r="OY14" s="226"/>
      <c r="OZ14" s="102"/>
      <c r="PA14" s="102"/>
      <c r="PB14" s="225" t="s">
        <v>25</v>
      </c>
      <c r="PC14" s="225"/>
      <c r="PD14" s="225"/>
      <c r="PE14" s="225"/>
      <c r="PF14" s="82"/>
      <c r="PG14" s="82"/>
      <c r="PH14" s="82"/>
      <c r="PI14" s="83"/>
      <c r="PJ14" s="81"/>
      <c r="PK14" s="82"/>
      <c r="PL14" s="82"/>
      <c r="PM14" s="82"/>
      <c r="PN14" s="225" t="s">
        <v>17</v>
      </c>
      <c r="PO14" s="225"/>
      <c r="PP14" s="225"/>
      <c r="PQ14" s="225"/>
      <c r="PR14" s="82"/>
      <c r="PS14" s="82"/>
      <c r="PT14" s="226" t="s">
        <v>18</v>
      </c>
      <c r="PU14" s="226"/>
      <c r="PV14" s="226"/>
      <c r="PW14" s="226"/>
      <c r="PX14" s="102"/>
      <c r="PY14" s="102"/>
      <c r="PZ14" s="225" t="s">
        <v>19</v>
      </c>
      <c r="QA14" s="225"/>
      <c r="QB14" s="225"/>
      <c r="QC14" s="225"/>
      <c r="QD14" s="82"/>
      <c r="QE14" s="82"/>
      <c r="QF14" s="226" t="s">
        <v>20</v>
      </c>
      <c r="QG14" s="226"/>
      <c r="QH14" s="226"/>
      <c r="QI14" s="226"/>
      <c r="QJ14" s="102"/>
      <c r="QK14" s="102"/>
      <c r="QL14" s="225" t="s">
        <v>21</v>
      </c>
      <c r="QM14" s="225"/>
      <c r="QN14" s="225"/>
      <c r="QO14" s="225"/>
      <c r="QP14" s="82"/>
      <c r="QQ14" s="82"/>
      <c r="QR14" s="226" t="s">
        <v>22</v>
      </c>
      <c r="QS14" s="226"/>
      <c r="QT14" s="226"/>
      <c r="QU14" s="226"/>
      <c r="QV14" s="102"/>
      <c r="QW14" s="102"/>
      <c r="QX14" s="225" t="s">
        <v>23</v>
      </c>
      <c r="QY14" s="225"/>
      <c r="QZ14" s="225"/>
      <c r="RA14" s="225"/>
      <c r="RB14" s="82"/>
      <c r="RC14" s="82"/>
      <c r="RD14" s="226" t="s">
        <v>24</v>
      </c>
      <c r="RE14" s="226"/>
      <c r="RF14" s="226"/>
      <c r="RG14" s="226"/>
      <c r="RH14" s="102"/>
      <c r="RI14" s="102"/>
      <c r="RJ14" s="225" t="s">
        <v>25</v>
      </c>
      <c r="RK14" s="225"/>
      <c r="RL14" s="225"/>
      <c r="RM14" s="225"/>
      <c r="RN14" s="82"/>
      <c r="RO14" s="82"/>
      <c r="RP14" s="82"/>
      <c r="RQ14" s="83"/>
      <c r="RR14" s="81"/>
      <c r="RS14" s="82"/>
      <c r="RT14" s="82"/>
      <c r="RU14" s="82"/>
      <c r="RV14" s="225" t="s">
        <v>17</v>
      </c>
      <c r="RW14" s="225"/>
      <c r="RX14" s="225"/>
      <c r="RY14" s="225"/>
      <c r="RZ14" s="82"/>
      <c r="SA14" s="82"/>
      <c r="SB14" s="226" t="s">
        <v>18</v>
      </c>
      <c r="SC14" s="226"/>
      <c r="SD14" s="226"/>
      <c r="SE14" s="226"/>
      <c r="SF14" s="102"/>
      <c r="SG14" s="102"/>
      <c r="SH14" s="225" t="s">
        <v>19</v>
      </c>
      <c r="SI14" s="225"/>
      <c r="SJ14" s="225"/>
      <c r="SK14" s="225"/>
      <c r="SL14" s="82"/>
      <c r="SM14" s="82"/>
      <c r="SN14" s="226" t="s">
        <v>20</v>
      </c>
      <c r="SO14" s="226"/>
      <c r="SP14" s="226"/>
      <c r="SQ14" s="226"/>
      <c r="SR14" s="102"/>
      <c r="SS14" s="102"/>
      <c r="ST14" s="225" t="s">
        <v>21</v>
      </c>
      <c r="SU14" s="225"/>
      <c r="SV14" s="225"/>
      <c r="SW14" s="225"/>
      <c r="SX14" s="82"/>
      <c r="SY14" s="82"/>
      <c r="SZ14" s="226" t="s">
        <v>22</v>
      </c>
      <c r="TA14" s="226"/>
      <c r="TB14" s="226"/>
      <c r="TC14" s="226"/>
      <c r="TD14" s="102"/>
      <c r="TE14" s="102"/>
      <c r="TF14" s="225" t="s">
        <v>23</v>
      </c>
      <c r="TG14" s="225"/>
      <c r="TH14" s="225"/>
      <c r="TI14" s="225"/>
      <c r="TJ14" s="82"/>
      <c r="TK14" s="82"/>
      <c r="TL14" s="226" t="s">
        <v>24</v>
      </c>
      <c r="TM14" s="226"/>
      <c r="TN14" s="226"/>
      <c r="TO14" s="226"/>
      <c r="TP14" s="102"/>
      <c r="TQ14" s="102"/>
      <c r="TR14" s="225" t="s">
        <v>25</v>
      </c>
      <c r="TS14" s="225"/>
      <c r="TT14" s="225"/>
      <c r="TU14" s="225"/>
      <c r="TV14" s="82"/>
      <c r="TW14" s="82"/>
      <c r="TX14" s="82"/>
      <c r="TY14" s="83"/>
      <c r="TZ14" s="81"/>
      <c r="UA14" s="82"/>
      <c r="UB14" s="82"/>
      <c r="UC14" s="82"/>
      <c r="UD14" s="225" t="s">
        <v>17</v>
      </c>
      <c r="UE14" s="225"/>
      <c r="UF14" s="225"/>
      <c r="UG14" s="225"/>
      <c r="UH14" s="82"/>
      <c r="UI14" s="82"/>
      <c r="UJ14" s="226" t="s">
        <v>18</v>
      </c>
      <c r="UK14" s="226"/>
      <c r="UL14" s="226"/>
      <c r="UM14" s="226"/>
      <c r="UN14" s="102"/>
      <c r="UO14" s="102"/>
      <c r="UP14" s="225" t="s">
        <v>19</v>
      </c>
      <c r="UQ14" s="225"/>
      <c r="UR14" s="225"/>
      <c r="US14" s="225"/>
      <c r="UT14" s="82"/>
      <c r="UU14" s="82"/>
      <c r="UV14" s="226" t="s">
        <v>20</v>
      </c>
      <c r="UW14" s="226"/>
      <c r="UX14" s="226"/>
      <c r="UY14" s="226"/>
      <c r="UZ14" s="102"/>
      <c r="VA14" s="102"/>
      <c r="VB14" s="225" t="s">
        <v>21</v>
      </c>
      <c r="VC14" s="225"/>
      <c r="VD14" s="225"/>
      <c r="VE14" s="225"/>
      <c r="VF14" s="82"/>
      <c r="VG14" s="82"/>
      <c r="VH14" s="226" t="s">
        <v>22</v>
      </c>
      <c r="VI14" s="226"/>
      <c r="VJ14" s="226"/>
      <c r="VK14" s="226"/>
      <c r="VL14" s="102"/>
      <c r="VM14" s="102"/>
      <c r="VN14" s="225" t="s">
        <v>23</v>
      </c>
      <c r="VO14" s="225"/>
      <c r="VP14" s="225"/>
      <c r="VQ14" s="225"/>
      <c r="VR14" s="82"/>
      <c r="VS14" s="82"/>
      <c r="VT14" s="226" t="s">
        <v>24</v>
      </c>
      <c r="VU14" s="226"/>
      <c r="VV14" s="226"/>
      <c r="VW14" s="226"/>
      <c r="VX14" s="102"/>
      <c r="VY14" s="102"/>
      <c r="VZ14" s="225" t="s">
        <v>25</v>
      </c>
      <c r="WA14" s="225"/>
      <c r="WB14" s="225"/>
      <c r="WC14" s="225"/>
      <c r="WD14" s="82"/>
      <c r="WE14" s="82"/>
      <c r="WF14" s="82"/>
      <c r="WG14" s="83"/>
      <c r="WH14" s="81"/>
      <c r="WI14" s="82"/>
      <c r="WJ14" s="82"/>
      <c r="WK14" s="82"/>
      <c r="WL14" s="225" t="s">
        <v>17</v>
      </c>
      <c r="WM14" s="225"/>
      <c r="WN14" s="225"/>
      <c r="WO14" s="225"/>
      <c r="WP14" s="82"/>
      <c r="WQ14" s="82"/>
      <c r="WR14" s="226" t="s">
        <v>18</v>
      </c>
      <c r="WS14" s="226"/>
      <c r="WT14" s="226"/>
      <c r="WU14" s="226"/>
      <c r="WV14" s="102"/>
      <c r="WW14" s="102"/>
      <c r="WX14" s="225" t="s">
        <v>19</v>
      </c>
      <c r="WY14" s="225"/>
      <c r="WZ14" s="225"/>
      <c r="XA14" s="225"/>
      <c r="XB14" s="82"/>
      <c r="XC14" s="82"/>
      <c r="XD14" s="226" t="s">
        <v>20</v>
      </c>
      <c r="XE14" s="226"/>
      <c r="XF14" s="226"/>
      <c r="XG14" s="226"/>
      <c r="XH14" s="102"/>
      <c r="XI14" s="102"/>
      <c r="XJ14" s="225" t="s">
        <v>21</v>
      </c>
      <c r="XK14" s="225"/>
      <c r="XL14" s="225"/>
      <c r="XM14" s="225"/>
      <c r="XN14" s="82"/>
      <c r="XO14" s="82"/>
      <c r="XP14" s="226" t="s">
        <v>22</v>
      </c>
      <c r="XQ14" s="226"/>
      <c r="XR14" s="226"/>
      <c r="XS14" s="226"/>
      <c r="XT14" s="102"/>
      <c r="XU14" s="102"/>
      <c r="XV14" s="225" t="s">
        <v>23</v>
      </c>
      <c r="XW14" s="225"/>
      <c r="XX14" s="225"/>
      <c r="XY14" s="225"/>
      <c r="XZ14" s="82"/>
      <c r="YA14" s="82"/>
      <c r="YB14" s="226" t="s">
        <v>24</v>
      </c>
      <c r="YC14" s="226"/>
      <c r="YD14" s="226"/>
      <c r="YE14" s="226"/>
      <c r="YF14" s="102"/>
      <c r="YG14" s="102"/>
      <c r="YH14" s="225" t="s">
        <v>25</v>
      </c>
      <c r="YI14" s="225"/>
      <c r="YJ14" s="225"/>
      <c r="YK14" s="225"/>
      <c r="YL14" s="82"/>
      <c r="YM14" s="82"/>
      <c r="YN14" s="82"/>
      <c r="YO14" s="83"/>
      <c r="YP14" s="81"/>
      <c r="YQ14" s="82"/>
      <c r="YR14" s="82"/>
      <c r="YS14" s="82"/>
      <c r="YT14" s="225" t="s">
        <v>17</v>
      </c>
      <c r="YU14" s="225"/>
      <c r="YV14" s="225"/>
      <c r="YW14" s="225"/>
      <c r="YX14" s="82"/>
      <c r="YY14" s="82"/>
      <c r="YZ14" s="226" t="s">
        <v>18</v>
      </c>
      <c r="ZA14" s="226"/>
      <c r="ZB14" s="226"/>
      <c r="ZC14" s="226"/>
      <c r="ZD14" s="102"/>
      <c r="ZE14" s="102"/>
      <c r="ZF14" s="225" t="s">
        <v>19</v>
      </c>
      <c r="ZG14" s="225"/>
      <c r="ZH14" s="225"/>
      <c r="ZI14" s="225"/>
      <c r="ZJ14" s="82"/>
      <c r="ZK14" s="82"/>
      <c r="ZL14" s="226" t="s">
        <v>20</v>
      </c>
      <c r="ZM14" s="226"/>
      <c r="ZN14" s="226"/>
      <c r="ZO14" s="226"/>
      <c r="ZP14" s="102"/>
      <c r="ZQ14" s="102"/>
      <c r="ZR14" s="225" t="s">
        <v>21</v>
      </c>
      <c r="ZS14" s="225"/>
      <c r="ZT14" s="225"/>
      <c r="ZU14" s="225"/>
      <c r="ZV14" s="82"/>
      <c r="ZW14" s="82"/>
      <c r="ZX14" s="226" t="s">
        <v>22</v>
      </c>
      <c r="ZY14" s="226"/>
      <c r="ZZ14" s="226"/>
      <c r="AAA14" s="226"/>
      <c r="AAB14" s="102"/>
      <c r="AAC14" s="102"/>
      <c r="AAD14" s="225" t="s">
        <v>23</v>
      </c>
      <c r="AAE14" s="225"/>
      <c r="AAF14" s="225"/>
      <c r="AAG14" s="225"/>
      <c r="AAH14" s="82"/>
      <c r="AAI14" s="82"/>
      <c r="AAJ14" s="226" t="s">
        <v>24</v>
      </c>
      <c r="AAK14" s="226"/>
      <c r="AAL14" s="226"/>
      <c r="AAM14" s="226"/>
      <c r="AAN14" s="102"/>
      <c r="AAO14" s="102"/>
      <c r="AAP14" s="225" t="s">
        <v>25</v>
      </c>
      <c r="AAQ14" s="225"/>
      <c r="AAR14" s="225"/>
      <c r="AAS14" s="225"/>
      <c r="AAT14" s="82"/>
      <c r="AAU14" s="82"/>
      <c r="AAV14" s="82"/>
      <c r="AAW14" s="83"/>
      <c r="AAX14" s="81"/>
      <c r="AAY14" s="82"/>
      <c r="AAZ14" s="82"/>
      <c r="ABA14" s="82"/>
      <c r="ABB14" s="225" t="s">
        <v>17</v>
      </c>
      <c r="ABC14" s="225"/>
      <c r="ABD14" s="225"/>
      <c r="ABE14" s="225"/>
      <c r="ABF14" s="82"/>
      <c r="ABG14" s="82"/>
      <c r="ABH14" s="226" t="s">
        <v>18</v>
      </c>
      <c r="ABI14" s="226"/>
      <c r="ABJ14" s="226"/>
      <c r="ABK14" s="226"/>
      <c r="ABL14" s="102"/>
      <c r="ABM14" s="102"/>
      <c r="ABN14" s="225" t="s">
        <v>19</v>
      </c>
      <c r="ABO14" s="225"/>
      <c r="ABP14" s="225"/>
      <c r="ABQ14" s="225"/>
      <c r="ABR14" s="82"/>
      <c r="ABS14" s="82"/>
      <c r="ABT14" s="226" t="s">
        <v>20</v>
      </c>
      <c r="ABU14" s="226"/>
      <c r="ABV14" s="226"/>
      <c r="ABW14" s="226"/>
      <c r="ABX14" s="102"/>
      <c r="ABY14" s="102"/>
      <c r="ABZ14" s="225" t="s">
        <v>21</v>
      </c>
      <c r="ACA14" s="225"/>
      <c r="ACB14" s="225"/>
      <c r="ACC14" s="225"/>
      <c r="ACD14" s="82"/>
      <c r="ACE14" s="82"/>
      <c r="ACF14" s="226" t="s">
        <v>22</v>
      </c>
      <c r="ACG14" s="226"/>
      <c r="ACH14" s="226"/>
      <c r="ACI14" s="226"/>
      <c r="ACJ14" s="102"/>
      <c r="ACK14" s="102"/>
      <c r="ACL14" s="225" t="s">
        <v>23</v>
      </c>
      <c r="ACM14" s="225"/>
      <c r="ACN14" s="225"/>
      <c r="ACO14" s="225"/>
      <c r="ACP14" s="82"/>
      <c r="ACQ14" s="82"/>
      <c r="ACR14" s="226" t="s">
        <v>24</v>
      </c>
      <c r="ACS14" s="226"/>
      <c r="ACT14" s="226"/>
      <c r="ACU14" s="226"/>
      <c r="ACV14" s="102"/>
      <c r="ACW14" s="102"/>
      <c r="ACX14" s="225" t="s">
        <v>25</v>
      </c>
      <c r="ACY14" s="225"/>
      <c r="ACZ14" s="225"/>
      <c r="ADA14" s="225"/>
      <c r="ADB14" s="82"/>
      <c r="ADC14" s="82"/>
      <c r="ADD14" s="82"/>
      <c r="ADE14" s="83"/>
      <c r="ADF14" s="81"/>
      <c r="ADG14" s="82"/>
      <c r="ADH14" s="82"/>
      <c r="ADI14" s="82"/>
      <c r="ADJ14" s="225" t="s">
        <v>17</v>
      </c>
      <c r="ADK14" s="225"/>
      <c r="ADL14" s="225"/>
      <c r="ADM14" s="225"/>
      <c r="ADN14" s="82"/>
      <c r="ADO14" s="82"/>
      <c r="ADP14" s="226" t="s">
        <v>18</v>
      </c>
      <c r="ADQ14" s="226"/>
      <c r="ADR14" s="226"/>
      <c r="ADS14" s="226"/>
      <c r="ADT14" s="102"/>
      <c r="ADU14" s="102"/>
      <c r="ADV14" s="225" t="s">
        <v>19</v>
      </c>
      <c r="ADW14" s="225"/>
      <c r="ADX14" s="225"/>
      <c r="ADY14" s="225"/>
      <c r="ADZ14" s="82"/>
      <c r="AEA14" s="82"/>
      <c r="AEB14" s="226" t="s">
        <v>20</v>
      </c>
      <c r="AEC14" s="226"/>
      <c r="AED14" s="226"/>
      <c r="AEE14" s="226"/>
      <c r="AEF14" s="102"/>
      <c r="AEG14" s="102"/>
      <c r="AEH14" s="225" t="s">
        <v>21</v>
      </c>
      <c r="AEI14" s="225"/>
      <c r="AEJ14" s="225"/>
      <c r="AEK14" s="225"/>
      <c r="AEL14" s="82"/>
      <c r="AEM14" s="82"/>
      <c r="AEN14" s="226" t="s">
        <v>22</v>
      </c>
      <c r="AEO14" s="226"/>
      <c r="AEP14" s="226"/>
      <c r="AEQ14" s="226"/>
      <c r="AER14" s="102"/>
      <c r="AES14" s="102"/>
      <c r="AET14" s="225" t="s">
        <v>23</v>
      </c>
      <c r="AEU14" s="225"/>
      <c r="AEV14" s="225"/>
      <c r="AEW14" s="225"/>
      <c r="AEX14" s="82"/>
      <c r="AEY14" s="82"/>
      <c r="AEZ14" s="226" t="s">
        <v>24</v>
      </c>
      <c r="AFA14" s="226"/>
      <c r="AFB14" s="226"/>
      <c r="AFC14" s="226"/>
      <c r="AFD14" s="102"/>
      <c r="AFE14" s="102"/>
      <c r="AFF14" s="225" t="s">
        <v>25</v>
      </c>
      <c r="AFG14" s="225"/>
      <c r="AFH14" s="225"/>
      <c r="AFI14" s="225"/>
      <c r="AFJ14" s="82"/>
      <c r="AFK14" s="82"/>
      <c r="AFL14" s="82"/>
      <c r="AFM14" s="83"/>
      <c r="AFN14" s="81"/>
      <c r="AFO14" s="82"/>
      <c r="AFP14" s="82"/>
      <c r="AFQ14" s="82"/>
      <c r="AFR14" s="225" t="s">
        <v>17</v>
      </c>
      <c r="AFS14" s="225"/>
      <c r="AFT14" s="225"/>
      <c r="AFU14" s="225"/>
      <c r="AFV14" s="82"/>
      <c r="AFW14" s="82"/>
      <c r="AFX14" s="226" t="s">
        <v>18</v>
      </c>
      <c r="AFY14" s="226"/>
      <c r="AFZ14" s="226"/>
      <c r="AGA14" s="226"/>
      <c r="AGB14" s="102"/>
      <c r="AGC14" s="102"/>
      <c r="AGD14" s="225" t="s">
        <v>19</v>
      </c>
      <c r="AGE14" s="225"/>
      <c r="AGF14" s="225"/>
      <c r="AGG14" s="225"/>
      <c r="AGH14" s="82"/>
      <c r="AGI14" s="82"/>
      <c r="AGJ14" s="226" t="s">
        <v>20</v>
      </c>
      <c r="AGK14" s="226"/>
      <c r="AGL14" s="226"/>
      <c r="AGM14" s="226"/>
      <c r="AGN14" s="102"/>
      <c r="AGO14" s="102"/>
      <c r="AGP14" s="225" t="s">
        <v>21</v>
      </c>
      <c r="AGQ14" s="225"/>
      <c r="AGR14" s="225"/>
      <c r="AGS14" s="225"/>
      <c r="AGT14" s="82"/>
      <c r="AGU14" s="82"/>
      <c r="AGV14" s="226" t="s">
        <v>22</v>
      </c>
      <c r="AGW14" s="226"/>
      <c r="AGX14" s="226"/>
      <c r="AGY14" s="226"/>
      <c r="AGZ14" s="102"/>
      <c r="AHA14" s="102"/>
      <c r="AHB14" s="225" t="s">
        <v>23</v>
      </c>
      <c r="AHC14" s="225"/>
      <c r="AHD14" s="225"/>
      <c r="AHE14" s="225"/>
      <c r="AHF14" s="82"/>
      <c r="AHG14" s="82"/>
      <c r="AHH14" s="226" t="s">
        <v>24</v>
      </c>
      <c r="AHI14" s="226"/>
      <c r="AHJ14" s="226"/>
      <c r="AHK14" s="226"/>
      <c r="AHL14" s="102"/>
      <c r="AHM14" s="102"/>
      <c r="AHN14" s="225" t="s">
        <v>25</v>
      </c>
      <c r="AHO14" s="225"/>
      <c r="AHP14" s="225"/>
      <c r="AHQ14" s="225"/>
      <c r="AHR14" s="82"/>
      <c r="AHS14" s="82"/>
      <c r="AHT14" s="82"/>
      <c r="AHU14" s="83"/>
      <c r="AHV14" s="81"/>
      <c r="AHW14" s="82"/>
      <c r="AHX14" s="82"/>
      <c r="AHY14" s="82"/>
      <c r="AHZ14" s="225" t="s">
        <v>17</v>
      </c>
      <c r="AIA14" s="225"/>
      <c r="AIB14" s="225"/>
      <c r="AIC14" s="225"/>
      <c r="AID14" s="82"/>
      <c r="AIE14" s="82"/>
      <c r="AIF14" s="226" t="s">
        <v>18</v>
      </c>
      <c r="AIG14" s="226"/>
      <c r="AIH14" s="226"/>
      <c r="AII14" s="226"/>
      <c r="AIJ14" s="102"/>
      <c r="AIK14" s="102"/>
      <c r="AIL14" s="225" t="s">
        <v>19</v>
      </c>
      <c r="AIM14" s="225"/>
      <c r="AIN14" s="225"/>
      <c r="AIO14" s="225"/>
      <c r="AIP14" s="82"/>
      <c r="AIQ14" s="82"/>
      <c r="AIR14" s="226" t="s">
        <v>20</v>
      </c>
      <c r="AIS14" s="226"/>
      <c r="AIT14" s="226"/>
      <c r="AIU14" s="226"/>
      <c r="AIV14" s="102"/>
      <c r="AIW14" s="102"/>
      <c r="AIX14" s="225" t="s">
        <v>21</v>
      </c>
      <c r="AIY14" s="225"/>
      <c r="AIZ14" s="225"/>
      <c r="AJA14" s="225"/>
      <c r="AJB14" s="82"/>
      <c r="AJC14" s="82"/>
      <c r="AJD14" s="226" t="s">
        <v>22</v>
      </c>
      <c r="AJE14" s="226"/>
      <c r="AJF14" s="226"/>
      <c r="AJG14" s="226"/>
      <c r="AJH14" s="102"/>
      <c r="AJI14" s="102"/>
      <c r="AJJ14" s="225" t="s">
        <v>23</v>
      </c>
      <c r="AJK14" s="225"/>
      <c r="AJL14" s="225"/>
      <c r="AJM14" s="225"/>
      <c r="AJN14" s="82"/>
      <c r="AJO14" s="82"/>
      <c r="AJP14" s="226" t="s">
        <v>24</v>
      </c>
      <c r="AJQ14" s="226"/>
      <c r="AJR14" s="226"/>
      <c r="AJS14" s="226"/>
      <c r="AJT14" s="102"/>
      <c r="AJU14" s="102"/>
      <c r="AJV14" s="225" t="s">
        <v>25</v>
      </c>
      <c r="AJW14" s="225"/>
      <c r="AJX14" s="225"/>
      <c r="AJY14" s="225"/>
      <c r="AJZ14" s="82"/>
      <c r="AKA14" s="82"/>
      <c r="AKB14" s="82"/>
      <c r="AKC14" s="83"/>
      <c r="AKD14" s="81"/>
      <c r="AKE14" s="82"/>
      <c r="AKF14" s="82"/>
      <c r="AKG14" s="82"/>
      <c r="AKH14" s="225" t="s">
        <v>17</v>
      </c>
      <c r="AKI14" s="225"/>
      <c r="AKJ14" s="225"/>
      <c r="AKK14" s="225"/>
      <c r="AKL14" s="82"/>
      <c r="AKM14" s="82"/>
      <c r="AKN14" s="226" t="s">
        <v>18</v>
      </c>
      <c r="AKO14" s="226"/>
      <c r="AKP14" s="226"/>
      <c r="AKQ14" s="226"/>
      <c r="AKR14" s="102"/>
      <c r="AKS14" s="102"/>
      <c r="AKT14" s="225" t="s">
        <v>19</v>
      </c>
      <c r="AKU14" s="225"/>
      <c r="AKV14" s="225"/>
      <c r="AKW14" s="225"/>
      <c r="AKX14" s="82"/>
      <c r="AKY14" s="82"/>
      <c r="AKZ14" s="226" t="s">
        <v>20</v>
      </c>
      <c r="ALA14" s="226"/>
      <c r="ALB14" s="226"/>
      <c r="ALC14" s="226"/>
      <c r="ALD14" s="102"/>
      <c r="ALE14" s="102"/>
      <c r="ALF14" s="225" t="s">
        <v>21</v>
      </c>
      <c r="ALG14" s="225"/>
      <c r="ALH14" s="225"/>
      <c r="ALI14" s="225"/>
      <c r="ALJ14" s="82"/>
      <c r="ALK14" s="82"/>
      <c r="ALL14" s="226" t="s">
        <v>22</v>
      </c>
      <c r="ALM14" s="226"/>
      <c r="ALN14" s="226"/>
      <c r="ALO14" s="226"/>
      <c r="ALP14" s="102"/>
      <c r="ALQ14" s="102"/>
      <c r="ALR14" s="225" t="s">
        <v>23</v>
      </c>
      <c r="ALS14" s="225"/>
      <c r="ALT14" s="225"/>
      <c r="ALU14" s="225"/>
      <c r="ALV14" s="82"/>
      <c r="ALW14" s="82"/>
      <c r="ALX14" s="226" t="s">
        <v>24</v>
      </c>
      <c r="ALY14" s="226"/>
      <c r="ALZ14" s="226"/>
      <c r="AMA14" s="226"/>
      <c r="AMB14" s="102"/>
      <c r="AMC14" s="102"/>
      <c r="AMD14" s="225" t="s">
        <v>25</v>
      </c>
      <c r="AME14" s="225"/>
      <c r="AMF14" s="225"/>
      <c r="AMG14" s="225"/>
      <c r="AMH14" s="82"/>
      <c r="AMI14" s="82"/>
      <c r="AMJ14" s="82"/>
      <c r="AMK14" s="83"/>
      <c r="AML14" s="81"/>
      <c r="AMM14" s="82"/>
      <c r="AMN14" s="82"/>
      <c r="AMO14" s="82"/>
      <c r="AMP14" s="225" t="s">
        <v>17</v>
      </c>
      <c r="AMQ14" s="225"/>
      <c r="AMR14" s="225"/>
      <c r="AMS14" s="225"/>
      <c r="AMT14" s="82"/>
      <c r="AMU14" s="82"/>
      <c r="AMV14" s="226" t="s">
        <v>18</v>
      </c>
      <c r="AMW14" s="226"/>
      <c r="AMX14" s="226"/>
      <c r="AMY14" s="226"/>
      <c r="AMZ14" s="102"/>
      <c r="ANA14" s="102"/>
      <c r="ANB14" s="225" t="s">
        <v>19</v>
      </c>
      <c r="ANC14" s="225"/>
      <c r="AND14" s="225"/>
      <c r="ANE14" s="225"/>
      <c r="ANF14" s="82"/>
      <c r="ANG14" s="82"/>
      <c r="ANH14" s="226" t="s">
        <v>20</v>
      </c>
      <c r="ANI14" s="226"/>
      <c r="ANJ14" s="226"/>
      <c r="ANK14" s="226"/>
      <c r="ANL14" s="102"/>
      <c r="ANM14" s="102"/>
      <c r="ANN14" s="225" t="s">
        <v>21</v>
      </c>
      <c r="ANO14" s="225"/>
      <c r="ANP14" s="225"/>
      <c r="ANQ14" s="225"/>
      <c r="ANR14" s="82"/>
      <c r="ANS14" s="82"/>
      <c r="ANT14" s="226" t="s">
        <v>22</v>
      </c>
      <c r="ANU14" s="226"/>
      <c r="ANV14" s="226"/>
      <c r="ANW14" s="226"/>
      <c r="ANX14" s="102"/>
      <c r="ANY14" s="102"/>
      <c r="ANZ14" s="225" t="s">
        <v>23</v>
      </c>
      <c r="AOA14" s="225"/>
      <c r="AOB14" s="225"/>
      <c r="AOC14" s="225"/>
      <c r="AOD14" s="82"/>
      <c r="AOE14" s="82"/>
      <c r="AOF14" s="226" t="s">
        <v>24</v>
      </c>
      <c r="AOG14" s="226"/>
      <c r="AOH14" s="226"/>
      <c r="AOI14" s="226"/>
      <c r="AOJ14" s="102"/>
      <c r="AOK14" s="102"/>
      <c r="AOL14" s="225" t="s">
        <v>25</v>
      </c>
      <c r="AOM14" s="225"/>
      <c r="AON14" s="225"/>
      <c r="AOO14" s="225"/>
      <c r="AOP14" s="82"/>
      <c r="AOQ14" s="82"/>
      <c r="AOR14" s="82"/>
      <c r="AOS14" s="83"/>
      <c r="AOT14" s="81"/>
      <c r="AOU14" s="82"/>
      <c r="AOV14" s="82"/>
      <c r="AOW14" s="82"/>
      <c r="AOX14" s="225" t="s">
        <v>17</v>
      </c>
      <c r="AOY14" s="225"/>
      <c r="AOZ14" s="225"/>
      <c r="APA14" s="225"/>
      <c r="APB14" s="82"/>
      <c r="APC14" s="82"/>
      <c r="APD14" s="226" t="s">
        <v>18</v>
      </c>
      <c r="APE14" s="226"/>
      <c r="APF14" s="226"/>
      <c r="APG14" s="226"/>
      <c r="APH14" s="102"/>
      <c r="API14" s="102"/>
      <c r="APJ14" s="225" t="s">
        <v>19</v>
      </c>
      <c r="APK14" s="225"/>
      <c r="APL14" s="225"/>
      <c r="APM14" s="225"/>
      <c r="APN14" s="82"/>
      <c r="APO14" s="82"/>
      <c r="APP14" s="226" t="s">
        <v>20</v>
      </c>
      <c r="APQ14" s="226"/>
      <c r="APR14" s="226"/>
      <c r="APS14" s="226"/>
      <c r="APT14" s="102"/>
      <c r="APU14" s="102"/>
      <c r="APV14" s="225" t="s">
        <v>21</v>
      </c>
      <c r="APW14" s="225"/>
      <c r="APX14" s="225"/>
      <c r="APY14" s="225"/>
      <c r="APZ14" s="82"/>
      <c r="AQA14" s="82"/>
      <c r="AQB14" s="226" t="s">
        <v>22</v>
      </c>
      <c r="AQC14" s="226"/>
      <c r="AQD14" s="226"/>
      <c r="AQE14" s="226"/>
      <c r="AQF14" s="102"/>
      <c r="AQG14" s="102"/>
      <c r="AQH14" s="225" t="s">
        <v>23</v>
      </c>
      <c r="AQI14" s="225"/>
      <c r="AQJ14" s="225"/>
      <c r="AQK14" s="225"/>
      <c r="AQL14" s="82"/>
      <c r="AQM14" s="82"/>
      <c r="AQN14" s="226" t="s">
        <v>24</v>
      </c>
      <c r="AQO14" s="226"/>
      <c r="AQP14" s="226"/>
      <c r="AQQ14" s="226"/>
      <c r="AQR14" s="102"/>
      <c r="AQS14" s="102"/>
      <c r="AQT14" s="225" t="s">
        <v>25</v>
      </c>
      <c r="AQU14" s="225"/>
      <c r="AQV14" s="225"/>
      <c r="AQW14" s="225"/>
      <c r="AQX14" s="82"/>
      <c r="AQY14" s="82"/>
      <c r="AQZ14" s="82"/>
      <c r="ARA14" s="83"/>
      <c r="ARB14" s="81"/>
      <c r="ARC14" s="82"/>
      <c r="ARD14" s="82"/>
      <c r="ARE14" s="82"/>
      <c r="ARF14" s="225" t="s">
        <v>17</v>
      </c>
      <c r="ARG14" s="225"/>
      <c r="ARH14" s="225"/>
      <c r="ARI14" s="225"/>
      <c r="ARJ14" s="82"/>
      <c r="ARK14" s="82"/>
      <c r="ARL14" s="226" t="s">
        <v>18</v>
      </c>
      <c r="ARM14" s="226"/>
      <c r="ARN14" s="226"/>
      <c r="ARO14" s="226"/>
      <c r="ARP14" s="102"/>
      <c r="ARQ14" s="102"/>
      <c r="ARR14" s="225" t="s">
        <v>19</v>
      </c>
      <c r="ARS14" s="225"/>
      <c r="ART14" s="225"/>
      <c r="ARU14" s="225"/>
      <c r="ARV14" s="82"/>
      <c r="ARW14" s="82"/>
      <c r="ARX14" s="226" t="s">
        <v>20</v>
      </c>
      <c r="ARY14" s="226"/>
      <c r="ARZ14" s="226"/>
      <c r="ASA14" s="226"/>
      <c r="ASB14" s="102"/>
      <c r="ASC14" s="102"/>
      <c r="ASD14" s="225" t="s">
        <v>21</v>
      </c>
      <c r="ASE14" s="225"/>
      <c r="ASF14" s="225"/>
      <c r="ASG14" s="225"/>
      <c r="ASH14" s="82"/>
      <c r="ASI14" s="82"/>
      <c r="ASJ14" s="226" t="s">
        <v>22</v>
      </c>
      <c r="ASK14" s="226"/>
      <c r="ASL14" s="226"/>
      <c r="ASM14" s="226"/>
      <c r="ASN14" s="102"/>
      <c r="ASO14" s="102"/>
      <c r="ASP14" s="225" t="s">
        <v>23</v>
      </c>
      <c r="ASQ14" s="225"/>
      <c r="ASR14" s="225"/>
      <c r="ASS14" s="225"/>
      <c r="AST14" s="82"/>
      <c r="ASU14" s="82"/>
      <c r="ASV14" s="226" t="s">
        <v>24</v>
      </c>
      <c r="ASW14" s="226"/>
      <c r="ASX14" s="226"/>
      <c r="ASY14" s="226"/>
      <c r="ASZ14" s="102"/>
      <c r="ATA14" s="102"/>
      <c r="ATB14" s="225" t="s">
        <v>25</v>
      </c>
      <c r="ATC14" s="225"/>
      <c r="ATD14" s="225"/>
      <c r="ATE14" s="225"/>
      <c r="ATF14" s="82"/>
      <c r="ATG14" s="82"/>
      <c r="ATH14" s="82"/>
      <c r="ATI14" s="83"/>
      <c r="ATJ14" s="81"/>
      <c r="ATK14" s="82"/>
      <c r="ATL14" s="82"/>
      <c r="ATM14" s="82"/>
      <c r="ATN14" s="225" t="s">
        <v>17</v>
      </c>
      <c r="ATO14" s="225"/>
      <c r="ATP14" s="225"/>
      <c r="ATQ14" s="225"/>
      <c r="ATR14" s="82"/>
      <c r="ATS14" s="82"/>
      <c r="ATT14" s="226" t="s">
        <v>18</v>
      </c>
      <c r="ATU14" s="226"/>
      <c r="ATV14" s="226"/>
      <c r="ATW14" s="226"/>
      <c r="ATX14" s="102"/>
      <c r="ATY14" s="102"/>
      <c r="ATZ14" s="225" t="s">
        <v>19</v>
      </c>
      <c r="AUA14" s="225"/>
      <c r="AUB14" s="225"/>
      <c r="AUC14" s="225"/>
      <c r="AUD14" s="82"/>
      <c r="AUE14" s="82"/>
      <c r="AUF14" s="226" t="s">
        <v>20</v>
      </c>
      <c r="AUG14" s="226"/>
      <c r="AUH14" s="226"/>
      <c r="AUI14" s="226"/>
      <c r="AUJ14" s="102"/>
      <c r="AUK14" s="102"/>
      <c r="AUL14" s="225" t="s">
        <v>21</v>
      </c>
      <c r="AUM14" s="225"/>
      <c r="AUN14" s="225"/>
      <c r="AUO14" s="225"/>
      <c r="AUP14" s="82"/>
      <c r="AUQ14" s="82"/>
      <c r="AUR14" s="226" t="s">
        <v>22</v>
      </c>
      <c r="AUS14" s="226"/>
      <c r="AUT14" s="226"/>
      <c r="AUU14" s="226"/>
      <c r="AUV14" s="102"/>
      <c r="AUW14" s="102"/>
      <c r="AUX14" s="225" t="s">
        <v>23</v>
      </c>
      <c r="AUY14" s="225"/>
      <c r="AUZ14" s="225"/>
      <c r="AVA14" s="225"/>
      <c r="AVB14" s="82"/>
      <c r="AVC14" s="82"/>
      <c r="AVD14" s="226" t="s">
        <v>24</v>
      </c>
      <c r="AVE14" s="226"/>
      <c r="AVF14" s="226"/>
      <c r="AVG14" s="226"/>
      <c r="AVH14" s="102"/>
      <c r="AVI14" s="102"/>
      <c r="AVJ14" s="225" t="s">
        <v>25</v>
      </c>
      <c r="AVK14" s="225"/>
      <c r="AVL14" s="225"/>
      <c r="AVM14" s="225"/>
      <c r="AVN14" s="82"/>
      <c r="AVO14" s="82"/>
      <c r="AVP14" s="82"/>
      <c r="AVQ14" s="83"/>
      <c r="AVR14" s="81"/>
      <c r="AVS14" s="82"/>
      <c r="AVT14" s="82"/>
      <c r="AVU14" s="82"/>
      <c r="AVV14" s="225" t="s">
        <v>17</v>
      </c>
      <c r="AVW14" s="225"/>
      <c r="AVX14" s="225"/>
      <c r="AVY14" s="225"/>
      <c r="AVZ14" s="82"/>
      <c r="AWA14" s="82"/>
      <c r="AWB14" s="226" t="s">
        <v>18</v>
      </c>
      <c r="AWC14" s="226"/>
      <c r="AWD14" s="226"/>
      <c r="AWE14" s="226"/>
      <c r="AWF14" s="102"/>
      <c r="AWG14" s="102"/>
      <c r="AWH14" s="225" t="s">
        <v>19</v>
      </c>
      <c r="AWI14" s="225"/>
      <c r="AWJ14" s="225"/>
      <c r="AWK14" s="225"/>
      <c r="AWL14" s="82"/>
      <c r="AWM14" s="82"/>
      <c r="AWN14" s="226" t="s">
        <v>20</v>
      </c>
      <c r="AWO14" s="226"/>
      <c r="AWP14" s="226"/>
      <c r="AWQ14" s="226"/>
      <c r="AWR14" s="102"/>
      <c r="AWS14" s="102"/>
      <c r="AWT14" s="225" t="s">
        <v>21</v>
      </c>
      <c r="AWU14" s="225"/>
      <c r="AWV14" s="225"/>
      <c r="AWW14" s="225"/>
      <c r="AWX14" s="82"/>
      <c r="AWY14" s="82"/>
      <c r="AWZ14" s="226" t="s">
        <v>22</v>
      </c>
      <c r="AXA14" s="226"/>
      <c r="AXB14" s="226"/>
      <c r="AXC14" s="226"/>
      <c r="AXD14" s="102"/>
      <c r="AXE14" s="102"/>
      <c r="AXF14" s="225" t="s">
        <v>23</v>
      </c>
      <c r="AXG14" s="225"/>
      <c r="AXH14" s="225"/>
      <c r="AXI14" s="225"/>
      <c r="AXJ14" s="82"/>
      <c r="AXK14" s="82"/>
      <c r="AXL14" s="226" t="s">
        <v>24</v>
      </c>
      <c r="AXM14" s="226"/>
      <c r="AXN14" s="226"/>
      <c r="AXO14" s="226"/>
      <c r="AXP14" s="102"/>
      <c r="AXQ14" s="102"/>
      <c r="AXR14" s="225" t="s">
        <v>25</v>
      </c>
      <c r="AXS14" s="225"/>
      <c r="AXT14" s="225"/>
      <c r="AXU14" s="225"/>
      <c r="AXV14" s="82"/>
      <c r="AXW14" s="82"/>
      <c r="AXX14" s="82"/>
      <c r="AXY14" s="83"/>
      <c r="AXZ14" s="81"/>
      <c r="AYA14" s="82"/>
      <c r="AYB14" s="82"/>
      <c r="AYC14" s="82"/>
      <c r="AYD14" s="225" t="s">
        <v>17</v>
      </c>
      <c r="AYE14" s="225"/>
      <c r="AYF14" s="225"/>
      <c r="AYG14" s="225"/>
      <c r="AYH14" s="82"/>
      <c r="AYI14" s="82"/>
      <c r="AYJ14" s="226" t="s">
        <v>18</v>
      </c>
      <c r="AYK14" s="226"/>
      <c r="AYL14" s="226"/>
      <c r="AYM14" s="226"/>
      <c r="AYN14" s="102"/>
      <c r="AYO14" s="102"/>
      <c r="AYP14" s="225" t="s">
        <v>19</v>
      </c>
      <c r="AYQ14" s="225"/>
      <c r="AYR14" s="225"/>
      <c r="AYS14" s="225"/>
      <c r="AYT14" s="82"/>
      <c r="AYU14" s="82"/>
      <c r="AYV14" s="226" t="s">
        <v>20</v>
      </c>
      <c r="AYW14" s="226"/>
      <c r="AYX14" s="226"/>
      <c r="AYY14" s="226"/>
      <c r="AYZ14" s="102"/>
      <c r="AZA14" s="102"/>
      <c r="AZB14" s="225" t="s">
        <v>21</v>
      </c>
      <c r="AZC14" s="225"/>
      <c r="AZD14" s="225"/>
      <c r="AZE14" s="225"/>
      <c r="AZF14" s="82"/>
      <c r="AZG14" s="82"/>
      <c r="AZH14" s="226" t="s">
        <v>22</v>
      </c>
      <c r="AZI14" s="226"/>
      <c r="AZJ14" s="226"/>
      <c r="AZK14" s="226"/>
      <c r="AZL14" s="102"/>
      <c r="AZM14" s="102"/>
      <c r="AZN14" s="225" t="s">
        <v>23</v>
      </c>
      <c r="AZO14" s="225"/>
      <c r="AZP14" s="225"/>
      <c r="AZQ14" s="225"/>
      <c r="AZR14" s="82"/>
      <c r="AZS14" s="82"/>
      <c r="AZT14" s="226" t="s">
        <v>24</v>
      </c>
      <c r="AZU14" s="226"/>
      <c r="AZV14" s="226"/>
      <c r="AZW14" s="226"/>
      <c r="AZX14" s="102"/>
      <c r="AZY14" s="102"/>
      <c r="AZZ14" s="225" t="s">
        <v>25</v>
      </c>
      <c r="BAA14" s="225"/>
      <c r="BAB14" s="225"/>
      <c r="BAC14" s="225"/>
      <c r="BAD14" s="82"/>
      <c r="BAE14" s="82"/>
      <c r="BAF14" s="82"/>
      <c r="BAG14" s="83"/>
      <c r="BAH14" s="81"/>
      <c r="BAI14" s="82"/>
      <c r="BAJ14" s="82"/>
      <c r="BAK14" s="82"/>
      <c r="BAL14" s="225" t="s">
        <v>17</v>
      </c>
      <c r="BAM14" s="225"/>
      <c r="BAN14" s="225"/>
      <c r="BAO14" s="225"/>
      <c r="BAP14" s="82"/>
      <c r="BAQ14" s="82"/>
      <c r="BAR14" s="226" t="s">
        <v>18</v>
      </c>
      <c r="BAS14" s="226"/>
      <c r="BAT14" s="226"/>
      <c r="BAU14" s="226"/>
      <c r="BAV14" s="102"/>
      <c r="BAW14" s="102"/>
      <c r="BAX14" s="225" t="s">
        <v>19</v>
      </c>
      <c r="BAY14" s="225"/>
      <c r="BAZ14" s="225"/>
      <c r="BBA14" s="225"/>
      <c r="BBB14" s="82"/>
      <c r="BBC14" s="82"/>
      <c r="BBD14" s="226" t="s">
        <v>20</v>
      </c>
      <c r="BBE14" s="226"/>
      <c r="BBF14" s="226"/>
      <c r="BBG14" s="226"/>
      <c r="BBH14" s="102"/>
      <c r="BBI14" s="102"/>
      <c r="BBJ14" s="225" t="s">
        <v>21</v>
      </c>
      <c r="BBK14" s="225"/>
      <c r="BBL14" s="225"/>
      <c r="BBM14" s="225"/>
      <c r="BBN14" s="82"/>
      <c r="BBO14" s="82"/>
      <c r="BBP14" s="226" t="s">
        <v>22</v>
      </c>
      <c r="BBQ14" s="226"/>
      <c r="BBR14" s="226"/>
      <c r="BBS14" s="226"/>
      <c r="BBT14" s="102"/>
      <c r="BBU14" s="102"/>
      <c r="BBV14" s="225" t="s">
        <v>23</v>
      </c>
      <c r="BBW14" s="225"/>
      <c r="BBX14" s="225"/>
      <c r="BBY14" s="225"/>
      <c r="BBZ14" s="82"/>
      <c r="BCA14" s="82"/>
      <c r="BCB14" s="226" t="s">
        <v>24</v>
      </c>
      <c r="BCC14" s="226"/>
      <c r="BCD14" s="226"/>
      <c r="BCE14" s="226"/>
      <c r="BCF14" s="102"/>
      <c r="BCG14" s="102"/>
      <c r="BCH14" s="225" t="s">
        <v>25</v>
      </c>
      <c r="BCI14" s="225"/>
      <c r="BCJ14" s="225"/>
      <c r="BCK14" s="225"/>
      <c r="BCL14" s="82"/>
      <c r="BCM14" s="82"/>
      <c r="BCN14" s="82"/>
      <c r="BCO14" s="83"/>
      <c r="BCP14" s="81"/>
      <c r="BCQ14" s="82"/>
      <c r="BCR14" s="82"/>
      <c r="BCS14" s="82"/>
      <c r="BCT14" s="225" t="s">
        <v>17</v>
      </c>
      <c r="BCU14" s="225"/>
      <c r="BCV14" s="225"/>
      <c r="BCW14" s="225"/>
      <c r="BCX14" s="82"/>
      <c r="BCY14" s="82"/>
      <c r="BCZ14" s="226" t="s">
        <v>18</v>
      </c>
      <c r="BDA14" s="226"/>
      <c r="BDB14" s="226"/>
      <c r="BDC14" s="226"/>
      <c r="BDD14" s="102"/>
      <c r="BDE14" s="102"/>
      <c r="BDF14" s="225" t="s">
        <v>19</v>
      </c>
      <c r="BDG14" s="225"/>
      <c r="BDH14" s="225"/>
      <c r="BDI14" s="225"/>
      <c r="BDJ14" s="82"/>
      <c r="BDK14" s="82"/>
      <c r="BDL14" s="226" t="s">
        <v>20</v>
      </c>
      <c r="BDM14" s="226"/>
      <c r="BDN14" s="226"/>
      <c r="BDO14" s="226"/>
      <c r="BDP14" s="102"/>
      <c r="BDQ14" s="102"/>
      <c r="BDR14" s="225" t="s">
        <v>21</v>
      </c>
      <c r="BDS14" s="225"/>
      <c r="BDT14" s="225"/>
      <c r="BDU14" s="225"/>
      <c r="BDV14" s="82"/>
      <c r="BDW14" s="82"/>
      <c r="BDX14" s="226" t="s">
        <v>22</v>
      </c>
      <c r="BDY14" s="226"/>
      <c r="BDZ14" s="226"/>
      <c r="BEA14" s="226"/>
      <c r="BEB14" s="102"/>
      <c r="BEC14" s="102"/>
      <c r="BED14" s="225" t="s">
        <v>23</v>
      </c>
      <c r="BEE14" s="225"/>
      <c r="BEF14" s="225"/>
      <c r="BEG14" s="225"/>
      <c r="BEH14" s="82"/>
      <c r="BEI14" s="82"/>
      <c r="BEJ14" s="226" t="s">
        <v>24</v>
      </c>
      <c r="BEK14" s="226"/>
      <c r="BEL14" s="226"/>
      <c r="BEM14" s="226"/>
      <c r="BEN14" s="102"/>
      <c r="BEO14" s="102"/>
      <c r="BEP14" s="225" t="s">
        <v>25</v>
      </c>
      <c r="BEQ14" s="225"/>
      <c r="BER14" s="225"/>
      <c r="BES14" s="225"/>
      <c r="BET14" s="82"/>
      <c r="BEU14" s="82"/>
      <c r="BEV14" s="82"/>
      <c r="BEW14" s="83"/>
      <c r="BEX14" s="81"/>
      <c r="BEY14" s="82"/>
      <c r="BEZ14" s="82"/>
      <c r="BFA14" s="82"/>
      <c r="BFB14" s="225" t="s">
        <v>17</v>
      </c>
      <c r="BFC14" s="225"/>
      <c r="BFD14" s="225"/>
      <c r="BFE14" s="225"/>
      <c r="BFF14" s="82"/>
      <c r="BFG14" s="82"/>
      <c r="BFH14" s="226" t="s">
        <v>18</v>
      </c>
      <c r="BFI14" s="226"/>
      <c r="BFJ14" s="226"/>
      <c r="BFK14" s="226"/>
      <c r="BFL14" s="102"/>
      <c r="BFM14" s="102"/>
      <c r="BFN14" s="225" t="s">
        <v>19</v>
      </c>
      <c r="BFO14" s="225"/>
      <c r="BFP14" s="225"/>
      <c r="BFQ14" s="225"/>
      <c r="BFR14" s="82"/>
      <c r="BFS14" s="82"/>
      <c r="BFT14" s="226" t="s">
        <v>20</v>
      </c>
      <c r="BFU14" s="226"/>
      <c r="BFV14" s="226"/>
      <c r="BFW14" s="226"/>
      <c r="BFX14" s="102"/>
      <c r="BFY14" s="102"/>
      <c r="BFZ14" s="225" t="s">
        <v>21</v>
      </c>
      <c r="BGA14" s="225"/>
      <c r="BGB14" s="225"/>
      <c r="BGC14" s="225"/>
      <c r="BGD14" s="82"/>
      <c r="BGE14" s="82"/>
      <c r="BGF14" s="226" t="s">
        <v>22</v>
      </c>
      <c r="BGG14" s="226"/>
      <c r="BGH14" s="226"/>
      <c r="BGI14" s="226"/>
      <c r="BGJ14" s="102"/>
      <c r="BGK14" s="102"/>
      <c r="BGL14" s="225" t="s">
        <v>23</v>
      </c>
      <c r="BGM14" s="225"/>
      <c r="BGN14" s="225"/>
      <c r="BGO14" s="225"/>
      <c r="BGP14" s="82"/>
      <c r="BGQ14" s="82"/>
      <c r="BGR14" s="226" t="s">
        <v>24</v>
      </c>
      <c r="BGS14" s="226"/>
      <c r="BGT14" s="226"/>
      <c r="BGU14" s="226"/>
      <c r="BGV14" s="102"/>
      <c r="BGW14" s="102"/>
      <c r="BGX14" s="225" t="s">
        <v>25</v>
      </c>
      <c r="BGY14" s="225"/>
      <c r="BGZ14" s="225"/>
      <c r="BHA14" s="225"/>
      <c r="BHB14" s="82"/>
      <c r="BHC14" s="82"/>
      <c r="BHD14" s="82"/>
      <c r="BHE14" s="83"/>
      <c r="BHF14" s="81"/>
      <c r="BHG14" s="82"/>
      <c r="BHH14" s="82"/>
      <c r="BHI14" s="82"/>
      <c r="BHJ14" s="225" t="s">
        <v>17</v>
      </c>
      <c r="BHK14" s="225"/>
      <c r="BHL14" s="225"/>
      <c r="BHM14" s="225"/>
      <c r="BHN14" s="82"/>
      <c r="BHO14" s="82"/>
      <c r="BHP14" s="226" t="s">
        <v>18</v>
      </c>
      <c r="BHQ14" s="226"/>
      <c r="BHR14" s="226"/>
      <c r="BHS14" s="226"/>
      <c r="BHT14" s="102"/>
      <c r="BHU14" s="102"/>
      <c r="BHV14" s="225" t="s">
        <v>19</v>
      </c>
      <c r="BHW14" s="225"/>
      <c r="BHX14" s="225"/>
      <c r="BHY14" s="225"/>
      <c r="BHZ14" s="82"/>
      <c r="BIA14" s="82"/>
      <c r="BIB14" s="226" t="s">
        <v>20</v>
      </c>
      <c r="BIC14" s="226"/>
      <c r="BID14" s="226"/>
      <c r="BIE14" s="226"/>
      <c r="BIF14" s="102"/>
      <c r="BIG14" s="102"/>
      <c r="BIH14" s="225" t="s">
        <v>21</v>
      </c>
      <c r="BII14" s="225"/>
      <c r="BIJ14" s="225"/>
      <c r="BIK14" s="225"/>
      <c r="BIL14" s="82"/>
      <c r="BIM14" s="82"/>
      <c r="BIN14" s="226" t="s">
        <v>22</v>
      </c>
      <c r="BIO14" s="226"/>
      <c r="BIP14" s="226"/>
      <c r="BIQ14" s="226"/>
      <c r="BIR14" s="102"/>
      <c r="BIS14" s="102"/>
      <c r="BIT14" s="225" t="s">
        <v>23</v>
      </c>
      <c r="BIU14" s="225"/>
      <c r="BIV14" s="225"/>
      <c r="BIW14" s="225"/>
      <c r="BIX14" s="82"/>
      <c r="BIY14" s="82"/>
      <c r="BIZ14" s="226" t="s">
        <v>24</v>
      </c>
      <c r="BJA14" s="226"/>
      <c r="BJB14" s="226"/>
      <c r="BJC14" s="226"/>
      <c r="BJD14" s="102"/>
      <c r="BJE14" s="102"/>
      <c r="BJF14" s="225" t="s">
        <v>25</v>
      </c>
      <c r="BJG14" s="225"/>
      <c r="BJH14" s="225"/>
      <c r="BJI14" s="225"/>
      <c r="BJJ14" s="82"/>
      <c r="BJK14" s="82"/>
      <c r="BJL14" s="82"/>
      <c r="BJM14" s="83"/>
      <c r="BJN14" s="81"/>
      <c r="BJO14" s="82"/>
      <c r="BJP14" s="82"/>
      <c r="BJQ14" s="82"/>
      <c r="BJR14" s="225" t="s">
        <v>17</v>
      </c>
      <c r="BJS14" s="225"/>
      <c r="BJT14" s="225"/>
      <c r="BJU14" s="225"/>
      <c r="BJV14" s="82"/>
      <c r="BJW14" s="82"/>
      <c r="BJX14" s="226" t="s">
        <v>18</v>
      </c>
      <c r="BJY14" s="226"/>
      <c r="BJZ14" s="226"/>
      <c r="BKA14" s="226"/>
      <c r="BKB14" s="102"/>
      <c r="BKC14" s="102"/>
      <c r="BKD14" s="225" t="s">
        <v>19</v>
      </c>
      <c r="BKE14" s="225"/>
      <c r="BKF14" s="225"/>
      <c r="BKG14" s="225"/>
      <c r="BKH14" s="82"/>
      <c r="BKI14" s="82"/>
      <c r="BKJ14" s="226" t="s">
        <v>20</v>
      </c>
      <c r="BKK14" s="226"/>
      <c r="BKL14" s="226"/>
      <c r="BKM14" s="226"/>
      <c r="BKN14" s="102"/>
      <c r="BKO14" s="102"/>
      <c r="BKP14" s="225" t="s">
        <v>21</v>
      </c>
      <c r="BKQ14" s="225"/>
      <c r="BKR14" s="225"/>
      <c r="BKS14" s="225"/>
      <c r="BKT14" s="82"/>
      <c r="BKU14" s="82"/>
      <c r="BKV14" s="226" t="s">
        <v>22</v>
      </c>
      <c r="BKW14" s="226"/>
      <c r="BKX14" s="226"/>
      <c r="BKY14" s="226"/>
      <c r="BKZ14" s="102"/>
      <c r="BLA14" s="102"/>
      <c r="BLB14" s="225" t="s">
        <v>23</v>
      </c>
      <c r="BLC14" s="225"/>
      <c r="BLD14" s="225"/>
      <c r="BLE14" s="225"/>
      <c r="BLF14" s="82"/>
      <c r="BLG14" s="82"/>
      <c r="BLH14" s="226" t="s">
        <v>24</v>
      </c>
      <c r="BLI14" s="226"/>
      <c r="BLJ14" s="226"/>
      <c r="BLK14" s="226"/>
      <c r="BLL14" s="102"/>
      <c r="BLM14" s="102"/>
      <c r="BLN14" s="225" t="s">
        <v>25</v>
      </c>
      <c r="BLO14" s="225"/>
      <c r="BLP14" s="225"/>
      <c r="BLQ14" s="225"/>
      <c r="BLR14" s="82"/>
      <c r="BLS14" s="82"/>
      <c r="BLT14" s="82"/>
      <c r="BLU14" s="83"/>
      <c r="BLV14" s="81"/>
      <c r="BLW14" s="82"/>
      <c r="BLX14" s="82"/>
      <c r="BLY14" s="82"/>
      <c r="BLZ14" s="225" t="s">
        <v>17</v>
      </c>
      <c r="BMA14" s="225"/>
      <c r="BMB14" s="225"/>
      <c r="BMC14" s="225"/>
      <c r="BMD14" s="82"/>
      <c r="BME14" s="82"/>
      <c r="BMF14" s="226" t="s">
        <v>18</v>
      </c>
      <c r="BMG14" s="226"/>
      <c r="BMH14" s="226"/>
      <c r="BMI14" s="226"/>
      <c r="BMJ14" s="102"/>
      <c r="BMK14" s="102"/>
      <c r="BML14" s="225" t="s">
        <v>19</v>
      </c>
      <c r="BMM14" s="225"/>
      <c r="BMN14" s="225"/>
      <c r="BMO14" s="225"/>
      <c r="BMP14" s="82"/>
      <c r="BMQ14" s="82"/>
      <c r="BMR14" s="226" t="s">
        <v>20</v>
      </c>
      <c r="BMS14" s="226"/>
      <c r="BMT14" s="226"/>
      <c r="BMU14" s="226"/>
      <c r="BMV14" s="102"/>
      <c r="BMW14" s="102"/>
      <c r="BMX14" s="225" t="s">
        <v>21</v>
      </c>
      <c r="BMY14" s="225"/>
      <c r="BMZ14" s="225"/>
      <c r="BNA14" s="225"/>
      <c r="BNB14" s="82"/>
      <c r="BNC14" s="82"/>
      <c r="BND14" s="226" t="s">
        <v>22</v>
      </c>
      <c r="BNE14" s="226"/>
      <c r="BNF14" s="226"/>
      <c r="BNG14" s="226"/>
      <c r="BNH14" s="102"/>
      <c r="BNI14" s="102"/>
      <c r="BNJ14" s="225" t="s">
        <v>23</v>
      </c>
      <c r="BNK14" s="225"/>
      <c r="BNL14" s="225"/>
      <c r="BNM14" s="225"/>
      <c r="BNN14" s="82"/>
      <c r="BNO14" s="82"/>
      <c r="BNP14" s="226" t="s">
        <v>24</v>
      </c>
      <c r="BNQ14" s="226"/>
      <c r="BNR14" s="226"/>
      <c r="BNS14" s="226"/>
      <c r="BNT14" s="102"/>
      <c r="BNU14" s="102"/>
      <c r="BNV14" s="225" t="s">
        <v>25</v>
      </c>
      <c r="BNW14" s="225"/>
      <c r="BNX14" s="225"/>
      <c r="BNY14" s="225"/>
      <c r="BNZ14" s="82"/>
      <c r="BOA14" s="82"/>
      <c r="BOB14" s="82"/>
      <c r="BOC14" s="83"/>
      <c r="BOD14" s="81"/>
      <c r="BOE14" s="82"/>
      <c r="BOF14" s="82"/>
      <c r="BOG14" s="82"/>
      <c r="BOH14" s="225" t="s">
        <v>17</v>
      </c>
      <c r="BOI14" s="225"/>
      <c r="BOJ14" s="225"/>
      <c r="BOK14" s="225"/>
      <c r="BOL14" s="82"/>
      <c r="BOM14" s="82"/>
      <c r="BON14" s="226" t="s">
        <v>18</v>
      </c>
      <c r="BOO14" s="226"/>
      <c r="BOP14" s="226"/>
      <c r="BOQ14" s="226"/>
      <c r="BOR14" s="102"/>
      <c r="BOS14" s="102"/>
      <c r="BOT14" s="225" t="s">
        <v>19</v>
      </c>
      <c r="BOU14" s="225"/>
      <c r="BOV14" s="225"/>
      <c r="BOW14" s="225"/>
      <c r="BOX14" s="82"/>
      <c r="BOY14" s="82"/>
      <c r="BOZ14" s="226" t="s">
        <v>20</v>
      </c>
      <c r="BPA14" s="226"/>
      <c r="BPB14" s="226"/>
      <c r="BPC14" s="226"/>
      <c r="BPD14" s="102"/>
      <c r="BPE14" s="102"/>
      <c r="BPF14" s="225" t="s">
        <v>21</v>
      </c>
      <c r="BPG14" s="225"/>
      <c r="BPH14" s="225"/>
      <c r="BPI14" s="225"/>
      <c r="BPJ14" s="82"/>
      <c r="BPK14" s="82"/>
      <c r="BPL14" s="226" t="s">
        <v>22</v>
      </c>
      <c r="BPM14" s="226"/>
      <c r="BPN14" s="226"/>
      <c r="BPO14" s="226"/>
      <c r="BPP14" s="102"/>
      <c r="BPQ14" s="102"/>
      <c r="BPR14" s="225" t="s">
        <v>23</v>
      </c>
      <c r="BPS14" s="225"/>
      <c r="BPT14" s="225"/>
      <c r="BPU14" s="225"/>
      <c r="BPV14" s="82"/>
      <c r="BPW14" s="82"/>
      <c r="BPX14" s="226" t="s">
        <v>24</v>
      </c>
      <c r="BPY14" s="226"/>
      <c r="BPZ14" s="226"/>
      <c r="BQA14" s="226"/>
      <c r="BQB14" s="102"/>
      <c r="BQC14" s="102"/>
      <c r="BQD14" s="225" t="s">
        <v>25</v>
      </c>
      <c r="BQE14" s="225"/>
      <c r="BQF14" s="225"/>
      <c r="BQG14" s="225"/>
      <c r="BQH14" s="82"/>
      <c r="BQI14" s="82"/>
      <c r="BQJ14" s="82"/>
      <c r="BQK14" s="83"/>
      <c r="BQL14" s="81"/>
      <c r="BQM14" s="82"/>
      <c r="BQN14" s="82"/>
      <c r="BQO14" s="82"/>
      <c r="BQP14" s="225" t="s">
        <v>17</v>
      </c>
      <c r="BQQ14" s="225"/>
      <c r="BQR14" s="225"/>
      <c r="BQS14" s="225"/>
      <c r="BQT14" s="82"/>
      <c r="BQU14" s="82"/>
      <c r="BQV14" s="226" t="s">
        <v>18</v>
      </c>
      <c r="BQW14" s="226"/>
      <c r="BQX14" s="226"/>
      <c r="BQY14" s="226"/>
      <c r="BQZ14" s="102"/>
      <c r="BRA14" s="102"/>
      <c r="BRB14" s="225" t="s">
        <v>19</v>
      </c>
      <c r="BRC14" s="225"/>
      <c r="BRD14" s="225"/>
      <c r="BRE14" s="225"/>
      <c r="BRF14" s="82"/>
      <c r="BRG14" s="82"/>
      <c r="BRH14" s="226" t="s">
        <v>20</v>
      </c>
      <c r="BRI14" s="226"/>
      <c r="BRJ14" s="226"/>
      <c r="BRK14" s="226"/>
      <c r="BRL14" s="102"/>
      <c r="BRM14" s="102"/>
      <c r="BRN14" s="225" t="s">
        <v>21</v>
      </c>
      <c r="BRO14" s="225"/>
      <c r="BRP14" s="225"/>
      <c r="BRQ14" s="225"/>
      <c r="BRR14" s="82"/>
      <c r="BRS14" s="82"/>
      <c r="BRT14" s="226" t="s">
        <v>22</v>
      </c>
      <c r="BRU14" s="226"/>
      <c r="BRV14" s="226"/>
      <c r="BRW14" s="226"/>
      <c r="BRX14" s="102"/>
      <c r="BRY14" s="102"/>
      <c r="BRZ14" s="225" t="s">
        <v>23</v>
      </c>
      <c r="BSA14" s="225"/>
      <c r="BSB14" s="225"/>
      <c r="BSC14" s="225"/>
      <c r="BSD14" s="82"/>
      <c r="BSE14" s="82"/>
      <c r="BSF14" s="226" t="s">
        <v>24</v>
      </c>
      <c r="BSG14" s="226"/>
      <c r="BSH14" s="226"/>
      <c r="BSI14" s="226"/>
      <c r="BSJ14" s="102"/>
      <c r="BSK14" s="102"/>
      <c r="BSL14" s="225" t="s">
        <v>25</v>
      </c>
      <c r="BSM14" s="225"/>
      <c r="BSN14" s="225"/>
      <c r="BSO14" s="225"/>
      <c r="BSP14" s="82"/>
      <c r="BSQ14" s="82"/>
      <c r="BSR14" s="82"/>
      <c r="BSS14" s="83"/>
      <c r="BST14" s="73"/>
    </row>
    <row r="15" spans="1:1900" ht="20.100000000000001" customHeight="1" x14ac:dyDescent="0.25">
      <c r="A15" s="78" t="s">
        <v>26</v>
      </c>
      <c r="B15" s="51" t="str">
        <f>IF(LEN(C15)=0,"",C15)</f>
        <v xml:space="preserve">Absences - imprévus </v>
      </c>
      <c r="C15" s="232"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271"/>
      <c r="BSU15" s="272"/>
      <c r="BSV15" s="272"/>
      <c r="BSW15" s="272"/>
      <c r="BSX15" s="272"/>
      <c r="BSY15" s="272"/>
      <c r="BSZ15" s="272"/>
      <c r="BTA15" s="272"/>
      <c r="BTB15" s="272"/>
      <c r="BTC15" s="272"/>
      <c r="BTD15" s="272"/>
      <c r="BTE15" s="272"/>
      <c r="BTF15" s="272"/>
      <c r="BTG15" s="272"/>
      <c r="BTH15" s="272"/>
      <c r="BTI15" s="272"/>
      <c r="BTJ15" s="272"/>
      <c r="BTK15" s="272"/>
      <c r="BTL15" s="272"/>
      <c r="BTM15" s="272"/>
      <c r="BTN15" s="272"/>
      <c r="BTO15" s="272"/>
      <c r="BTP15" s="272"/>
      <c r="BTQ15" s="272"/>
      <c r="BTR15" s="272"/>
      <c r="BTS15" s="272"/>
      <c r="BTT15" s="272"/>
      <c r="BTU15" s="272"/>
      <c r="BTV15" s="272"/>
      <c r="BTW15" s="272"/>
      <c r="BTX15" s="272"/>
      <c r="BTY15" s="272"/>
      <c r="BTZ15" s="272"/>
      <c r="BUA15" s="272"/>
      <c r="BUB15" s="272"/>
    </row>
    <row r="16" spans="1:1900" ht="20.100000000000001" customHeight="1" x14ac:dyDescent="0.25">
      <c r="A16" s="78" t="s">
        <v>28</v>
      </c>
      <c r="B16" s="51" t="str">
        <f>IF(LEN(C17)=0,"",C17)</f>
        <v>Analyse - définition des rôles et permissions</v>
      </c>
      <c r="C16" s="229"/>
      <c r="D16" s="120" t="str">
        <f t="shared" ref="D16:D79" si="0">setValueToTime(E16)</f>
        <v>3h 30 min</v>
      </c>
      <c r="E16" s="30">
        <v>42</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206"/>
      <c r="BIQ16" s="206"/>
      <c r="BIR16" s="206"/>
      <c r="BIS16" s="206"/>
      <c r="BIT16" s="206"/>
      <c r="BIU16" s="211"/>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271"/>
      <c r="BSU16" s="272"/>
      <c r="BSV16" s="272"/>
      <c r="BSW16" s="272"/>
      <c r="BSX16" s="272"/>
      <c r="BSY16" s="272"/>
      <c r="BSZ16" s="272"/>
      <c r="BTA16" s="272"/>
      <c r="BTB16" s="272"/>
      <c r="BTC16" s="272"/>
      <c r="BTD16" s="272"/>
      <c r="BTE16" s="272"/>
      <c r="BTF16" s="272"/>
      <c r="BTG16" s="272"/>
      <c r="BTH16" s="272"/>
      <c r="BTI16" s="272"/>
      <c r="BTJ16" s="272"/>
      <c r="BTK16" s="272"/>
      <c r="BTL16" s="272"/>
      <c r="BTM16" s="272"/>
      <c r="BTN16" s="272"/>
      <c r="BTO16" s="272"/>
      <c r="BTP16" s="272"/>
      <c r="BTQ16" s="272"/>
      <c r="BTR16" s="272"/>
      <c r="BTS16" s="272"/>
      <c r="BTT16" s="272"/>
      <c r="BTU16" s="272"/>
      <c r="BTV16" s="272"/>
      <c r="BTW16" s="272"/>
      <c r="BTX16" s="272"/>
      <c r="BTY16" s="272"/>
      <c r="BTZ16" s="272"/>
      <c r="BUA16" s="272"/>
      <c r="BUB16" s="272"/>
    </row>
    <row r="17" spans="1:1900" ht="20.100000000000001" customHeight="1" x14ac:dyDescent="0.25">
      <c r="A17" s="78" t="s">
        <v>26</v>
      </c>
      <c r="B17" s="51" t="str">
        <f>IF(LEN(C19)=0,"",C19)</f>
        <v>Analyse - exigences fonctionnelles</v>
      </c>
      <c r="C17" s="228"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271"/>
      <c r="BSU17" s="272"/>
      <c r="BSV17" s="272"/>
      <c r="BSW17" s="272"/>
      <c r="BSX17" s="272"/>
      <c r="BSY17" s="272"/>
      <c r="BSZ17" s="272"/>
      <c r="BTA17" s="272"/>
      <c r="BTB17" s="272"/>
      <c r="BTC17" s="272"/>
      <c r="BTD17" s="272"/>
      <c r="BTE17" s="272"/>
      <c r="BTF17" s="272"/>
      <c r="BTG17" s="272"/>
      <c r="BTH17" s="272"/>
      <c r="BTI17" s="272"/>
      <c r="BTJ17" s="272"/>
      <c r="BTK17" s="272"/>
      <c r="BTL17" s="272"/>
      <c r="BTM17" s="272"/>
      <c r="BTN17" s="272"/>
      <c r="BTO17" s="272"/>
      <c r="BTP17" s="272"/>
      <c r="BTQ17" s="272"/>
      <c r="BTR17" s="272"/>
      <c r="BTS17" s="272"/>
      <c r="BTT17" s="272"/>
      <c r="BTU17" s="272"/>
      <c r="BTV17" s="272"/>
      <c r="BTW17" s="272"/>
      <c r="BTX17" s="272"/>
      <c r="BTY17" s="272"/>
      <c r="BTZ17" s="272"/>
      <c r="BUA17" s="272"/>
      <c r="BUB17" s="272"/>
    </row>
    <row r="18" spans="1:1900" ht="20.100000000000001" customHeight="1" x14ac:dyDescent="0.3">
      <c r="A18" s="78" t="s">
        <v>28</v>
      </c>
      <c r="B18" s="51" t="str">
        <f>IF(LEN(C21)=0,"",C21)</f>
        <v>Analyse - modèle de données</v>
      </c>
      <c r="C18" s="229"/>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271"/>
      <c r="BSU18" s="272"/>
      <c r="BSV18" s="272"/>
      <c r="BSW18" s="272"/>
      <c r="BSX18" s="272"/>
      <c r="BSY18" s="272"/>
      <c r="BSZ18" s="272"/>
      <c r="BTA18" s="272"/>
      <c r="BTB18" s="272"/>
      <c r="BTC18" s="272"/>
      <c r="BTD18" s="272"/>
      <c r="BTE18" s="272"/>
      <c r="BTF18" s="272"/>
      <c r="BTG18" s="272"/>
      <c r="BTH18" s="272"/>
      <c r="BTI18" s="272"/>
      <c r="BTJ18" s="272"/>
      <c r="BTK18" s="272"/>
      <c r="BTL18" s="272"/>
      <c r="BTM18" s="272"/>
      <c r="BTN18" s="272"/>
      <c r="BTO18" s="272"/>
      <c r="BTP18" s="272"/>
      <c r="BTQ18" s="272"/>
      <c r="BTR18" s="272"/>
      <c r="BTS18" s="272"/>
      <c r="BTT18" s="272"/>
      <c r="BTU18" s="272"/>
      <c r="BTV18" s="272"/>
      <c r="BTW18" s="272"/>
      <c r="BTX18" s="272"/>
      <c r="BTY18" s="272"/>
      <c r="BTZ18" s="272"/>
      <c r="BUA18" s="272"/>
      <c r="BUB18" s="272"/>
    </row>
    <row r="19" spans="1:1900" ht="20.100000000000001" customHeight="1" x14ac:dyDescent="0.25">
      <c r="A19" s="78" t="s">
        <v>26</v>
      </c>
      <c r="B19" s="51" t="str">
        <f>IF(LEN(C23)=0,"",C23)</f>
        <v>Analyse - Planification initiale</v>
      </c>
      <c r="C19" s="228"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271"/>
      <c r="BSU19" s="272"/>
      <c r="BSV19" s="272"/>
      <c r="BSW19" s="272"/>
      <c r="BSX19" s="272"/>
      <c r="BSY19" s="272"/>
      <c r="BSZ19" s="272"/>
      <c r="BTA19" s="272"/>
      <c r="BTB19" s="272"/>
      <c r="BTC19" s="272"/>
      <c r="BTD19" s="272"/>
      <c r="BTE19" s="272"/>
      <c r="BTF19" s="272"/>
      <c r="BTG19" s="272"/>
      <c r="BTH19" s="272"/>
      <c r="BTI19" s="272"/>
      <c r="BTJ19" s="272"/>
      <c r="BTK19" s="272"/>
      <c r="BTL19" s="272"/>
      <c r="BTM19" s="272"/>
      <c r="BTN19" s="272"/>
      <c r="BTO19" s="272"/>
      <c r="BTP19" s="272"/>
      <c r="BTQ19" s="272"/>
      <c r="BTR19" s="272"/>
      <c r="BTS19" s="272"/>
      <c r="BTT19" s="272"/>
      <c r="BTU19" s="272"/>
      <c r="BTV19" s="272"/>
      <c r="BTW19" s="272"/>
      <c r="BTX19" s="272"/>
      <c r="BTY19" s="272"/>
      <c r="BTZ19" s="272"/>
      <c r="BUA19" s="272"/>
      <c r="BUB19" s="272"/>
    </row>
    <row r="20" spans="1:1900" ht="20.100000000000001" customHeight="1" x14ac:dyDescent="0.25">
      <c r="A20" s="78" t="s">
        <v>28</v>
      </c>
      <c r="B20" s="51" t="str">
        <f>IF(LEN(C25)=0,"",C25)</f>
        <v>Analyse - scénarios</v>
      </c>
      <c r="C20" s="229"/>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271"/>
      <c r="BSU20" s="272"/>
      <c r="BSV20" s="272"/>
      <c r="BSW20" s="272"/>
      <c r="BSX20" s="272"/>
      <c r="BSY20" s="272"/>
      <c r="BSZ20" s="272"/>
      <c r="BTA20" s="272"/>
      <c r="BTB20" s="272"/>
      <c r="BTC20" s="272"/>
      <c r="BTD20" s="272"/>
      <c r="BTE20" s="272"/>
      <c r="BTF20" s="272"/>
      <c r="BTG20" s="272"/>
      <c r="BTH20" s="272"/>
      <c r="BTI20" s="272"/>
      <c r="BTJ20" s="272"/>
      <c r="BTK20" s="272"/>
      <c r="BTL20" s="272"/>
      <c r="BTM20" s="272"/>
      <c r="BTN20" s="272"/>
      <c r="BTO20" s="272"/>
      <c r="BTP20" s="272"/>
      <c r="BTQ20" s="272"/>
      <c r="BTR20" s="272"/>
      <c r="BTS20" s="272"/>
      <c r="BTT20" s="272"/>
      <c r="BTU20" s="272"/>
      <c r="BTV20" s="272"/>
      <c r="BTW20" s="272"/>
      <c r="BTX20" s="272"/>
      <c r="BTY20" s="272"/>
      <c r="BTZ20" s="272"/>
      <c r="BUA20" s="272"/>
      <c r="BUB20" s="272"/>
    </row>
    <row r="21" spans="1:1900" ht="20.100000000000001" customHeight="1" x14ac:dyDescent="0.25">
      <c r="A21" s="78" t="s">
        <v>26</v>
      </c>
      <c r="B21" s="51" t="str">
        <f>IF(LEN(C27)=0,"",C27)</f>
        <v>Conception - Backend</v>
      </c>
      <c r="C21" s="228"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271"/>
      <c r="BSU21" s="272"/>
      <c r="BSV21" s="272"/>
      <c r="BSW21" s="272"/>
      <c r="BSX21" s="272"/>
      <c r="BSY21" s="272"/>
      <c r="BSZ21" s="272"/>
      <c r="BTA21" s="272"/>
      <c r="BTB21" s="272"/>
      <c r="BTC21" s="272"/>
      <c r="BTD21" s="272"/>
      <c r="BTE21" s="272"/>
      <c r="BTF21" s="272"/>
      <c r="BTG21" s="272"/>
      <c r="BTH21" s="272"/>
      <c r="BTI21" s="272"/>
      <c r="BTJ21" s="272"/>
      <c r="BTK21" s="272"/>
      <c r="BTL21" s="272"/>
      <c r="BTM21" s="272"/>
      <c r="BTN21" s="272"/>
      <c r="BTO21" s="272"/>
      <c r="BTP21" s="272"/>
      <c r="BTQ21" s="272"/>
      <c r="BTR21" s="272"/>
      <c r="BTS21" s="272"/>
      <c r="BTT21" s="272"/>
      <c r="BTU21" s="272"/>
      <c r="BTV21" s="272"/>
      <c r="BTW21" s="272"/>
      <c r="BTX21" s="272"/>
      <c r="BTY21" s="272"/>
      <c r="BTZ21" s="272"/>
      <c r="BUA21" s="272"/>
      <c r="BUB21" s="272"/>
    </row>
    <row r="22" spans="1:1900" ht="20.100000000000001" customHeight="1" x14ac:dyDescent="0.25">
      <c r="A22" s="78" t="s">
        <v>28</v>
      </c>
      <c r="B22" s="51" t="str">
        <f>IF(LEN(C29)=0,"",C29)</f>
        <v>Conception - Interfaces principales</v>
      </c>
      <c r="C22" s="233"/>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271"/>
      <c r="BSU22" s="272"/>
      <c r="BSV22" s="272"/>
      <c r="BSW22" s="272"/>
      <c r="BSX22" s="272"/>
      <c r="BSY22" s="272"/>
      <c r="BSZ22" s="272"/>
      <c r="BTA22" s="272"/>
      <c r="BTB22" s="272"/>
      <c r="BTC22" s="272"/>
      <c r="BTD22" s="272"/>
      <c r="BTE22" s="272"/>
      <c r="BTF22" s="272"/>
      <c r="BTG22" s="272"/>
      <c r="BTH22" s="272"/>
      <c r="BTI22" s="272"/>
      <c r="BTJ22" s="272"/>
      <c r="BTK22" s="272"/>
      <c r="BTL22" s="272"/>
      <c r="BTM22" s="272"/>
      <c r="BTN22" s="272"/>
      <c r="BTO22" s="272"/>
      <c r="BTP22" s="272"/>
      <c r="BTQ22" s="272"/>
      <c r="BTR22" s="272"/>
      <c r="BTS22" s="272"/>
      <c r="BTT22" s="272"/>
      <c r="BTU22" s="272"/>
      <c r="BTV22" s="272"/>
      <c r="BTW22" s="272"/>
      <c r="BTX22" s="272"/>
      <c r="BTY22" s="272"/>
      <c r="BTZ22" s="272"/>
      <c r="BUA22" s="272"/>
      <c r="BUB22" s="272"/>
    </row>
    <row r="23" spans="1:1900" ht="20.100000000000001" customHeight="1" x14ac:dyDescent="0.25">
      <c r="A23" s="78" t="s">
        <v>26</v>
      </c>
      <c r="B23" s="51" t="str">
        <f>IF(LEN(C31)=0,"",C31)</f>
        <v xml:space="preserve">Conception - Structure technique </v>
      </c>
      <c r="C23" s="228"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271"/>
      <c r="BSU23" s="272"/>
      <c r="BSV23" s="272"/>
      <c r="BSW23" s="272"/>
      <c r="BSX23" s="272"/>
      <c r="BSY23" s="272"/>
      <c r="BSZ23" s="272"/>
      <c r="BTA23" s="272"/>
      <c r="BTB23" s="272"/>
      <c r="BTC23" s="272"/>
      <c r="BTD23" s="272"/>
      <c r="BTE23" s="272"/>
      <c r="BTF23" s="272"/>
      <c r="BTG23" s="272"/>
      <c r="BTH23" s="272"/>
      <c r="BTI23" s="272"/>
      <c r="BTJ23" s="272"/>
      <c r="BTK23" s="272"/>
      <c r="BTL23" s="272"/>
      <c r="BTM23" s="272"/>
      <c r="BTN23" s="272"/>
      <c r="BTO23" s="272"/>
      <c r="BTP23" s="272"/>
      <c r="BTQ23" s="272"/>
      <c r="BTR23" s="272"/>
      <c r="BTS23" s="272"/>
      <c r="BTT23" s="272"/>
      <c r="BTU23" s="272"/>
      <c r="BTV23" s="272"/>
      <c r="BTW23" s="272"/>
      <c r="BTX23" s="272"/>
      <c r="BTY23" s="272"/>
      <c r="BTZ23" s="272"/>
      <c r="BUA23" s="272"/>
      <c r="BUB23" s="272"/>
    </row>
    <row r="24" spans="1:1900" ht="20.100000000000001" customHeight="1" x14ac:dyDescent="0.25">
      <c r="A24" s="78" t="s">
        <v>28</v>
      </c>
      <c r="B24" s="51" t="str">
        <f>IF(LEN(C33)=0,"",C33)</f>
        <v>Doc - Git</v>
      </c>
      <c r="C24" s="229"/>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271"/>
      <c r="BSU24" s="272"/>
      <c r="BSV24" s="272"/>
      <c r="BSW24" s="272"/>
      <c r="BSX24" s="272"/>
      <c r="BSY24" s="272"/>
      <c r="BSZ24" s="272"/>
      <c r="BTA24" s="272"/>
      <c r="BTB24" s="272"/>
      <c r="BTC24" s="272"/>
      <c r="BTD24" s="272"/>
      <c r="BTE24" s="272"/>
      <c r="BTF24" s="272"/>
      <c r="BTG24" s="272"/>
      <c r="BTH24" s="272"/>
      <c r="BTI24" s="272"/>
      <c r="BTJ24" s="272"/>
      <c r="BTK24" s="272"/>
      <c r="BTL24" s="272"/>
      <c r="BTM24" s="272"/>
      <c r="BTN24" s="272"/>
      <c r="BTO24" s="272"/>
      <c r="BTP24" s="272"/>
      <c r="BTQ24" s="272"/>
      <c r="BTR24" s="272"/>
      <c r="BTS24" s="272"/>
      <c r="BTT24" s="272"/>
      <c r="BTU24" s="272"/>
      <c r="BTV24" s="272"/>
      <c r="BTW24" s="272"/>
      <c r="BTX24" s="272"/>
      <c r="BTY24" s="272"/>
      <c r="BTZ24" s="272"/>
      <c r="BUA24" s="272"/>
      <c r="BUB24" s="272"/>
    </row>
    <row r="25" spans="1:1900" ht="20.100000000000001" customHeight="1" x14ac:dyDescent="0.25">
      <c r="A25" s="78" t="s">
        <v>26</v>
      </c>
      <c r="B25" s="51" t="str">
        <f>IF(LEN(C35)=0,"",C35)</f>
        <v>Doc - Journal de travail</v>
      </c>
      <c r="C25" s="228"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271"/>
      <c r="BSU25" s="272"/>
      <c r="BSV25" s="272"/>
      <c r="BSW25" s="272"/>
      <c r="BSX25" s="272"/>
      <c r="BSY25" s="272"/>
      <c r="BSZ25" s="272"/>
      <c r="BTA25" s="272"/>
      <c r="BTB25" s="272"/>
      <c r="BTC25" s="272"/>
      <c r="BTD25" s="272"/>
      <c r="BTE25" s="272"/>
      <c r="BTF25" s="272"/>
      <c r="BTG25" s="272"/>
      <c r="BTH25" s="272"/>
      <c r="BTI25" s="272"/>
      <c r="BTJ25" s="272"/>
      <c r="BTK25" s="272"/>
      <c r="BTL25" s="272"/>
      <c r="BTM25" s="272"/>
      <c r="BTN25" s="272"/>
      <c r="BTO25" s="272"/>
      <c r="BTP25" s="272"/>
      <c r="BTQ25" s="272"/>
      <c r="BTR25" s="272"/>
      <c r="BTS25" s="272"/>
      <c r="BTT25" s="272"/>
      <c r="BTU25" s="272"/>
      <c r="BTV25" s="272"/>
      <c r="BTW25" s="272"/>
      <c r="BTX25" s="272"/>
      <c r="BTY25" s="272"/>
      <c r="BTZ25" s="272"/>
      <c r="BUA25" s="272"/>
      <c r="BUB25" s="272"/>
    </row>
    <row r="26" spans="1:1900" ht="20.100000000000001" customHeight="1" x14ac:dyDescent="0.3">
      <c r="A26" s="78" t="s">
        <v>28</v>
      </c>
      <c r="B26" s="51" t="str">
        <f>IF(LEN(C37)=0,"",C37)</f>
        <v>Doc - Rapport</v>
      </c>
      <c r="C26" s="229"/>
      <c r="D26" s="121" t="str">
        <f t="shared" si="0"/>
        <v>2h</v>
      </c>
      <c r="E26" s="30">
        <v>24</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207"/>
      <c r="BMU26" s="207"/>
      <c r="BMV26" s="207"/>
      <c r="BMW26" s="207"/>
      <c r="BMX26" s="207"/>
      <c r="BMY26" s="210"/>
      <c r="BMZ26" s="207"/>
      <c r="BNA26" s="207"/>
      <c r="BNB26" s="207"/>
      <c r="BNC26" s="207"/>
      <c r="BND26" s="207"/>
      <c r="BNE26" s="209"/>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207"/>
      <c r="BPF26" s="207"/>
      <c r="BPG26" s="210"/>
      <c r="BPH26" s="207"/>
      <c r="BPI26" s="207"/>
      <c r="BPJ26" s="207"/>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271"/>
      <c r="BSU26" s="272"/>
      <c r="BSV26" s="272"/>
      <c r="BSW26" s="272"/>
      <c r="BSX26" s="272"/>
      <c r="BSY26" s="272"/>
      <c r="BSZ26" s="272"/>
      <c r="BTA26" s="272"/>
      <c r="BTB26" s="272"/>
      <c r="BTC26" s="272"/>
      <c r="BTD26" s="272"/>
      <c r="BTE26" s="272"/>
      <c r="BTF26" s="272"/>
      <c r="BTG26" s="272"/>
      <c r="BTH26" s="272"/>
      <c r="BTI26" s="272"/>
      <c r="BTJ26" s="272"/>
      <c r="BTK26" s="272"/>
      <c r="BTL26" s="272"/>
      <c r="BTM26" s="272"/>
      <c r="BTN26" s="272"/>
      <c r="BTO26" s="272"/>
      <c r="BTP26" s="272"/>
      <c r="BTQ26" s="272"/>
      <c r="BTR26" s="272"/>
      <c r="BTS26" s="272"/>
      <c r="BTT26" s="272"/>
      <c r="BTU26" s="272"/>
      <c r="BTV26" s="272"/>
      <c r="BTW26" s="272"/>
      <c r="BTX26" s="272"/>
      <c r="BTY26" s="272"/>
      <c r="BTZ26" s="272"/>
      <c r="BUA26" s="272"/>
      <c r="BUB26" s="272"/>
    </row>
    <row r="27" spans="1:1900" ht="20.100000000000001" customHeight="1" x14ac:dyDescent="0.25">
      <c r="A27" s="78" t="s">
        <v>26</v>
      </c>
      <c r="B27" s="51" t="str">
        <f>IF(LEN(C39)=0,"",C39)</f>
        <v>Meeting</v>
      </c>
      <c r="C27" s="228"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271"/>
      <c r="BSU27" s="272"/>
      <c r="BSV27" s="272"/>
      <c r="BSW27" s="272"/>
      <c r="BSX27" s="272"/>
      <c r="BSY27" s="272"/>
      <c r="BSZ27" s="272"/>
      <c r="BTA27" s="272"/>
      <c r="BTB27" s="272"/>
      <c r="BTC27" s="272"/>
      <c r="BTD27" s="272"/>
      <c r="BTE27" s="272"/>
      <c r="BTF27" s="272"/>
      <c r="BTG27" s="272"/>
      <c r="BTH27" s="272"/>
      <c r="BTI27" s="272"/>
      <c r="BTJ27" s="272"/>
      <c r="BTK27" s="272"/>
      <c r="BTL27" s="272"/>
      <c r="BTM27" s="272"/>
      <c r="BTN27" s="272"/>
      <c r="BTO27" s="272"/>
      <c r="BTP27" s="272"/>
      <c r="BTQ27" s="272"/>
      <c r="BTR27" s="272"/>
      <c r="BTS27" s="272"/>
      <c r="BTT27" s="272"/>
      <c r="BTU27" s="272"/>
      <c r="BTV27" s="272"/>
      <c r="BTW27" s="272"/>
      <c r="BTX27" s="272"/>
      <c r="BTY27" s="272"/>
      <c r="BTZ27" s="272"/>
      <c r="BUA27" s="272"/>
      <c r="BUB27" s="272"/>
    </row>
    <row r="28" spans="1:1900" ht="20.100000000000001" customHeight="1" x14ac:dyDescent="0.3">
      <c r="A28" s="78" t="s">
        <v>28</v>
      </c>
      <c r="B28" s="51" t="str">
        <f>IF(LEN(C41)=0,"",C41)</f>
        <v>Réalisation - API principale</v>
      </c>
      <c r="C28" s="229"/>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271"/>
      <c r="BSU28" s="272"/>
      <c r="BSV28" s="272"/>
      <c r="BSW28" s="272"/>
      <c r="BSX28" s="272"/>
      <c r="BSY28" s="272"/>
      <c r="BSZ28" s="272"/>
      <c r="BTA28" s="272"/>
      <c r="BTB28" s="272"/>
      <c r="BTC28" s="272"/>
      <c r="BTD28" s="272"/>
      <c r="BTE28" s="272"/>
      <c r="BTF28" s="272"/>
      <c r="BTG28" s="272"/>
      <c r="BTH28" s="272"/>
      <c r="BTI28" s="272"/>
      <c r="BTJ28" s="272"/>
      <c r="BTK28" s="272"/>
      <c r="BTL28" s="272"/>
      <c r="BTM28" s="272"/>
      <c r="BTN28" s="272"/>
      <c r="BTO28" s="272"/>
      <c r="BTP28" s="272"/>
      <c r="BTQ28" s="272"/>
      <c r="BTR28" s="272"/>
      <c r="BTS28" s="272"/>
      <c r="BTT28" s="272"/>
      <c r="BTU28" s="272"/>
      <c r="BTV28" s="272"/>
      <c r="BTW28" s="272"/>
      <c r="BTX28" s="272"/>
      <c r="BTY28" s="272"/>
      <c r="BTZ28" s="272"/>
      <c r="BUA28" s="272"/>
      <c r="BUB28" s="272"/>
    </row>
    <row r="29" spans="1:1900" ht="20.100000000000001" customHeight="1" x14ac:dyDescent="0.25">
      <c r="A29" s="78" t="s">
        <v>26</v>
      </c>
      <c r="B29" s="51" t="str">
        <f>IF(LEN(C43)=0,"",C43)</f>
        <v>Réalisation - application mobile</v>
      </c>
      <c r="C29" s="228"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271"/>
      <c r="BSU29" s="272"/>
      <c r="BSV29" s="272"/>
      <c r="BSW29" s="272"/>
      <c r="BSX29" s="272"/>
      <c r="BSY29" s="272"/>
      <c r="BSZ29" s="272"/>
      <c r="BTA29" s="272"/>
      <c r="BTB29" s="272"/>
      <c r="BTC29" s="272"/>
      <c r="BTD29" s="272"/>
      <c r="BTE29" s="272"/>
      <c r="BTF29" s="272"/>
      <c r="BTG29" s="272"/>
      <c r="BTH29" s="272"/>
      <c r="BTI29" s="272"/>
      <c r="BTJ29" s="272"/>
      <c r="BTK29" s="272"/>
      <c r="BTL29" s="272"/>
      <c r="BTM29" s="272"/>
      <c r="BTN29" s="272"/>
      <c r="BTO29" s="272"/>
      <c r="BTP29" s="272"/>
      <c r="BTQ29" s="272"/>
      <c r="BTR29" s="272"/>
      <c r="BTS29" s="272"/>
      <c r="BTT29" s="272"/>
      <c r="BTU29" s="272"/>
      <c r="BTV29" s="272"/>
      <c r="BTW29" s="272"/>
      <c r="BTX29" s="272"/>
      <c r="BTY29" s="272"/>
      <c r="BTZ29" s="272"/>
      <c r="BUA29" s="272"/>
      <c r="BUB29" s="272"/>
    </row>
    <row r="30" spans="1:1900" ht="20.100000000000001" customHeight="1" x14ac:dyDescent="0.3">
      <c r="A30" s="78" t="s">
        <v>28</v>
      </c>
      <c r="B30" s="51" t="str">
        <f>IF(LEN(C45)=0,"",C45)</f>
        <v>Réalisation - Authentification</v>
      </c>
      <c r="C30" s="229"/>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271"/>
      <c r="BSU30" s="272"/>
      <c r="BSV30" s="272"/>
      <c r="BSW30" s="272"/>
      <c r="BSX30" s="272"/>
      <c r="BSY30" s="272"/>
      <c r="BSZ30" s="272"/>
      <c r="BTA30" s="272"/>
      <c r="BTB30" s="272"/>
      <c r="BTC30" s="272"/>
      <c r="BTD30" s="272"/>
      <c r="BTE30" s="272"/>
      <c r="BTF30" s="272"/>
      <c r="BTG30" s="272"/>
      <c r="BTH30" s="272"/>
      <c r="BTI30" s="272"/>
      <c r="BTJ30" s="272"/>
      <c r="BTK30" s="272"/>
      <c r="BTL30" s="272"/>
      <c r="BTM30" s="272"/>
      <c r="BTN30" s="272"/>
      <c r="BTO30" s="272"/>
      <c r="BTP30" s="272"/>
      <c r="BTQ30" s="272"/>
      <c r="BTR30" s="272"/>
      <c r="BTS30" s="272"/>
      <c r="BTT30" s="272"/>
      <c r="BTU30" s="272"/>
      <c r="BTV30" s="272"/>
      <c r="BTW30" s="272"/>
      <c r="BTX30" s="272"/>
      <c r="BTY30" s="272"/>
      <c r="BTZ30" s="272"/>
      <c r="BUA30" s="272"/>
      <c r="BUB30" s="272"/>
    </row>
    <row r="31" spans="1:1900" ht="20.100000000000001" customHeight="1" x14ac:dyDescent="0.25">
      <c r="A31" s="78" t="s">
        <v>26</v>
      </c>
      <c r="B31" s="51" t="str">
        <f>IF(LEN(C47)=0,"",C47)</f>
        <v xml:space="preserve">Réalisation - backend </v>
      </c>
      <c r="C31" s="228"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271"/>
      <c r="BSU31" s="272"/>
      <c r="BSV31" s="272"/>
      <c r="BSW31" s="272"/>
      <c r="BSX31" s="272"/>
      <c r="BSY31" s="272"/>
      <c r="BSZ31" s="272"/>
      <c r="BTA31" s="272"/>
      <c r="BTB31" s="272"/>
      <c r="BTC31" s="272"/>
      <c r="BTD31" s="272"/>
      <c r="BTE31" s="272"/>
      <c r="BTF31" s="272"/>
      <c r="BTG31" s="272"/>
      <c r="BTH31" s="272"/>
      <c r="BTI31" s="272"/>
      <c r="BTJ31" s="272"/>
      <c r="BTK31" s="272"/>
      <c r="BTL31" s="272"/>
      <c r="BTM31" s="272"/>
      <c r="BTN31" s="272"/>
      <c r="BTO31" s="272"/>
      <c r="BTP31" s="272"/>
      <c r="BTQ31" s="272"/>
      <c r="BTR31" s="272"/>
      <c r="BTS31" s="272"/>
      <c r="BTT31" s="272"/>
      <c r="BTU31" s="272"/>
      <c r="BTV31" s="272"/>
      <c r="BTW31" s="272"/>
      <c r="BTX31" s="272"/>
      <c r="BTY31" s="272"/>
      <c r="BTZ31" s="272"/>
      <c r="BUA31" s="272"/>
      <c r="BUB31" s="272"/>
    </row>
    <row r="32" spans="1:1900" ht="20.100000000000001" customHeight="1" x14ac:dyDescent="0.3">
      <c r="A32" s="78" t="s">
        <v>28</v>
      </c>
      <c r="B32" s="51" t="str">
        <f>IF(LEN(C49)=0,"",C49)</f>
        <v>Réalisation - base de données</v>
      </c>
      <c r="C32" s="233"/>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271"/>
      <c r="BSU32" s="272"/>
      <c r="BSV32" s="272"/>
      <c r="BSW32" s="272"/>
      <c r="BSX32" s="272"/>
      <c r="BSY32" s="272"/>
      <c r="BSZ32" s="272"/>
      <c r="BTA32" s="272"/>
      <c r="BTB32" s="272"/>
      <c r="BTC32" s="272"/>
      <c r="BTD32" s="272"/>
      <c r="BTE32" s="272"/>
      <c r="BTF32" s="272"/>
      <c r="BTG32" s="272"/>
      <c r="BTH32" s="272"/>
      <c r="BTI32" s="272"/>
      <c r="BTJ32" s="272"/>
      <c r="BTK32" s="272"/>
      <c r="BTL32" s="272"/>
      <c r="BTM32" s="272"/>
      <c r="BTN32" s="272"/>
      <c r="BTO32" s="272"/>
      <c r="BTP32" s="272"/>
      <c r="BTQ32" s="272"/>
      <c r="BTR32" s="272"/>
      <c r="BTS32" s="272"/>
      <c r="BTT32" s="272"/>
      <c r="BTU32" s="272"/>
      <c r="BTV32" s="272"/>
      <c r="BTW32" s="272"/>
      <c r="BTX32" s="272"/>
      <c r="BTY32" s="272"/>
      <c r="BTZ32" s="272"/>
      <c r="BUA32" s="272"/>
      <c r="BUB32" s="272"/>
    </row>
    <row r="33" spans="1:1901" ht="20.100000000000001" customHeight="1" x14ac:dyDescent="0.25">
      <c r="A33" s="78" t="s">
        <v>26</v>
      </c>
      <c r="B33" s="51" t="str">
        <f>IF(LEN(C51)=0,"",C51)</f>
        <v>Réalisation - Frontend</v>
      </c>
      <c r="C33" s="228"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271"/>
      <c r="BSU33" s="272"/>
      <c r="BSV33" s="272"/>
      <c r="BSW33" s="272"/>
      <c r="BSX33" s="272"/>
      <c r="BSY33" s="272"/>
      <c r="BSZ33" s="272"/>
      <c r="BTA33" s="272"/>
      <c r="BTB33" s="272"/>
      <c r="BTC33" s="272"/>
      <c r="BTD33" s="272"/>
      <c r="BTE33" s="272"/>
      <c r="BTF33" s="272"/>
      <c r="BTG33" s="272"/>
      <c r="BTH33" s="272"/>
      <c r="BTI33" s="272"/>
      <c r="BTJ33" s="272"/>
      <c r="BTK33" s="272"/>
      <c r="BTL33" s="272"/>
      <c r="BTM33" s="272"/>
      <c r="BTN33" s="272"/>
      <c r="BTO33" s="272"/>
      <c r="BTP33" s="272"/>
      <c r="BTQ33" s="272"/>
      <c r="BTR33" s="272"/>
      <c r="BTS33" s="272"/>
      <c r="BTT33" s="272"/>
      <c r="BTU33" s="272"/>
      <c r="BTV33" s="272"/>
      <c r="BTW33" s="272"/>
      <c r="BTX33" s="272"/>
      <c r="BTY33" s="272"/>
      <c r="BTZ33" s="272"/>
      <c r="BUA33" s="272"/>
      <c r="BUB33" s="272"/>
    </row>
    <row r="34" spans="1:1901" ht="20.100000000000001" customHeight="1" x14ac:dyDescent="0.3">
      <c r="A34" s="78" t="s">
        <v>28</v>
      </c>
      <c r="B34" s="51" t="str">
        <f>IF(LEN(C53)=0,"",C53)</f>
        <v>Réalisation - Git</v>
      </c>
      <c r="C34" s="233"/>
      <c r="D34" s="121" t="str">
        <f t="shared" si="0"/>
        <v>1h 20 min</v>
      </c>
      <c r="E34" s="30">
        <v>16</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271"/>
      <c r="BSU34" s="272"/>
      <c r="BSV34" s="272"/>
      <c r="BSW34" s="272"/>
      <c r="BSX34" s="272"/>
      <c r="BSY34" s="272"/>
      <c r="BSZ34" s="272"/>
      <c r="BTA34" s="272"/>
      <c r="BTB34" s="272"/>
      <c r="BTC34" s="272"/>
      <c r="BTD34" s="272"/>
      <c r="BTE34" s="272"/>
      <c r="BTF34" s="272"/>
      <c r="BTG34" s="272"/>
      <c r="BTH34" s="272"/>
      <c r="BTI34" s="272"/>
      <c r="BTJ34" s="272"/>
      <c r="BTK34" s="272"/>
      <c r="BTL34" s="272"/>
      <c r="BTM34" s="272"/>
      <c r="BTN34" s="272"/>
      <c r="BTO34" s="272"/>
      <c r="BTP34" s="272"/>
      <c r="BTQ34" s="272"/>
      <c r="BTR34" s="272"/>
      <c r="BTS34" s="272"/>
      <c r="BTT34" s="272"/>
      <c r="BTU34" s="272"/>
      <c r="BTV34" s="272"/>
      <c r="BTW34" s="272"/>
      <c r="BTX34" s="272"/>
      <c r="BTY34" s="272"/>
      <c r="BTZ34" s="272"/>
      <c r="BUA34" s="272"/>
      <c r="BUB34" s="272"/>
    </row>
    <row r="35" spans="1:1901" ht="20.100000000000001" customHeight="1" x14ac:dyDescent="0.25">
      <c r="A35" s="78" t="s">
        <v>26</v>
      </c>
      <c r="B35" s="51" t="str">
        <f>IF(LEN(C55)=0,"",C55)</f>
        <v>Réalisation - intégration mobile–backend</v>
      </c>
      <c r="C35" s="228"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271"/>
      <c r="BSU35" s="272"/>
      <c r="BSV35" s="272"/>
      <c r="BSW35" s="272"/>
      <c r="BSX35" s="272"/>
      <c r="BSY35" s="272"/>
      <c r="BSZ35" s="272"/>
      <c r="BTA35" s="272"/>
      <c r="BTB35" s="272"/>
      <c r="BTC35" s="272"/>
      <c r="BTD35" s="272"/>
      <c r="BTE35" s="272"/>
      <c r="BTF35" s="272"/>
      <c r="BTG35" s="272"/>
      <c r="BTH35" s="272"/>
      <c r="BTI35" s="272"/>
      <c r="BTJ35" s="272"/>
      <c r="BTK35" s="272"/>
      <c r="BTL35" s="272"/>
      <c r="BTM35" s="272"/>
      <c r="BTN35" s="272"/>
      <c r="BTO35" s="272"/>
      <c r="BTP35" s="272"/>
      <c r="BTQ35" s="272"/>
      <c r="BTR35" s="272"/>
      <c r="BTS35" s="272"/>
      <c r="BTT35" s="272"/>
      <c r="BTU35" s="272"/>
      <c r="BTV35" s="272"/>
      <c r="BTW35" s="272"/>
      <c r="BTX35" s="272"/>
      <c r="BTY35" s="272"/>
      <c r="BTZ35" s="272"/>
      <c r="BUA35" s="272"/>
      <c r="BUB35" s="272"/>
    </row>
    <row r="36" spans="1:1901" ht="20.100000000000001" customHeight="1" x14ac:dyDescent="0.25">
      <c r="A36" s="78" t="s">
        <v>28</v>
      </c>
      <c r="B36" s="51" t="str">
        <f>IF(LEN(C57)=0,"",C57)</f>
        <v>Test - corrections</v>
      </c>
      <c r="C36" s="233"/>
      <c r="D36" s="120" t="str">
        <f t="shared" si="0"/>
        <v>9h 15 min</v>
      </c>
      <c r="E36" s="22">
        <v>111</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205"/>
      <c r="BCQ36" s="206"/>
      <c r="BCR36" s="206"/>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205"/>
      <c r="BEY36" s="206"/>
      <c r="BEZ36" s="206"/>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206"/>
      <c r="BHU36" s="206"/>
      <c r="BHV36" s="206"/>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206"/>
      <c r="BJX36" s="206"/>
      <c r="BJY36" s="21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205"/>
      <c r="BLW36" s="206"/>
      <c r="BLX36" s="206"/>
      <c r="BLY36" s="206"/>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205"/>
      <c r="BOE36" s="206"/>
      <c r="BOF36" s="206"/>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206"/>
      <c r="BQY36" s="206"/>
      <c r="BQZ36" s="206"/>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269"/>
      <c r="BSU36" s="270"/>
      <c r="BSV36" s="270"/>
      <c r="BSW36" s="272"/>
      <c r="BSX36" s="272"/>
      <c r="BSY36" s="272"/>
      <c r="BSZ36" s="272"/>
      <c r="BTA36" s="272"/>
      <c r="BTB36" s="272"/>
      <c r="BTC36" s="272"/>
      <c r="BTD36" s="272"/>
      <c r="BTE36" s="272"/>
      <c r="BTF36" s="272"/>
      <c r="BTG36" s="272"/>
      <c r="BTH36" s="272"/>
      <c r="BTI36" s="272"/>
      <c r="BTJ36" s="272"/>
      <c r="BTK36" s="272"/>
      <c r="BTL36" s="272"/>
      <c r="BTM36" s="272"/>
      <c r="BTN36" s="272"/>
      <c r="BTO36" s="272"/>
      <c r="BTP36" s="272"/>
      <c r="BTQ36" s="272"/>
      <c r="BTR36" s="272"/>
      <c r="BTS36" s="272"/>
      <c r="BTT36" s="272"/>
      <c r="BTU36" s="272"/>
      <c r="BTV36" s="272"/>
      <c r="BTW36" s="272"/>
      <c r="BTX36" s="272"/>
      <c r="BTY36" s="272"/>
      <c r="BTZ36" s="272"/>
      <c r="BUA36" s="272"/>
      <c r="BUB36" s="272"/>
    </row>
    <row r="37" spans="1:1901" ht="20.100000000000001" customHeight="1" x14ac:dyDescent="0.25">
      <c r="A37" s="78" t="s">
        <v>26</v>
      </c>
      <c r="B37" s="51" t="str">
        <f>IF(LEN(C59)=0,"",C59)</f>
        <v>Test - Unitaire</v>
      </c>
      <c r="C37" s="228"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271"/>
      <c r="BSU37" s="272"/>
      <c r="BSV37" s="272"/>
      <c r="BSW37" s="272"/>
      <c r="BSX37" s="272"/>
      <c r="BSY37" s="272"/>
      <c r="BSZ37" s="272"/>
      <c r="BTA37" s="272"/>
      <c r="BTB37" s="272"/>
      <c r="BTC37" s="272"/>
      <c r="BTD37" s="272"/>
      <c r="BTE37" s="272"/>
      <c r="BTF37" s="272"/>
      <c r="BTG37" s="272"/>
      <c r="BTH37" s="272"/>
      <c r="BTI37" s="272"/>
      <c r="BTJ37" s="272"/>
      <c r="BTK37" s="272"/>
      <c r="BTL37" s="272"/>
      <c r="BTM37" s="272"/>
      <c r="BTN37" s="272"/>
      <c r="BTO37" s="272"/>
      <c r="BTP37" s="272"/>
      <c r="BTQ37" s="272"/>
      <c r="BTR37" s="272"/>
      <c r="BTS37" s="272"/>
      <c r="BTT37" s="272"/>
      <c r="BTU37" s="272"/>
      <c r="BTV37" s="272"/>
      <c r="BTW37" s="272"/>
      <c r="BTX37" s="272"/>
      <c r="BTY37" s="272"/>
      <c r="BTZ37" s="272"/>
      <c r="BUA37" s="272"/>
      <c r="BUB37" s="272"/>
    </row>
    <row r="38" spans="1:1901" ht="20.100000000000001" customHeight="1" x14ac:dyDescent="0.3">
      <c r="A38" s="78" t="s">
        <v>28</v>
      </c>
      <c r="B38" s="51" t="str">
        <f>IF(LEN(C61)=0,"",C61)</f>
        <v/>
      </c>
      <c r="C38" s="229"/>
      <c r="D38" s="121" t="str">
        <f t="shared" si="0"/>
        <v>21h 35 min</v>
      </c>
      <c r="E38" s="30">
        <v>259</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207"/>
      <c r="BCT38" s="207"/>
      <c r="BCU38" s="208"/>
      <c r="BCV38" s="207"/>
      <c r="BCW38" s="207"/>
      <c r="BCX38" s="207"/>
      <c r="BCY38" s="207"/>
      <c r="BCZ38" s="207"/>
      <c r="BDA38" s="209"/>
      <c r="BDB38" s="207"/>
      <c r="BDC38" s="207"/>
      <c r="BDD38" s="207"/>
      <c r="BDE38" s="207"/>
      <c r="BDF38" s="207"/>
      <c r="BDG38" s="210"/>
      <c r="BDH38" s="207"/>
      <c r="BDI38" s="207"/>
      <c r="BDJ38" s="207"/>
      <c r="BDK38" s="207"/>
      <c r="BDL38" s="207"/>
      <c r="BDM38" s="209"/>
      <c r="BDN38" s="207"/>
      <c r="BDO38" s="207"/>
      <c r="BDP38" s="207"/>
      <c r="BDQ38" s="207"/>
      <c r="BDR38" s="207"/>
      <c r="BDS38" s="210"/>
      <c r="BDT38" s="207"/>
      <c r="BDU38" s="207"/>
      <c r="BDV38" s="207"/>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207"/>
      <c r="BFI38" s="209"/>
      <c r="BFJ38" s="207"/>
      <c r="BFK38" s="207"/>
      <c r="BFL38" s="207"/>
      <c r="BFM38" s="207"/>
      <c r="BFN38" s="207"/>
      <c r="BFO38" s="210"/>
      <c r="BFP38" s="207"/>
      <c r="BFQ38" s="207"/>
      <c r="BFR38" s="207"/>
      <c r="BFS38" s="207"/>
      <c r="BFT38" s="207"/>
      <c r="BFU38" s="209"/>
      <c r="BFV38" s="207"/>
      <c r="BFW38" s="207"/>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210"/>
      <c r="BHX38" s="207"/>
      <c r="BHY38" s="207"/>
      <c r="BHZ38" s="207"/>
      <c r="BIA38" s="207"/>
      <c r="BIB38" s="207"/>
      <c r="BIC38" s="209"/>
      <c r="BID38" s="207"/>
      <c r="BIE38" s="207"/>
      <c r="BIF38" s="207"/>
      <c r="BIG38" s="207"/>
      <c r="BIH38" s="207"/>
      <c r="BII38" s="210"/>
      <c r="BIJ38" s="207"/>
      <c r="BIK38" s="207"/>
      <c r="BIL38" s="207"/>
      <c r="BIM38" s="207"/>
      <c r="BIN38" s="207"/>
      <c r="BIO38" s="209"/>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207"/>
      <c r="BKA38" s="207"/>
      <c r="BKB38" s="207"/>
      <c r="BKC38" s="207"/>
      <c r="BKD38" s="207"/>
      <c r="BKE38" s="210"/>
      <c r="BKF38" s="207"/>
      <c r="BKG38" s="207"/>
      <c r="BKH38" s="207"/>
      <c r="BKI38" s="207"/>
      <c r="BKJ38" s="207"/>
      <c r="BKK38" s="209"/>
      <c r="BKL38" s="207"/>
      <c r="BKM38" s="207"/>
      <c r="BKN38" s="207"/>
      <c r="BKO38" s="207"/>
      <c r="BKP38" s="207"/>
      <c r="BKQ38" s="210"/>
      <c r="BKR38" s="207"/>
      <c r="BKS38" s="207"/>
      <c r="BKT38" s="207"/>
      <c r="BKU38" s="207"/>
      <c r="BKV38" s="207"/>
      <c r="BKW38" s="209"/>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207"/>
      <c r="BMA38" s="208"/>
      <c r="BMB38" s="207"/>
      <c r="BMC38" s="207"/>
      <c r="BMD38" s="207"/>
      <c r="BME38" s="207"/>
      <c r="BMF38" s="207"/>
      <c r="BMG38" s="209"/>
      <c r="BMH38" s="207"/>
      <c r="BMI38" s="207"/>
      <c r="BMJ38" s="207"/>
      <c r="BMK38" s="207"/>
      <c r="BML38" s="207"/>
      <c r="BMM38" s="210"/>
      <c r="BMN38" s="207"/>
      <c r="BMO38" s="207"/>
      <c r="BMP38" s="207"/>
      <c r="BMQ38" s="207"/>
      <c r="BMR38" s="207"/>
      <c r="BMS38" s="209"/>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207"/>
      <c r="BOH38" s="207"/>
      <c r="BOI38" s="208"/>
      <c r="BOJ38" s="207"/>
      <c r="BOK38" s="207"/>
      <c r="BOL38" s="207"/>
      <c r="BOM38" s="207"/>
      <c r="BON38" s="207"/>
      <c r="BOO38" s="209"/>
      <c r="BOP38" s="207"/>
      <c r="BOQ38" s="207"/>
      <c r="BOR38" s="207"/>
      <c r="BOS38" s="207"/>
      <c r="BOT38" s="207"/>
      <c r="BOU38" s="210"/>
      <c r="BOV38" s="207"/>
      <c r="BOW38" s="207"/>
      <c r="BOX38" s="207"/>
      <c r="BOY38" s="207"/>
      <c r="BOZ38" s="207"/>
      <c r="BPA38" s="209"/>
      <c r="BPB38" s="207"/>
      <c r="BPC38" s="207"/>
      <c r="BPD38" s="207"/>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207"/>
      <c r="BRB38" s="207"/>
      <c r="BRC38" s="210"/>
      <c r="BRD38" s="207"/>
      <c r="BRE38" s="207"/>
      <c r="BRF38" s="207"/>
      <c r="BRG38" s="207"/>
      <c r="BRH38" s="207"/>
      <c r="BRI38" s="209"/>
      <c r="BRJ38" s="207"/>
      <c r="BRK38" s="207"/>
      <c r="BRL38" s="207"/>
      <c r="BRM38" s="207"/>
      <c r="BRN38" s="207"/>
      <c r="BRO38" s="210"/>
      <c r="BRP38" s="207"/>
      <c r="BRQ38" s="207"/>
      <c r="BRR38" s="207"/>
      <c r="BRS38" s="207"/>
      <c r="BRT38" s="207"/>
      <c r="BRU38" s="209"/>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271"/>
      <c r="BSU38" s="272"/>
      <c r="BSV38" s="272"/>
      <c r="BSW38" s="272"/>
      <c r="BSX38" s="272"/>
      <c r="BSY38" s="272"/>
      <c r="BSZ38" s="272"/>
      <c r="BTA38" s="272"/>
      <c r="BTB38" s="272"/>
      <c r="BTC38" s="272"/>
      <c r="BTD38" s="272"/>
      <c r="BTE38" s="272"/>
      <c r="BTF38" s="272"/>
      <c r="BTG38" s="272"/>
      <c r="BTH38" s="272"/>
      <c r="BTI38" s="270"/>
      <c r="BTJ38" s="270"/>
      <c r="BTK38" s="270"/>
      <c r="BTL38" s="270"/>
      <c r="BTM38" s="270"/>
      <c r="BTN38" s="270"/>
      <c r="BTO38" s="270"/>
      <c r="BTP38" s="270"/>
      <c r="BTQ38" s="270"/>
      <c r="BTR38" s="270"/>
      <c r="BTS38" s="270"/>
      <c r="BTT38" s="270"/>
      <c r="BTU38" s="270"/>
      <c r="BTV38" s="270"/>
      <c r="BTW38" s="270"/>
      <c r="BTX38" s="270"/>
      <c r="BTY38" s="270"/>
      <c r="BTZ38" s="270"/>
      <c r="BUA38" s="270"/>
      <c r="BUB38" s="270"/>
      <c r="BUC38" s="270"/>
    </row>
    <row r="39" spans="1:1901" ht="20.100000000000001" customHeight="1" x14ac:dyDescent="0.25">
      <c r="A39" s="78" t="s">
        <v>26</v>
      </c>
      <c r="B39" s="51" t="str">
        <f>IF(LEN(C63)=0,"",C63)</f>
        <v/>
      </c>
      <c r="C39" s="228"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271"/>
      <c r="BSU39" s="272"/>
      <c r="BSV39" s="272"/>
      <c r="BSW39" s="272"/>
      <c r="BSX39" s="272"/>
      <c r="BSY39" s="272"/>
      <c r="BSZ39" s="272"/>
      <c r="BTA39" s="272"/>
      <c r="BTB39" s="272"/>
      <c r="BTC39" s="272"/>
      <c r="BTD39" s="272"/>
      <c r="BTE39" s="272"/>
      <c r="BTF39" s="272"/>
      <c r="BTG39" s="272"/>
      <c r="BTH39" s="272"/>
      <c r="BTI39" s="272"/>
      <c r="BTJ39" s="272"/>
      <c r="BTK39" s="272"/>
      <c r="BTL39" s="272"/>
      <c r="BTM39" s="272"/>
      <c r="BTN39" s="272"/>
      <c r="BTO39" s="272"/>
      <c r="BTP39" s="272"/>
      <c r="BTQ39" s="272"/>
      <c r="BTR39" s="272"/>
      <c r="BTS39" s="272"/>
      <c r="BTT39" s="272"/>
      <c r="BTU39" s="272"/>
      <c r="BTV39" s="272"/>
      <c r="BTW39" s="272"/>
      <c r="BTX39" s="272"/>
      <c r="BTY39" s="272"/>
      <c r="BTZ39" s="272"/>
      <c r="BUA39" s="272"/>
      <c r="BUB39" s="272"/>
    </row>
    <row r="40" spans="1:1901" ht="20.100000000000001" customHeight="1" x14ac:dyDescent="0.25">
      <c r="A40" s="78" t="s">
        <v>28</v>
      </c>
      <c r="B40" s="51" t="str">
        <f>IF(LEN(C65)=0,"",C65)</f>
        <v/>
      </c>
      <c r="C40" s="229"/>
      <c r="D40" s="120" t="str">
        <f t="shared" si="0"/>
        <v>2h 25 min</v>
      </c>
      <c r="E40" s="22">
        <v>29</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206"/>
      <c r="BFB40" s="206"/>
      <c r="BFC40" s="213"/>
      <c r="BFD40" s="206"/>
      <c r="BFE40" s="206"/>
      <c r="BFF40" s="206"/>
      <c r="BFG40" s="206"/>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271"/>
      <c r="BSU40" s="272"/>
      <c r="BSV40" s="272"/>
      <c r="BSW40" s="272"/>
      <c r="BSX40" s="272"/>
      <c r="BSY40" s="272"/>
      <c r="BSZ40" s="272"/>
      <c r="BTA40" s="272"/>
      <c r="BTB40" s="272"/>
      <c r="BTC40" s="272"/>
      <c r="BTD40" s="272"/>
      <c r="BTE40" s="272"/>
      <c r="BTF40" s="272"/>
      <c r="BTG40" s="272"/>
      <c r="BTH40" s="272"/>
      <c r="BTI40" s="272"/>
      <c r="BTJ40" s="272"/>
      <c r="BTK40" s="272"/>
      <c r="BTL40" s="272"/>
      <c r="BTM40" s="272"/>
      <c r="BTN40" s="272"/>
      <c r="BTO40" s="272"/>
      <c r="BTP40" s="272"/>
      <c r="BTQ40" s="272"/>
      <c r="BTR40" s="272"/>
      <c r="BTS40" s="272"/>
      <c r="BTT40" s="272"/>
      <c r="BTU40" s="272"/>
      <c r="BTV40" s="272"/>
      <c r="BTW40" s="272"/>
      <c r="BTX40" s="272"/>
      <c r="BTY40" s="272"/>
      <c r="BTZ40" s="272"/>
      <c r="BUA40" s="272"/>
      <c r="BUB40" s="272"/>
    </row>
    <row r="41" spans="1:1901" ht="20.100000000000001" customHeight="1" x14ac:dyDescent="0.25">
      <c r="A41" s="78" t="s">
        <v>26</v>
      </c>
      <c r="B41" s="51" t="str">
        <f>IF(LEN(C67)=0,"",C67)</f>
        <v/>
      </c>
      <c r="C41" s="228"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271"/>
      <c r="BSU41" s="272"/>
      <c r="BSV41" s="272"/>
      <c r="BSW41" s="272"/>
      <c r="BSX41" s="272"/>
      <c r="BSY41" s="272"/>
      <c r="BSZ41" s="272"/>
      <c r="BTA41" s="272"/>
      <c r="BTB41" s="272"/>
      <c r="BTC41" s="272"/>
      <c r="BTD41" s="272"/>
      <c r="BTE41" s="272"/>
      <c r="BTF41" s="272"/>
      <c r="BTG41" s="272"/>
      <c r="BTH41" s="272"/>
      <c r="BTI41" s="272"/>
      <c r="BTJ41" s="272"/>
      <c r="BTK41" s="272"/>
      <c r="BTL41" s="272"/>
      <c r="BTM41" s="272"/>
      <c r="BTN41" s="272"/>
      <c r="BTO41" s="272"/>
      <c r="BTP41" s="272"/>
      <c r="BTQ41" s="272"/>
      <c r="BTR41" s="272"/>
      <c r="BTS41" s="272"/>
      <c r="BTT41" s="272"/>
      <c r="BTU41" s="272"/>
      <c r="BTV41" s="272"/>
      <c r="BTW41" s="272"/>
      <c r="BTX41" s="272"/>
      <c r="BTY41" s="272"/>
      <c r="BTZ41" s="272"/>
      <c r="BUA41" s="272"/>
      <c r="BUB41" s="272"/>
    </row>
    <row r="42" spans="1:1901" ht="20.100000000000001" customHeight="1" x14ac:dyDescent="0.3">
      <c r="A42" s="78" t="s">
        <v>28</v>
      </c>
      <c r="B42" s="51" t="str">
        <f>IF(LEN(C69)=0,"",C69)</f>
        <v/>
      </c>
      <c r="C42" s="229"/>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271"/>
      <c r="BSU42" s="272"/>
      <c r="BSV42" s="272"/>
      <c r="BSW42" s="272"/>
      <c r="BSX42" s="272"/>
      <c r="BSY42" s="272"/>
      <c r="BSZ42" s="272"/>
      <c r="BTA42" s="272"/>
      <c r="BTB42" s="272"/>
      <c r="BTC42" s="272"/>
      <c r="BTD42" s="272"/>
      <c r="BTE42" s="272"/>
      <c r="BTF42" s="272"/>
      <c r="BTG42" s="272"/>
      <c r="BTH42" s="272"/>
      <c r="BTI42" s="272"/>
      <c r="BTJ42" s="272"/>
      <c r="BTK42" s="272"/>
      <c r="BTL42" s="272"/>
      <c r="BTM42" s="272"/>
      <c r="BTN42" s="272"/>
      <c r="BTO42" s="272"/>
      <c r="BTP42" s="272"/>
      <c r="BTQ42" s="272"/>
      <c r="BTR42" s="272"/>
      <c r="BTS42" s="272"/>
      <c r="BTT42" s="272"/>
      <c r="BTU42" s="272"/>
      <c r="BTV42" s="272"/>
      <c r="BTW42" s="272"/>
      <c r="BTX42" s="272"/>
      <c r="BTY42" s="272"/>
      <c r="BTZ42" s="272"/>
      <c r="BUA42" s="272"/>
      <c r="BUB42" s="272"/>
    </row>
    <row r="43" spans="1:1901" ht="20.100000000000001" customHeight="1" x14ac:dyDescent="0.25">
      <c r="A43" s="78" t="s">
        <v>26</v>
      </c>
      <c r="B43" s="51" t="str">
        <f>IF(LEN(C71)=0,"",C71)</f>
        <v/>
      </c>
      <c r="C43" s="228"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271"/>
      <c r="BSU43" s="272"/>
      <c r="BSV43" s="272"/>
      <c r="BSW43" s="272"/>
      <c r="BSX43" s="272"/>
      <c r="BSY43" s="272"/>
      <c r="BSZ43" s="272"/>
      <c r="BTA43" s="272"/>
      <c r="BTB43" s="272"/>
      <c r="BTC43" s="272"/>
      <c r="BTD43" s="272"/>
      <c r="BTE43" s="272"/>
      <c r="BTF43" s="272"/>
      <c r="BTG43" s="272"/>
      <c r="BTH43" s="272"/>
      <c r="BTI43" s="272"/>
      <c r="BTJ43" s="272"/>
      <c r="BTK43" s="272"/>
      <c r="BTL43" s="272"/>
      <c r="BTM43" s="272"/>
      <c r="BTN43" s="272"/>
      <c r="BTO43" s="272"/>
      <c r="BTP43" s="272"/>
      <c r="BTQ43" s="272"/>
      <c r="BTR43" s="272"/>
      <c r="BTS43" s="272"/>
      <c r="BTT43" s="272"/>
      <c r="BTU43" s="272"/>
      <c r="BTV43" s="272"/>
      <c r="BTW43" s="272"/>
      <c r="BTX43" s="272"/>
      <c r="BTY43" s="272"/>
      <c r="BTZ43" s="272"/>
      <c r="BUA43" s="272"/>
      <c r="BUB43" s="272"/>
    </row>
    <row r="44" spans="1:1901" ht="20.100000000000001" customHeight="1" x14ac:dyDescent="0.3">
      <c r="A44" s="78" t="s">
        <v>28</v>
      </c>
      <c r="B44" s="51" t="str">
        <f>IF(LEN(C73)=0,"",C73)</f>
        <v/>
      </c>
      <c r="C44" s="233"/>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271"/>
      <c r="BSU44" s="272"/>
      <c r="BSV44" s="272"/>
      <c r="BSW44" s="272"/>
      <c r="BSX44" s="272"/>
      <c r="BSY44" s="272"/>
      <c r="BSZ44" s="272"/>
      <c r="BTA44" s="272"/>
      <c r="BTB44" s="272"/>
      <c r="BTC44" s="272"/>
      <c r="BTD44" s="272"/>
      <c r="BTE44" s="272"/>
      <c r="BTF44" s="272"/>
      <c r="BTG44" s="272"/>
      <c r="BTH44" s="272"/>
      <c r="BTI44" s="272"/>
      <c r="BTJ44" s="272"/>
      <c r="BTK44" s="272"/>
      <c r="BTL44" s="272"/>
      <c r="BTM44" s="272"/>
      <c r="BTN44" s="272"/>
      <c r="BTO44" s="272"/>
      <c r="BTP44" s="272"/>
      <c r="BTQ44" s="272"/>
      <c r="BTR44" s="272"/>
      <c r="BTS44" s="272"/>
      <c r="BTT44" s="272"/>
      <c r="BTU44" s="272"/>
      <c r="BTV44" s="272"/>
      <c r="BTW44" s="272"/>
      <c r="BTX44" s="272"/>
      <c r="BTY44" s="272"/>
      <c r="BTZ44" s="272"/>
      <c r="BUA44" s="272"/>
      <c r="BUB44" s="272"/>
    </row>
    <row r="45" spans="1:1901" ht="20.100000000000001" customHeight="1" x14ac:dyDescent="0.25">
      <c r="A45" s="78" t="s">
        <v>26</v>
      </c>
      <c r="B45" s="51" t="str">
        <f>IF(LEN(C75)=0,"",C75)</f>
        <v/>
      </c>
      <c r="C45" s="228"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271"/>
      <c r="BSU45" s="272"/>
      <c r="BSV45" s="272"/>
      <c r="BSW45" s="272"/>
      <c r="BSX45" s="272"/>
      <c r="BSY45" s="272"/>
      <c r="BSZ45" s="272"/>
      <c r="BTA45" s="272"/>
      <c r="BTB45" s="272"/>
      <c r="BTC45" s="272"/>
      <c r="BTD45" s="272"/>
      <c r="BTE45" s="272"/>
      <c r="BTF45" s="272"/>
      <c r="BTG45" s="272"/>
      <c r="BTH45" s="272"/>
      <c r="BTI45" s="272"/>
      <c r="BTJ45" s="272"/>
      <c r="BTK45" s="272"/>
      <c r="BTL45" s="272"/>
      <c r="BTM45" s="272"/>
      <c r="BTN45" s="272"/>
      <c r="BTO45" s="272"/>
      <c r="BTP45" s="272"/>
      <c r="BTQ45" s="272"/>
      <c r="BTR45" s="272"/>
      <c r="BTS45" s="272"/>
      <c r="BTT45" s="272"/>
      <c r="BTU45" s="272"/>
      <c r="BTV45" s="272"/>
      <c r="BTW45" s="272"/>
      <c r="BTX45" s="272"/>
      <c r="BTY45" s="272"/>
      <c r="BTZ45" s="272"/>
      <c r="BUA45" s="272"/>
      <c r="BUB45" s="272"/>
    </row>
    <row r="46" spans="1:1901" ht="20.100000000000001" customHeight="1" x14ac:dyDescent="0.25">
      <c r="A46" s="78" t="s">
        <v>28</v>
      </c>
      <c r="B46" s="51" t="str">
        <f>IF(LEN(C77)=0,"",C77)</f>
        <v/>
      </c>
      <c r="C46" s="229"/>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271"/>
      <c r="BSU46" s="272"/>
      <c r="BSV46" s="272"/>
      <c r="BSW46" s="272"/>
      <c r="BSX46" s="272"/>
      <c r="BSY46" s="272"/>
      <c r="BSZ46" s="272"/>
      <c r="BTA46" s="272"/>
      <c r="BTB46" s="272"/>
      <c r="BTC46" s="272"/>
      <c r="BTD46" s="272"/>
      <c r="BTE46" s="272"/>
      <c r="BTF46" s="272"/>
      <c r="BTG46" s="272"/>
      <c r="BTH46" s="272"/>
      <c r="BTI46" s="272"/>
      <c r="BTJ46" s="272"/>
      <c r="BTK46" s="272"/>
      <c r="BTL46" s="272"/>
      <c r="BTM46" s="272"/>
      <c r="BTN46" s="272"/>
      <c r="BTO46" s="272"/>
      <c r="BTP46" s="272"/>
      <c r="BTQ46" s="272"/>
      <c r="BTR46" s="272"/>
      <c r="BTS46" s="272"/>
      <c r="BTT46" s="272"/>
      <c r="BTU46" s="272"/>
      <c r="BTV46" s="272"/>
      <c r="BTW46" s="272"/>
      <c r="BTX46" s="272"/>
      <c r="BTY46" s="272"/>
      <c r="BTZ46" s="272"/>
      <c r="BUA46" s="272"/>
      <c r="BUB46" s="272"/>
    </row>
    <row r="47" spans="1:1901" ht="20.100000000000001" customHeight="1" x14ac:dyDescent="0.25">
      <c r="A47" s="78" t="s">
        <v>26</v>
      </c>
      <c r="B47" s="51" t="str">
        <f>IF(LEN(C79)=0,"",C79)</f>
        <v/>
      </c>
      <c r="C47" s="228"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271"/>
      <c r="BSU47" s="272"/>
      <c r="BSV47" s="272"/>
      <c r="BSW47" s="272"/>
      <c r="BSX47" s="272"/>
      <c r="BSY47" s="272"/>
      <c r="BSZ47" s="272"/>
      <c r="BTA47" s="272"/>
      <c r="BTB47" s="272"/>
      <c r="BTC47" s="272"/>
      <c r="BTD47" s="272"/>
      <c r="BTE47" s="272"/>
      <c r="BTF47" s="272"/>
      <c r="BTG47" s="272"/>
      <c r="BTH47" s="272"/>
      <c r="BTI47" s="272"/>
      <c r="BTJ47" s="272"/>
      <c r="BTK47" s="272"/>
      <c r="BTL47" s="272"/>
      <c r="BTM47" s="272"/>
      <c r="BTN47" s="272"/>
      <c r="BTO47" s="272"/>
      <c r="BTP47" s="272"/>
      <c r="BTQ47" s="272"/>
      <c r="BTR47" s="272"/>
      <c r="BTS47" s="272"/>
      <c r="BTT47" s="272"/>
      <c r="BTU47" s="272"/>
      <c r="BTV47" s="272"/>
      <c r="BTW47" s="272"/>
      <c r="BTX47" s="272"/>
      <c r="BTY47" s="272"/>
      <c r="BTZ47" s="272"/>
      <c r="BUA47" s="272"/>
      <c r="BUB47" s="272"/>
    </row>
    <row r="48" spans="1:1901" ht="20.100000000000001" customHeight="1" x14ac:dyDescent="0.3">
      <c r="A48" s="78" t="s">
        <v>28</v>
      </c>
      <c r="B48" s="51" t="str">
        <f>IF(LEN(C81)=0,"",C81)</f>
        <v/>
      </c>
      <c r="C48" s="229"/>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271"/>
      <c r="BSU48" s="272"/>
      <c r="BSV48" s="272"/>
      <c r="BSW48" s="272"/>
      <c r="BSX48" s="272"/>
      <c r="BSY48" s="272"/>
      <c r="BSZ48" s="272"/>
      <c r="BTA48" s="272"/>
      <c r="BTB48" s="272"/>
      <c r="BTC48" s="272"/>
      <c r="BTD48" s="272"/>
      <c r="BTE48" s="272"/>
      <c r="BTF48" s="272"/>
      <c r="BTG48" s="272"/>
      <c r="BTH48" s="272"/>
      <c r="BTI48" s="272"/>
      <c r="BTJ48" s="272"/>
      <c r="BTK48" s="272"/>
      <c r="BTL48" s="272"/>
      <c r="BTM48" s="272"/>
      <c r="BTN48" s="272"/>
      <c r="BTO48" s="272"/>
      <c r="BTP48" s="272"/>
      <c r="BTQ48" s="272"/>
      <c r="BTR48" s="272"/>
      <c r="BTS48" s="272"/>
      <c r="BTT48" s="272"/>
      <c r="BTU48" s="272"/>
      <c r="BTV48" s="272"/>
      <c r="BTW48" s="272"/>
      <c r="BTX48" s="272"/>
      <c r="BTY48" s="272"/>
      <c r="BTZ48" s="272"/>
      <c r="BUA48" s="272"/>
      <c r="BUB48" s="272"/>
    </row>
    <row r="49" spans="1:1900" ht="20.100000000000001" customHeight="1" x14ac:dyDescent="0.25">
      <c r="A49" s="78" t="s">
        <v>26</v>
      </c>
      <c r="B49" s="51" t="str">
        <f>IF(LEN(C83)=0,"",C83)</f>
        <v/>
      </c>
      <c r="C49" s="228"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271"/>
      <c r="BSU49" s="272"/>
      <c r="BSV49" s="272"/>
      <c r="BSW49" s="272"/>
      <c r="BSX49" s="272"/>
      <c r="BSY49" s="272"/>
      <c r="BSZ49" s="272"/>
      <c r="BTA49" s="272"/>
      <c r="BTB49" s="272"/>
      <c r="BTC49" s="272"/>
      <c r="BTD49" s="272"/>
      <c r="BTE49" s="272"/>
      <c r="BTF49" s="272"/>
      <c r="BTG49" s="272"/>
      <c r="BTH49" s="272"/>
      <c r="BTI49" s="272"/>
      <c r="BTJ49" s="272"/>
      <c r="BTK49" s="272"/>
      <c r="BTL49" s="272"/>
      <c r="BTM49" s="272"/>
      <c r="BTN49" s="272"/>
      <c r="BTO49" s="272"/>
      <c r="BTP49" s="272"/>
      <c r="BTQ49" s="272"/>
      <c r="BTR49" s="272"/>
      <c r="BTS49" s="272"/>
      <c r="BTT49" s="272"/>
      <c r="BTU49" s="272"/>
      <c r="BTV49" s="272"/>
      <c r="BTW49" s="272"/>
      <c r="BTX49" s="272"/>
      <c r="BTY49" s="272"/>
      <c r="BTZ49" s="272"/>
      <c r="BUA49" s="272"/>
      <c r="BUB49" s="272"/>
    </row>
    <row r="50" spans="1:1900" ht="20.100000000000001" customHeight="1" x14ac:dyDescent="0.3">
      <c r="A50" s="78" t="s">
        <v>28</v>
      </c>
      <c r="B50" s="51" t="str">
        <f>IF(LEN(C85)=0,"",C85)</f>
        <v/>
      </c>
      <c r="C50" s="233"/>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271"/>
      <c r="BSU50" s="272"/>
      <c r="BSV50" s="272"/>
      <c r="BSW50" s="272"/>
      <c r="BSX50" s="272"/>
      <c r="BSY50" s="272"/>
      <c r="BSZ50" s="272"/>
      <c r="BTA50" s="272"/>
      <c r="BTB50" s="272"/>
      <c r="BTC50" s="272"/>
      <c r="BTD50" s="272"/>
      <c r="BTE50" s="272"/>
      <c r="BTF50" s="272"/>
      <c r="BTG50" s="272"/>
      <c r="BTH50" s="272"/>
      <c r="BTI50" s="272"/>
      <c r="BTJ50" s="272"/>
      <c r="BTK50" s="272"/>
      <c r="BTL50" s="272"/>
      <c r="BTM50" s="272"/>
      <c r="BTN50" s="272"/>
      <c r="BTO50" s="272"/>
      <c r="BTP50" s="272"/>
      <c r="BTQ50" s="272"/>
      <c r="BTR50" s="272"/>
      <c r="BTS50" s="272"/>
      <c r="BTT50" s="272"/>
      <c r="BTU50" s="272"/>
      <c r="BTV50" s="272"/>
      <c r="BTW50" s="272"/>
      <c r="BTX50" s="272"/>
      <c r="BTY50" s="272"/>
      <c r="BTZ50" s="272"/>
      <c r="BUA50" s="272"/>
      <c r="BUB50" s="272"/>
    </row>
    <row r="51" spans="1:1900" ht="20.100000000000001" customHeight="1" x14ac:dyDescent="0.25">
      <c r="A51" s="78" t="s">
        <v>26</v>
      </c>
      <c r="B51" s="51" t="str">
        <f>IF(LEN(C87)=0,"",C87)</f>
        <v/>
      </c>
      <c r="C51" s="228" t="s">
        <v>201</v>
      </c>
      <c r="D51" s="119" t="str">
        <f t="shared" si="0"/>
        <v>5h 30 min</v>
      </c>
      <c r="E51" s="34">
        <v>66</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200"/>
      <c r="WK51" s="200"/>
      <c r="WL51" s="200"/>
      <c r="WM51" s="202"/>
      <c r="WN51" s="200"/>
      <c r="WO51" s="200"/>
      <c r="WP51" s="200"/>
      <c r="WQ51" s="200"/>
      <c r="WR51" s="200"/>
      <c r="WS51" s="203"/>
      <c r="WT51" s="200"/>
      <c r="WU51" s="200"/>
      <c r="WV51" s="200"/>
      <c r="WW51" s="200"/>
      <c r="WX51" s="200"/>
      <c r="WY51" s="204"/>
      <c r="WZ51" s="200"/>
      <c r="XA51" s="200"/>
      <c r="XB51" s="200"/>
      <c r="XC51" s="200"/>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200"/>
      <c r="ZI51" s="200"/>
      <c r="ZJ51" s="200"/>
      <c r="ZK51" s="200"/>
      <c r="ZL51" s="200"/>
      <c r="ZM51" s="203"/>
      <c r="ZN51" s="200"/>
      <c r="ZO51" s="200"/>
      <c r="ZP51" s="200"/>
      <c r="ZQ51" s="200"/>
      <c r="ZR51" s="200"/>
      <c r="ZS51" s="204"/>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200"/>
      <c r="ABA51" s="200"/>
      <c r="ABB51" s="200"/>
      <c r="ABC51" s="202"/>
      <c r="ABD51" s="200"/>
      <c r="ABE51" s="200"/>
      <c r="ABF51" s="200"/>
      <c r="ABG51" s="200"/>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200"/>
      <c r="ADI51" s="200"/>
      <c r="ADJ51" s="200"/>
      <c r="ADK51" s="202"/>
      <c r="ADL51" s="200"/>
      <c r="ADM51" s="200"/>
      <c r="ADN51" s="200"/>
      <c r="ADO51" s="200"/>
      <c r="ADP51" s="200"/>
      <c r="ADQ51" s="203"/>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200"/>
      <c r="AGO51" s="200"/>
      <c r="AGP51" s="200"/>
      <c r="AGQ51" s="204"/>
      <c r="AGR51" s="200"/>
      <c r="AGS51" s="200"/>
      <c r="AGT51" s="200"/>
      <c r="AGU51" s="200"/>
      <c r="AGV51" s="200"/>
      <c r="AGW51" s="203"/>
      <c r="AGX51" s="200"/>
      <c r="AGY51" s="200"/>
      <c r="AGZ51" s="200"/>
      <c r="AHA51" s="200"/>
      <c r="AHB51" s="200"/>
      <c r="AHC51" s="204"/>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176"/>
      <c r="AUU51" s="176"/>
      <c r="AUV51" s="176"/>
      <c r="AUW51" s="176"/>
      <c r="AUX51" s="176"/>
      <c r="AUY51" s="179"/>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176"/>
      <c r="AYW51" s="178"/>
      <c r="AYX51" s="176"/>
      <c r="AYY51" s="176"/>
      <c r="AYZ51" s="176"/>
      <c r="AZA51" s="176"/>
      <c r="AZB51" s="176"/>
      <c r="AZC51" s="179"/>
      <c r="AZD51" s="176"/>
      <c r="AZE51" s="176"/>
      <c r="AZF51" s="176"/>
      <c r="AZG51" s="176"/>
      <c r="AZH51" s="176"/>
      <c r="AZI51" s="178"/>
      <c r="AZJ51" s="176"/>
      <c r="AZK51" s="176"/>
      <c r="AZL51" s="176"/>
      <c r="AZM51" s="176"/>
      <c r="AZN51" s="176"/>
      <c r="AZO51" s="179"/>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176"/>
      <c r="BBJ51" s="176"/>
      <c r="BBK51" s="179"/>
      <c r="BBL51" s="176"/>
      <c r="BBM51" s="176"/>
      <c r="BBN51" s="176"/>
      <c r="BBO51" s="176"/>
      <c r="BBP51" s="176"/>
      <c r="BBQ51" s="178"/>
      <c r="BBR51" s="176"/>
      <c r="BBS51" s="176"/>
      <c r="BBT51" s="176"/>
      <c r="BBU51" s="176"/>
      <c r="BBV51" s="176"/>
      <c r="BBW51" s="179"/>
      <c r="BBX51" s="176"/>
      <c r="BBY51" s="176"/>
      <c r="BBZ51" s="176"/>
      <c r="BCA51" s="176"/>
      <c r="BCB51" s="176"/>
      <c r="BCC51" s="178"/>
      <c r="BCD51" s="176"/>
      <c r="BCE51" s="176"/>
      <c r="BCF51" s="176"/>
      <c r="BCG51" s="176"/>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176"/>
      <c r="BFS51" s="176"/>
      <c r="BFT51" s="176"/>
      <c r="BFU51" s="178"/>
      <c r="BFV51" s="176"/>
      <c r="BFW51" s="176"/>
      <c r="BFX51" s="176"/>
      <c r="BFY51" s="176"/>
      <c r="BFZ51" s="176"/>
      <c r="BGA51" s="179"/>
      <c r="BGB51" s="176"/>
      <c r="BGC51" s="176"/>
      <c r="BGD51" s="176"/>
      <c r="BGE51" s="176"/>
      <c r="BGF51" s="176"/>
      <c r="BGG51" s="178"/>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176"/>
      <c r="BIC51" s="178"/>
      <c r="BID51" s="176"/>
      <c r="BIE51" s="176"/>
      <c r="BIF51" s="176"/>
      <c r="BIG51" s="176"/>
      <c r="BIH51" s="176"/>
      <c r="BII51" s="179"/>
      <c r="BIJ51" s="176"/>
      <c r="BIK51" s="176"/>
      <c r="BIL51" s="176"/>
      <c r="BIM51" s="176"/>
      <c r="BIN51" s="176"/>
      <c r="BIO51" s="178"/>
      <c r="BIP51" s="176"/>
      <c r="BIQ51" s="176"/>
      <c r="BIR51" s="176"/>
      <c r="BIS51" s="176"/>
      <c r="BIT51" s="176"/>
      <c r="BIU51" s="179"/>
      <c r="BIV51" s="176"/>
      <c r="BIW51" s="176"/>
      <c r="BIX51" s="176"/>
      <c r="BIY51" s="176"/>
      <c r="BIZ51" s="176"/>
      <c r="BJA51" s="178"/>
      <c r="BJB51" s="176"/>
      <c r="BJC51" s="176"/>
      <c r="BJD51" s="176"/>
      <c r="BJE51" s="176"/>
      <c r="BJF51" s="176"/>
      <c r="BJG51" s="179"/>
      <c r="BJH51" s="176"/>
      <c r="BJI51" s="176"/>
      <c r="BJJ51" s="176"/>
      <c r="BJK51" s="176"/>
      <c r="BJL51" s="176"/>
      <c r="BJM51" s="180"/>
      <c r="BJN51" s="175"/>
      <c r="BJO51" s="176"/>
      <c r="BJP51" s="176"/>
      <c r="BJQ51" s="176"/>
      <c r="BJR51" s="176"/>
      <c r="BJS51" s="177"/>
      <c r="BJT51" s="176"/>
      <c r="BJU51" s="176"/>
      <c r="BJV51" s="176"/>
      <c r="BJW51" s="176"/>
      <c r="BJX51" s="176"/>
      <c r="BJY51" s="178"/>
      <c r="BJZ51" s="176"/>
      <c r="BKA51" s="176"/>
      <c r="BKB51" s="176"/>
      <c r="BKC51" s="176"/>
      <c r="BKD51" s="176"/>
      <c r="BKE51" s="179"/>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271"/>
      <c r="BSU51" s="272"/>
      <c r="BSV51" s="272"/>
      <c r="BSW51" s="272"/>
      <c r="BSX51" s="272"/>
      <c r="BSY51" s="272"/>
      <c r="BSZ51" s="272"/>
      <c r="BTA51" s="272"/>
      <c r="BTB51" s="272"/>
      <c r="BTC51" s="272"/>
      <c r="BTD51" s="272"/>
      <c r="BTE51" s="272"/>
      <c r="BTF51" s="272"/>
      <c r="BTG51" s="272"/>
      <c r="BTH51" s="272"/>
      <c r="BTI51" s="272"/>
      <c r="BTJ51" s="272"/>
      <c r="BTK51" s="272"/>
      <c r="BTL51" s="272"/>
      <c r="BTM51" s="272"/>
      <c r="BTN51" s="272"/>
      <c r="BTO51" s="272"/>
      <c r="BTP51" s="272"/>
      <c r="BTQ51" s="272"/>
      <c r="BTR51" s="272"/>
      <c r="BTS51" s="272"/>
      <c r="BTT51" s="272"/>
      <c r="BTU51" s="272"/>
      <c r="BTV51" s="272"/>
      <c r="BTW51" s="272"/>
      <c r="BTX51" s="272"/>
      <c r="BTY51" s="272"/>
      <c r="BTZ51" s="272"/>
      <c r="BUA51" s="272"/>
      <c r="BUB51" s="272"/>
    </row>
    <row r="52" spans="1:1900" ht="20.100000000000001" customHeight="1" x14ac:dyDescent="0.25">
      <c r="A52" s="78" t="s">
        <v>28</v>
      </c>
      <c r="B52" s="51" t="str">
        <f>IF(LEN(C89)=0,"",C89)</f>
        <v/>
      </c>
      <c r="C52" s="233"/>
      <c r="D52" s="120" t="str">
        <f t="shared" si="0"/>
        <v>6h 55 min</v>
      </c>
      <c r="E52" s="22">
        <v>83</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206"/>
      <c r="OE52" s="210"/>
      <c r="OF52" s="206"/>
      <c r="OG52" s="206"/>
      <c r="OH52" s="206"/>
      <c r="OI52" s="206"/>
      <c r="OJ52" s="206"/>
      <c r="OK52" s="214"/>
      <c r="OL52" s="206"/>
      <c r="OM52" s="206"/>
      <c r="ON52" s="206"/>
      <c r="OO52" s="206"/>
      <c r="OP52" s="207"/>
      <c r="OQ52" s="210"/>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206"/>
      <c r="PN52" s="206"/>
      <c r="PO52" s="213"/>
      <c r="PP52" s="206"/>
      <c r="PQ52" s="206"/>
      <c r="PR52" s="206"/>
      <c r="PS52" s="206"/>
      <c r="PT52" s="206"/>
      <c r="PU52" s="214"/>
      <c r="PV52" s="206"/>
      <c r="PW52" s="206"/>
      <c r="PX52" s="206"/>
      <c r="PY52" s="206"/>
      <c r="PZ52" s="206"/>
      <c r="QA52" s="210"/>
      <c r="QB52" s="206"/>
      <c r="QC52" s="206"/>
      <c r="QD52" s="206"/>
      <c r="QE52" s="206"/>
      <c r="QF52" s="206"/>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206"/>
      <c r="RW52" s="213"/>
      <c r="RX52" s="206"/>
      <c r="RY52" s="206"/>
      <c r="RZ52" s="206"/>
      <c r="SA52" s="206"/>
      <c r="SB52" s="206"/>
      <c r="SC52" s="214"/>
      <c r="SD52" s="206"/>
      <c r="SE52" s="206"/>
      <c r="SF52" s="206"/>
      <c r="SG52" s="206"/>
      <c r="SH52" s="206"/>
      <c r="SI52" s="210"/>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206"/>
      <c r="UD52" s="206"/>
      <c r="UE52" s="213"/>
      <c r="UF52" s="206"/>
      <c r="UG52" s="206"/>
      <c r="UH52" s="206"/>
      <c r="UI52" s="206"/>
      <c r="UJ52" s="206"/>
      <c r="UK52" s="214"/>
      <c r="UL52" s="206"/>
      <c r="UM52" s="206"/>
      <c r="UN52" s="206"/>
      <c r="UO52" s="206"/>
      <c r="UP52" s="206"/>
      <c r="UQ52" s="210"/>
      <c r="UR52" s="206"/>
      <c r="US52" s="206"/>
      <c r="UT52" s="206"/>
      <c r="UU52" s="206"/>
      <c r="UV52" s="206"/>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206"/>
      <c r="XJ52" s="206"/>
      <c r="XK52" s="210"/>
      <c r="XL52" s="206"/>
      <c r="XM52" s="206"/>
      <c r="XN52" s="206"/>
      <c r="XO52" s="206"/>
      <c r="XP52" s="206"/>
      <c r="XQ52" s="214"/>
      <c r="XR52" s="206"/>
      <c r="XS52" s="206"/>
      <c r="XT52" s="206"/>
      <c r="XU52" s="206"/>
      <c r="XV52" s="207"/>
      <c r="XW52" s="210"/>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271"/>
      <c r="BSU52" s="272"/>
      <c r="BSV52" s="272"/>
      <c r="BSW52" s="272"/>
      <c r="BSX52" s="272"/>
      <c r="BSY52" s="272"/>
      <c r="BSZ52" s="272"/>
      <c r="BTA52" s="272"/>
      <c r="BTB52" s="272"/>
      <c r="BTC52" s="272"/>
      <c r="BTD52" s="272"/>
      <c r="BTE52" s="272"/>
      <c r="BTF52" s="272"/>
      <c r="BTG52" s="272"/>
      <c r="BTH52" s="272"/>
      <c r="BTI52" s="272"/>
      <c r="BTJ52" s="272"/>
      <c r="BTK52" s="272"/>
      <c r="BTL52" s="272"/>
      <c r="BTM52" s="272"/>
      <c r="BTN52" s="272"/>
      <c r="BTO52" s="272"/>
      <c r="BTP52" s="272"/>
      <c r="BTQ52" s="272"/>
      <c r="BTR52" s="272"/>
      <c r="BTS52" s="272"/>
      <c r="BTT52" s="272"/>
      <c r="BTU52" s="272"/>
      <c r="BTV52" s="272"/>
      <c r="BTW52" s="272"/>
      <c r="BTX52" s="272"/>
      <c r="BTY52" s="272"/>
      <c r="BTZ52" s="272"/>
      <c r="BUA52" s="272"/>
      <c r="BUB52" s="272"/>
    </row>
    <row r="53" spans="1:1900" ht="20.100000000000001" customHeight="1" x14ac:dyDescent="0.25">
      <c r="A53" s="78" t="s">
        <v>26</v>
      </c>
      <c r="B53" s="51" t="str">
        <f>IF(LEN(C91)=0,"",C91)</f>
        <v/>
      </c>
      <c r="C53" s="228" t="s">
        <v>109</v>
      </c>
      <c r="D53" s="119" t="str">
        <f t="shared" si="0"/>
        <v>8h 45 min</v>
      </c>
      <c r="E53" s="26">
        <v>105</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70"/>
      <c r="YS53" s="170"/>
      <c r="YT53" s="170"/>
      <c r="YU53" s="171"/>
      <c r="YV53" s="170"/>
      <c r="YW53" s="170"/>
      <c r="YX53" s="170"/>
      <c r="YY53" s="170"/>
      <c r="YZ53" s="170"/>
      <c r="ZA53" s="172"/>
      <c r="ZB53" s="170"/>
      <c r="ZC53" s="170"/>
      <c r="ZD53" s="170"/>
      <c r="ZE53" s="170"/>
      <c r="ZF53" s="170"/>
      <c r="ZG53" s="173"/>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70"/>
      <c r="AHY53" s="170"/>
      <c r="AHZ53" s="170"/>
      <c r="AIA53" s="171"/>
      <c r="AIB53" s="170"/>
      <c r="AIC53" s="170"/>
      <c r="AID53" s="170"/>
      <c r="AIE53" s="170"/>
      <c r="AIF53" s="170"/>
      <c r="AIG53" s="172"/>
      <c r="AIH53" s="170"/>
      <c r="AII53" s="170"/>
      <c r="AIJ53" s="170"/>
      <c r="AIK53" s="170"/>
      <c r="AIL53" s="170"/>
      <c r="AIM53" s="173"/>
      <c r="AIN53" s="170"/>
      <c r="AIO53" s="170"/>
      <c r="AIP53" s="170"/>
      <c r="AIQ53" s="170"/>
      <c r="AIR53" s="170"/>
      <c r="AIS53" s="172"/>
      <c r="AIT53" s="170"/>
      <c r="AIU53" s="170"/>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96"/>
      <c r="AUU53" s="196"/>
      <c r="AUV53" s="196"/>
      <c r="AUW53" s="196"/>
      <c r="AUX53" s="196"/>
      <c r="AUY53" s="199"/>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96"/>
      <c r="AYW53" s="198"/>
      <c r="AYX53" s="196"/>
      <c r="AYY53" s="196"/>
      <c r="AYZ53" s="196"/>
      <c r="AZA53" s="196"/>
      <c r="AZB53" s="196"/>
      <c r="AZC53" s="199"/>
      <c r="AZD53" s="196"/>
      <c r="AZE53" s="196"/>
      <c r="AZF53" s="196"/>
      <c r="AZG53" s="196"/>
      <c r="AZH53" s="196"/>
      <c r="AZI53" s="198"/>
      <c r="AZJ53" s="196"/>
      <c r="AZK53" s="196"/>
      <c r="AZL53" s="196"/>
      <c r="AZM53" s="196"/>
      <c r="AZN53" s="196"/>
      <c r="AZO53" s="199"/>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96"/>
      <c r="BBJ53" s="196"/>
      <c r="BBK53" s="199"/>
      <c r="BBL53" s="196"/>
      <c r="BBM53" s="196"/>
      <c r="BBN53" s="196"/>
      <c r="BBO53" s="196"/>
      <c r="BBP53" s="196"/>
      <c r="BBQ53" s="198"/>
      <c r="BBR53" s="196"/>
      <c r="BBS53" s="196"/>
      <c r="BBT53" s="196"/>
      <c r="BBU53" s="196"/>
      <c r="BBV53" s="196"/>
      <c r="BBW53" s="199"/>
      <c r="BBX53" s="196"/>
      <c r="BBY53" s="196"/>
      <c r="BBZ53" s="196"/>
      <c r="BCA53" s="196"/>
      <c r="BCB53" s="196"/>
      <c r="BCC53" s="198"/>
      <c r="BCD53" s="196"/>
      <c r="BCE53" s="196"/>
      <c r="BCF53" s="196"/>
      <c r="BCG53" s="196"/>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96"/>
      <c r="BFS53" s="196"/>
      <c r="BFT53" s="196"/>
      <c r="BFU53" s="198"/>
      <c r="BFV53" s="196"/>
      <c r="BFW53" s="196"/>
      <c r="BFX53" s="196"/>
      <c r="BFY53" s="196"/>
      <c r="BFZ53" s="196"/>
      <c r="BGA53" s="199"/>
      <c r="BGB53" s="196"/>
      <c r="BGC53" s="196"/>
      <c r="BGD53" s="196"/>
      <c r="BGE53" s="196"/>
      <c r="BGF53" s="196"/>
      <c r="BGG53" s="198"/>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96"/>
      <c r="BIC53" s="198"/>
      <c r="BID53" s="196"/>
      <c r="BIE53" s="196"/>
      <c r="BIF53" s="196"/>
      <c r="BIG53" s="196"/>
      <c r="BIH53" s="196"/>
      <c r="BII53" s="199"/>
      <c r="BIJ53" s="196"/>
      <c r="BIK53" s="196"/>
      <c r="BIL53" s="196"/>
      <c r="BIM53" s="196"/>
      <c r="BIN53" s="196"/>
      <c r="BIO53" s="198"/>
      <c r="BIP53" s="196"/>
      <c r="BIQ53" s="196"/>
      <c r="BIR53" s="196"/>
      <c r="BIS53" s="196"/>
      <c r="BIT53" s="196"/>
      <c r="BIU53" s="199"/>
      <c r="BIV53" s="170"/>
      <c r="BIW53" s="170"/>
      <c r="BIX53" s="170"/>
      <c r="BIY53" s="170"/>
      <c r="BIZ53" s="170"/>
      <c r="BJA53" s="172"/>
      <c r="BJB53" s="170"/>
      <c r="BJC53" s="170"/>
      <c r="BJD53" s="170"/>
      <c r="BJE53" s="170"/>
      <c r="BJF53" s="170"/>
      <c r="BJG53" s="173"/>
      <c r="BJH53" s="170"/>
      <c r="BJI53" s="170"/>
      <c r="BJJ53" s="170"/>
      <c r="BJK53" s="170"/>
      <c r="BJL53" s="170"/>
      <c r="BJM53" s="174"/>
      <c r="BJN53" s="195"/>
      <c r="BJO53" s="196"/>
      <c r="BJP53" s="196"/>
      <c r="BJQ53" s="196"/>
      <c r="BJR53" s="196"/>
      <c r="BJS53" s="197"/>
      <c r="BJT53" s="196"/>
      <c r="BJU53" s="196"/>
      <c r="BJV53" s="196"/>
      <c r="BJW53" s="196"/>
      <c r="BJX53" s="196"/>
      <c r="BJY53" s="198"/>
      <c r="BJZ53" s="196"/>
      <c r="BKA53" s="196"/>
      <c r="BKB53" s="196"/>
      <c r="BKC53" s="196"/>
      <c r="BKD53" s="196"/>
      <c r="BKE53" s="199"/>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271"/>
      <c r="BSU53" s="272"/>
      <c r="BSV53" s="272"/>
      <c r="BSW53" s="272"/>
      <c r="BSX53" s="272"/>
      <c r="BSY53" s="272"/>
      <c r="BSZ53" s="272"/>
      <c r="BTA53" s="272"/>
      <c r="BTB53" s="272"/>
      <c r="BTC53" s="272"/>
      <c r="BTD53" s="272"/>
      <c r="BTE53" s="272"/>
      <c r="BTF53" s="272"/>
      <c r="BTG53" s="272"/>
      <c r="BTH53" s="272"/>
      <c r="BTI53" s="272"/>
      <c r="BTJ53" s="272"/>
      <c r="BTK53" s="272"/>
      <c r="BTL53" s="272"/>
      <c r="BTM53" s="272"/>
      <c r="BTN53" s="272"/>
      <c r="BTO53" s="272"/>
      <c r="BTP53" s="272"/>
      <c r="BTQ53" s="272"/>
      <c r="BTR53" s="272"/>
      <c r="BTS53" s="272"/>
      <c r="BTT53" s="272"/>
      <c r="BTU53" s="272"/>
      <c r="BTV53" s="272"/>
      <c r="BTW53" s="272"/>
      <c r="BTX53" s="272"/>
      <c r="BTY53" s="272"/>
      <c r="BTZ53" s="272"/>
      <c r="BUA53" s="272"/>
      <c r="BUB53" s="272"/>
    </row>
    <row r="54" spans="1:1900" ht="20.100000000000001" customHeight="1" x14ac:dyDescent="0.3">
      <c r="A54" s="78" t="s">
        <v>28</v>
      </c>
      <c r="B54" s="51" t="str">
        <f>IF(LEN(C93)=0,"",C93)</f>
        <v/>
      </c>
      <c r="C54" s="233"/>
      <c r="D54" s="121" t="str">
        <f t="shared" si="0"/>
        <v>1h 30 min</v>
      </c>
      <c r="E54" s="30">
        <v>18</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207"/>
      <c r="JW54" s="207"/>
      <c r="JX54" s="207"/>
      <c r="JY54" s="207"/>
      <c r="JZ54" s="207"/>
      <c r="KA54" s="210"/>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207"/>
      <c r="AKH54" s="207"/>
      <c r="AKI54" s="208"/>
      <c r="AKJ54" s="207"/>
      <c r="AKK54" s="207"/>
      <c r="AKL54" s="207"/>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207"/>
      <c r="BBD54" s="207"/>
      <c r="BBE54" s="209"/>
      <c r="BBF54" s="207"/>
      <c r="BBG54" s="207"/>
      <c r="BBH54" s="207"/>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271"/>
      <c r="BSU54" s="272"/>
      <c r="BSV54" s="272"/>
      <c r="BSW54" s="272"/>
      <c r="BSX54" s="272"/>
      <c r="BSY54" s="272"/>
      <c r="BSZ54" s="272"/>
      <c r="BTA54" s="272"/>
      <c r="BTB54" s="272"/>
      <c r="BTC54" s="272"/>
      <c r="BTD54" s="272"/>
      <c r="BTE54" s="272"/>
      <c r="BTF54" s="272"/>
      <c r="BTG54" s="272"/>
      <c r="BTH54" s="272"/>
      <c r="BTI54" s="272"/>
      <c r="BTJ54" s="272"/>
      <c r="BTK54" s="272"/>
      <c r="BTL54" s="272"/>
      <c r="BTM54" s="272"/>
      <c r="BTN54" s="272"/>
      <c r="BTO54" s="272"/>
      <c r="BTP54" s="272"/>
      <c r="BTQ54" s="272"/>
      <c r="BTR54" s="272"/>
      <c r="BTS54" s="272"/>
      <c r="BTT54" s="272"/>
      <c r="BTU54" s="272"/>
      <c r="BTV54" s="272"/>
      <c r="BTW54" s="272"/>
      <c r="BTX54" s="272"/>
      <c r="BTY54" s="272"/>
      <c r="BTZ54" s="272"/>
      <c r="BUA54" s="272"/>
      <c r="BUB54" s="272"/>
    </row>
    <row r="55" spans="1:1900" ht="20.100000000000001" customHeight="1" x14ac:dyDescent="0.25">
      <c r="A55" s="78" t="s">
        <v>26</v>
      </c>
      <c r="B55" s="51"/>
      <c r="C55" s="228" t="s">
        <v>164</v>
      </c>
      <c r="D55" s="119" t="str">
        <f t="shared" si="0"/>
        <v>3h 20 min</v>
      </c>
      <c r="E55" s="34">
        <v>40</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200"/>
      <c r="YS55" s="200"/>
      <c r="YT55" s="200"/>
      <c r="YU55" s="202"/>
      <c r="YV55" s="200"/>
      <c r="YW55" s="200"/>
      <c r="YX55" s="200"/>
      <c r="YY55" s="200"/>
      <c r="YZ55" s="200"/>
      <c r="ZA55" s="203"/>
      <c r="ZB55" s="200"/>
      <c r="ZC55" s="200"/>
      <c r="ZD55" s="200"/>
      <c r="ZE55" s="200"/>
      <c r="ZF55" s="200"/>
      <c r="ZG55" s="204"/>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200"/>
      <c r="AHY55" s="200"/>
      <c r="AHZ55" s="200"/>
      <c r="AIA55" s="202"/>
      <c r="AIB55" s="200"/>
      <c r="AIC55" s="200"/>
      <c r="AID55" s="200"/>
      <c r="AIE55" s="200"/>
      <c r="AIF55" s="200"/>
      <c r="AIG55" s="203"/>
      <c r="AIH55" s="200"/>
      <c r="AII55" s="200"/>
      <c r="AIJ55" s="200"/>
      <c r="AIK55" s="200"/>
      <c r="AIL55" s="200"/>
      <c r="AIM55" s="204"/>
      <c r="AIN55" s="200"/>
      <c r="AIO55" s="200"/>
      <c r="AIP55" s="200"/>
      <c r="AIQ55" s="200"/>
      <c r="AIR55" s="200"/>
      <c r="AIS55" s="203"/>
      <c r="AIT55" s="200"/>
      <c r="AIU55" s="200"/>
      <c r="AIV55" s="176"/>
      <c r="AIW55" s="176"/>
      <c r="AIX55" s="176"/>
      <c r="AIY55" s="179"/>
      <c r="AIZ55" s="176"/>
      <c r="AJA55" s="176"/>
      <c r="AJB55" s="176"/>
      <c r="AJC55" s="176"/>
      <c r="AJD55" s="176"/>
      <c r="AJE55" s="178"/>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176"/>
      <c r="ALG55" s="179"/>
      <c r="ALH55" s="176"/>
      <c r="ALI55" s="176"/>
      <c r="ALJ55" s="176"/>
      <c r="ALK55" s="176"/>
      <c r="ALL55" s="176"/>
      <c r="ALM55" s="178"/>
      <c r="ALN55" s="176"/>
      <c r="ALO55" s="176"/>
      <c r="ALP55" s="176"/>
      <c r="ALQ55" s="176"/>
      <c r="ALR55" s="176"/>
      <c r="ALS55" s="179"/>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176"/>
      <c r="ANM55" s="176"/>
      <c r="ANN55" s="176"/>
      <c r="ANO55" s="179"/>
      <c r="ANP55" s="176"/>
      <c r="ANQ55" s="176"/>
      <c r="ANR55" s="176"/>
      <c r="ANS55" s="176"/>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176"/>
      <c r="AQA55" s="176"/>
      <c r="AQB55" s="176"/>
      <c r="AQC55" s="178"/>
      <c r="AQD55" s="176"/>
      <c r="AQE55" s="176"/>
      <c r="AQF55" s="176"/>
      <c r="AQG55" s="176"/>
      <c r="AQH55" s="176"/>
      <c r="AQI55" s="179"/>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176"/>
      <c r="ASE55" s="179"/>
      <c r="ASF55" s="176"/>
      <c r="ASG55" s="176"/>
      <c r="ASH55" s="176"/>
      <c r="ASI55" s="176"/>
      <c r="ASJ55" s="176"/>
      <c r="ASK55" s="178"/>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176"/>
      <c r="ATM55" s="176"/>
      <c r="ATN55" s="176"/>
      <c r="ATO55" s="177"/>
      <c r="ATP55" s="176"/>
      <c r="ATQ55" s="176"/>
      <c r="ATR55" s="176"/>
      <c r="ATS55" s="176"/>
      <c r="ATT55" s="176"/>
      <c r="ATU55" s="178"/>
      <c r="ATV55" s="176"/>
      <c r="ATW55" s="176"/>
      <c r="ATX55" s="176"/>
      <c r="ATY55" s="176"/>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176"/>
      <c r="BDQ55" s="176"/>
      <c r="BDR55" s="176"/>
      <c r="BDS55" s="179"/>
      <c r="BDT55" s="176"/>
      <c r="BDU55" s="176"/>
      <c r="BDV55" s="176"/>
      <c r="BDW55" s="176"/>
      <c r="BDX55" s="176"/>
      <c r="BDY55" s="178"/>
      <c r="BDZ55" s="176"/>
      <c r="BEA55" s="176"/>
      <c r="BEB55" s="176"/>
      <c r="BEC55" s="176"/>
      <c r="BED55" s="176"/>
      <c r="BEE55" s="179"/>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176"/>
      <c r="BFA55" s="176"/>
      <c r="BFB55" s="176"/>
      <c r="BFC55" s="177"/>
      <c r="BFD55" s="176"/>
      <c r="BFE55" s="176"/>
      <c r="BFF55" s="176"/>
      <c r="BFG55" s="176"/>
      <c r="BFH55" s="176"/>
      <c r="BFI55" s="178"/>
      <c r="BFJ55" s="176"/>
      <c r="BFK55" s="176"/>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271"/>
      <c r="BSU55" s="272"/>
      <c r="BSV55" s="272"/>
      <c r="BSW55" s="272"/>
      <c r="BSX55" s="272"/>
      <c r="BSY55" s="272"/>
      <c r="BSZ55" s="272"/>
      <c r="BTA55" s="272"/>
      <c r="BTB55" s="272"/>
      <c r="BTC55" s="272"/>
      <c r="BTD55" s="272"/>
      <c r="BTE55" s="272"/>
      <c r="BTF55" s="272"/>
      <c r="BTG55" s="272"/>
      <c r="BTH55" s="272"/>
      <c r="BTI55" s="272"/>
      <c r="BTJ55" s="272"/>
      <c r="BTK55" s="272"/>
      <c r="BTL55" s="272"/>
      <c r="BTM55" s="272"/>
      <c r="BTN55" s="272"/>
      <c r="BTO55" s="272"/>
      <c r="BTP55" s="272"/>
      <c r="BTQ55" s="272"/>
      <c r="BTR55" s="272"/>
      <c r="BTS55" s="272"/>
      <c r="BTT55" s="272"/>
      <c r="BTU55" s="272"/>
      <c r="BTV55" s="272"/>
      <c r="BTW55" s="272"/>
      <c r="BTX55" s="272"/>
      <c r="BTY55" s="272"/>
      <c r="BTZ55" s="272"/>
      <c r="BUA55" s="272"/>
      <c r="BUB55" s="272"/>
    </row>
    <row r="56" spans="1:1900" ht="20.100000000000001" customHeight="1" x14ac:dyDescent="0.25">
      <c r="A56" s="78" t="s">
        <v>28</v>
      </c>
      <c r="B56" s="51"/>
      <c r="C56" s="229"/>
      <c r="D56" s="120" t="str">
        <f t="shared" si="0"/>
        <v>6h 40 min</v>
      </c>
      <c r="E56" s="22">
        <v>80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206"/>
      <c r="APP56" s="206"/>
      <c r="APQ56" s="214"/>
      <c r="APR56" s="206"/>
      <c r="APS56" s="206"/>
      <c r="APT56" s="206"/>
      <c r="APU56" s="206"/>
      <c r="APV56" s="206"/>
      <c r="APW56" s="211"/>
      <c r="APX56" s="206"/>
      <c r="APY56" s="206"/>
      <c r="APZ56" s="206"/>
      <c r="AQA56" s="206"/>
      <c r="AQB56" s="206"/>
      <c r="AQC56" s="214"/>
      <c r="AQD56" s="206"/>
      <c r="AQE56" s="206"/>
      <c r="AQF56" s="206"/>
      <c r="AQG56" s="206"/>
      <c r="AQH56" s="206"/>
      <c r="AQI56" s="211"/>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206"/>
      <c r="ARQ56" s="206"/>
      <c r="ARR56" s="206"/>
      <c r="ARS56" s="211"/>
      <c r="ART56" s="206"/>
      <c r="ARU56" s="206"/>
      <c r="ARV56" s="206"/>
      <c r="ARW56" s="206"/>
      <c r="ARX56" s="206"/>
      <c r="ARY56" s="214"/>
      <c r="ARZ56" s="206"/>
      <c r="ASA56" s="206"/>
      <c r="ASB56" s="206"/>
      <c r="ASC56" s="206"/>
      <c r="ASD56" s="206"/>
      <c r="ASE56" s="211"/>
      <c r="ASF56" s="206"/>
      <c r="ASG56" s="206"/>
      <c r="ASH56" s="206"/>
      <c r="ASI56" s="206"/>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214"/>
      <c r="ATV56" s="206"/>
      <c r="ATW56" s="206"/>
      <c r="ATX56" s="206"/>
      <c r="ATY56" s="206"/>
      <c r="ATZ56" s="206"/>
      <c r="AUA56" s="211"/>
      <c r="AUB56" s="206"/>
      <c r="AUC56" s="206"/>
      <c r="AUD56" s="206"/>
      <c r="AUE56" s="206"/>
      <c r="AUF56" s="206"/>
      <c r="AUG56" s="214"/>
      <c r="AUH56" s="206"/>
      <c r="AUI56" s="206"/>
      <c r="AUJ56" s="206"/>
      <c r="AUK56" s="206"/>
      <c r="AUL56" s="206"/>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206"/>
      <c r="AWG56" s="206"/>
      <c r="AWH56" s="206"/>
      <c r="AWI56" s="211"/>
      <c r="AWJ56" s="206"/>
      <c r="AWK56" s="206"/>
      <c r="AWL56" s="206"/>
      <c r="AWM56" s="206"/>
      <c r="AWN56" s="206"/>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206"/>
      <c r="AZE56" s="206"/>
      <c r="AZF56" s="206"/>
      <c r="AZG56" s="206"/>
      <c r="AZH56" s="206"/>
      <c r="AZI56" s="214"/>
      <c r="AZJ56" s="206"/>
      <c r="AZK56" s="206"/>
      <c r="AZL56" s="206"/>
      <c r="AZM56" s="206"/>
      <c r="AZN56" s="206"/>
      <c r="AZO56" s="211"/>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271"/>
      <c r="BSU56" s="272"/>
      <c r="BSV56" s="272"/>
      <c r="BSW56" s="272"/>
      <c r="BSX56" s="272"/>
      <c r="BSY56" s="272"/>
      <c r="BSZ56" s="272"/>
      <c r="BTA56" s="272"/>
      <c r="BTB56" s="272"/>
      <c r="BTC56" s="272"/>
      <c r="BTD56" s="272"/>
      <c r="BTE56" s="272"/>
      <c r="BTF56" s="272"/>
      <c r="BTG56" s="272"/>
      <c r="BTH56" s="272"/>
      <c r="BTI56" s="272"/>
      <c r="BTJ56" s="272"/>
      <c r="BTK56" s="272"/>
      <c r="BTL56" s="272"/>
      <c r="BTM56" s="272"/>
      <c r="BTN56" s="272"/>
      <c r="BTO56" s="272"/>
      <c r="BTP56" s="272"/>
      <c r="BTQ56" s="272"/>
      <c r="BTR56" s="272"/>
      <c r="BTS56" s="272"/>
      <c r="BTT56" s="272"/>
      <c r="BTU56" s="272"/>
      <c r="BTV56" s="272"/>
      <c r="BTW56" s="272"/>
      <c r="BTX56" s="272"/>
      <c r="BTY56" s="272"/>
      <c r="BTZ56" s="272"/>
      <c r="BUA56" s="272"/>
      <c r="BUB56" s="272"/>
    </row>
    <row r="57" spans="1:1900" ht="20.100000000000001" customHeight="1" x14ac:dyDescent="0.25">
      <c r="A57" s="78" t="s">
        <v>26</v>
      </c>
      <c r="B57" s="51"/>
      <c r="C57" s="228" t="s">
        <v>165</v>
      </c>
      <c r="D57" s="119" t="str">
        <f t="shared" si="0"/>
        <v>7h 40 min</v>
      </c>
      <c r="E57" s="26">
        <v>92</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96"/>
      <c r="AIW57" s="196"/>
      <c r="AIX57" s="196"/>
      <c r="AIY57" s="199"/>
      <c r="AIZ57" s="196"/>
      <c r="AJA57" s="196"/>
      <c r="AJB57" s="196"/>
      <c r="AJC57" s="196"/>
      <c r="AJD57" s="196"/>
      <c r="AJE57" s="198"/>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96"/>
      <c r="ALG57" s="199"/>
      <c r="ALH57" s="196"/>
      <c r="ALI57" s="196"/>
      <c r="ALJ57" s="196"/>
      <c r="ALK57" s="196"/>
      <c r="ALL57" s="196"/>
      <c r="ALM57" s="198"/>
      <c r="ALN57" s="196"/>
      <c r="ALO57" s="196"/>
      <c r="ALP57" s="196"/>
      <c r="ALQ57" s="196"/>
      <c r="ALR57" s="196"/>
      <c r="ALS57" s="199"/>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96"/>
      <c r="ANM57" s="196"/>
      <c r="ANN57" s="196"/>
      <c r="ANO57" s="199"/>
      <c r="ANP57" s="196"/>
      <c r="ANQ57" s="196"/>
      <c r="ANR57" s="196"/>
      <c r="ANS57" s="196"/>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96"/>
      <c r="AQA57" s="196"/>
      <c r="AQB57" s="196"/>
      <c r="AQC57" s="198"/>
      <c r="AQD57" s="196"/>
      <c r="AQE57" s="196"/>
      <c r="AQF57" s="196"/>
      <c r="AQG57" s="196"/>
      <c r="AQH57" s="196"/>
      <c r="AQI57" s="199"/>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96"/>
      <c r="ASE57" s="199"/>
      <c r="ASF57" s="196"/>
      <c r="ASG57" s="196"/>
      <c r="ASH57" s="196"/>
      <c r="ASI57" s="196"/>
      <c r="ASJ57" s="196"/>
      <c r="ASK57" s="198"/>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96"/>
      <c r="ATM57" s="196"/>
      <c r="ATN57" s="196"/>
      <c r="ATO57" s="197"/>
      <c r="ATP57" s="196"/>
      <c r="ATQ57" s="196"/>
      <c r="ATR57" s="196"/>
      <c r="ATS57" s="196"/>
      <c r="ATT57" s="196"/>
      <c r="ATU57" s="198"/>
      <c r="ATV57" s="196"/>
      <c r="ATW57" s="196"/>
      <c r="ATX57" s="196"/>
      <c r="ATY57" s="196"/>
      <c r="ATZ57" s="170"/>
      <c r="AUA57" s="173"/>
      <c r="AUB57" s="170"/>
      <c r="AUC57" s="170"/>
      <c r="AUD57" s="170"/>
      <c r="AUE57" s="170"/>
      <c r="AUF57" s="170"/>
      <c r="AUG57" s="172"/>
      <c r="AUH57" s="170"/>
      <c r="AUI57" s="170"/>
      <c r="AUJ57" s="170"/>
      <c r="AUK57" s="170"/>
      <c r="AUL57" s="170"/>
      <c r="AUM57" s="173"/>
      <c r="AUN57" s="170"/>
      <c r="AUO57" s="170"/>
      <c r="AUP57" s="170"/>
      <c r="AUQ57" s="170"/>
      <c r="AUR57" s="170"/>
      <c r="AUS57" s="172"/>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70"/>
      <c r="AVU57" s="170"/>
      <c r="AVV57" s="170"/>
      <c r="AVW57" s="171"/>
      <c r="AVX57" s="170"/>
      <c r="AVY57" s="170"/>
      <c r="AVZ57" s="170"/>
      <c r="AWA57" s="170"/>
      <c r="AWB57" s="170"/>
      <c r="AWC57" s="172"/>
      <c r="AWD57" s="170"/>
      <c r="AWE57" s="170"/>
      <c r="AWF57" s="170"/>
      <c r="AWG57" s="170"/>
      <c r="AWH57" s="170"/>
      <c r="AWI57" s="173"/>
      <c r="AWJ57" s="170"/>
      <c r="AWK57" s="170"/>
      <c r="AWL57" s="170"/>
      <c r="AWM57" s="170"/>
      <c r="AWN57" s="170"/>
      <c r="AWO57" s="172"/>
      <c r="AWP57" s="170"/>
      <c r="AWQ57" s="170"/>
      <c r="AWR57" s="170"/>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70"/>
      <c r="AYC57" s="170"/>
      <c r="AYD57" s="170"/>
      <c r="AYE57" s="171"/>
      <c r="AYF57" s="170"/>
      <c r="AYG57" s="170"/>
      <c r="AYH57" s="170"/>
      <c r="AYI57" s="170"/>
      <c r="AYJ57" s="170"/>
      <c r="AYK57" s="172"/>
      <c r="AYL57" s="170"/>
      <c r="AYM57" s="170"/>
      <c r="AYN57" s="170"/>
      <c r="AYO57" s="170"/>
      <c r="AYP57" s="170"/>
      <c r="AYQ57" s="173"/>
      <c r="AYR57" s="170"/>
      <c r="AYS57" s="170"/>
      <c r="AYT57" s="170"/>
      <c r="AYU57" s="170"/>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96"/>
      <c r="BDQ57" s="196"/>
      <c r="BDR57" s="196"/>
      <c r="BDS57" s="199"/>
      <c r="BDT57" s="196"/>
      <c r="BDU57" s="196"/>
      <c r="BDV57" s="196"/>
      <c r="BDW57" s="196"/>
      <c r="BDX57" s="196"/>
      <c r="BDY57" s="198"/>
      <c r="BDZ57" s="196"/>
      <c r="BEA57" s="196"/>
      <c r="BEB57" s="196"/>
      <c r="BEC57" s="196"/>
      <c r="BED57" s="196"/>
      <c r="BEE57" s="199"/>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96"/>
      <c r="BFA57" s="196"/>
      <c r="BFB57" s="196"/>
      <c r="BFC57" s="197"/>
      <c r="BFD57" s="196"/>
      <c r="BFE57" s="196"/>
      <c r="BFF57" s="196"/>
      <c r="BFG57" s="196"/>
      <c r="BFH57" s="196"/>
      <c r="BFI57" s="198"/>
      <c r="BFJ57" s="196"/>
      <c r="BFK57" s="196"/>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271"/>
      <c r="BSU57" s="272"/>
      <c r="BSV57" s="272"/>
      <c r="BSW57" s="272"/>
      <c r="BSX57" s="272"/>
      <c r="BSY57" s="272"/>
      <c r="BSZ57" s="272"/>
      <c r="BTA57" s="272"/>
      <c r="BTB57" s="272"/>
      <c r="BTC57" s="272"/>
      <c r="BTD57" s="272"/>
      <c r="BTE57" s="272"/>
      <c r="BTF57" s="272"/>
      <c r="BTG57" s="272"/>
      <c r="BTH57" s="272"/>
      <c r="BTI57" s="272"/>
      <c r="BTJ57" s="272"/>
      <c r="BTK57" s="272"/>
      <c r="BTL57" s="272"/>
      <c r="BTM57" s="272"/>
      <c r="BTN57" s="272"/>
      <c r="BTO57" s="272"/>
      <c r="BTP57" s="272"/>
      <c r="BTQ57" s="272"/>
      <c r="BTR57" s="272"/>
      <c r="BTS57" s="272"/>
      <c r="BTT57" s="272"/>
      <c r="BTU57" s="272"/>
      <c r="BTV57" s="272"/>
      <c r="BTW57" s="272"/>
      <c r="BTX57" s="272"/>
      <c r="BTY57" s="272"/>
      <c r="BTZ57" s="272"/>
      <c r="BUA57" s="272"/>
      <c r="BUB57" s="272"/>
    </row>
    <row r="58" spans="1:1900" ht="20.100000000000001" customHeight="1" x14ac:dyDescent="0.3">
      <c r="A58" s="78" t="s">
        <v>28</v>
      </c>
      <c r="B58" s="51"/>
      <c r="C58" s="229"/>
      <c r="D58" s="121" t="str">
        <f t="shared" si="0"/>
        <v>2h 5 min</v>
      </c>
      <c r="E58" s="30">
        <v>25</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207"/>
      <c r="BDX58" s="207"/>
      <c r="BDY58" s="209"/>
      <c r="BDZ58" s="207"/>
      <c r="BEA58" s="207"/>
      <c r="BEB58" s="207"/>
      <c r="BEC58" s="207"/>
      <c r="BED58" s="207"/>
      <c r="BEE58" s="210"/>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207"/>
      <c r="BFY58" s="207"/>
      <c r="BFZ58" s="207"/>
      <c r="BGA58" s="210"/>
      <c r="BGB58" s="207"/>
      <c r="BGC58" s="207"/>
      <c r="BGD58" s="207"/>
      <c r="BGE58" s="207"/>
      <c r="BGF58" s="207"/>
      <c r="BGG58" s="209"/>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207"/>
      <c r="BHO58" s="207"/>
      <c r="BHP58" s="207"/>
      <c r="BHQ58" s="209"/>
      <c r="BHR58" s="207"/>
      <c r="BHS58" s="207"/>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271"/>
      <c r="BSU58" s="272"/>
      <c r="BSV58" s="272"/>
      <c r="BSW58" s="272"/>
      <c r="BSX58" s="272"/>
      <c r="BSY58" s="272"/>
      <c r="BSZ58" s="272"/>
      <c r="BTA58" s="272"/>
      <c r="BTB58" s="272"/>
      <c r="BTC58" s="272"/>
      <c r="BTD58" s="272"/>
      <c r="BTE58" s="272"/>
      <c r="BTF58" s="272"/>
      <c r="BTG58" s="272"/>
      <c r="BTH58" s="272"/>
      <c r="BTI58" s="272"/>
      <c r="BTJ58" s="272"/>
      <c r="BTK58" s="272"/>
      <c r="BTL58" s="272"/>
      <c r="BTM58" s="272"/>
      <c r="BTN58" s="272"/>
      <c r="BTO58" s="272"/>
      <c r="BTP58" s="272"/>
      <c r="BTQ58" s="272"/>
      <c r="BTR58" s="272"/>
      <c r="BTS58" s="272"/>
      <c r="BTT58" s="272"/>
      <c r="BTU58" s="272"/>
      <c r="BTV58" s="272"/>
      <c r="BTW58" s="272"/>
      <c r="BTX58" s="272"/>
      <c r="BTY58" s="272"/>
      <c r="BTZ58" s="272"/>
      <c r="BUA58" s="272"/>
      <c r="BUB58" s="272"/>
    </row>
    <row r="59" spans="1:1900" ht="20.100000000000001" customHeight="1" x14ac:dyDescent="0.25">
      <c r="A59" s="78" t="s">
        <v>26</v>
      </c>
      <c r="B59" s="51"/>
      <c r="C59" s="228" t="s">
        <v>33</v>
      </c>
      <c r="D59" s="119" t="str">
        <f t="shared" si="0"/>
        <v>5h 25 min</v>
      </c>
      <c r="E59" s="26">
        <v>65</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176"/>
      <c r="WK59" s="176"/>
      <c r="WL59" s="176"/>
      <c r="WM59" s="177"/>
      <c r="WN59" s="176"/>
      <c r="WO59" s="176"/>
      <c r="WP59" s="176"/>
      <c r="WQ59" s="176"/>
      <c r="WR59" s="176"/>
      <c r="WS59" s="178"/>
      <c r="WT59" s="176"/>
      <c r="WU59" s="176"/>
      <c r="WV59" s="176"/>
      <c r="WW59" s="176"/>
      <c r="WX59" s="176"/>
      <c r="WY59" s="179"/>
      <c r="WZ59" s="176"/>
      <c r="XA59" s="176"/>
      <c r="XB59" s="176"/>
      <c r="XC59" s="176"/>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176"/>
      <c r="ZI59" s="176"/>
      <c r="ZJ59" s="176"/>
      <c r="ZK59" s="176"/>
      <c r="ZL59" s="176"/>
      <c r="ZM59" s="178"/>
      <c r="ZN59" s="176"/>
      <c r="ZO59" s="176"/>
      <c r="ZP59" s="176"/>
      <c r="ZQ59" s="176"/>
      <c r="ZR59" s="176"/>
      <c r="ZS59" s="179"/>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176"/>
      <c r="ABA59" s="176"/>
      <c r="ABB59" s="176"/>
      <c r="ABC59" s="177"/>
      <c r="ABD59" s="176"/>
      <c r="ABE59" s="176"/>
      <c r="ABF59" s="176"/>
      <c r="ABG59" s="176"/>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176"/>
      <c r="ADI59" s="176"/>
      <c r="ADJ59" s="176"/>
      <c r="ADK59" s="177"/>
      <c r="ADL59" s="176"/>
      <c r="ADM59" s="176"/>
      <c r="ADN59" s="176"/>
      <c r="ADO59" s="176"/>
      <c r="ADP59" s="176"/>
      <c r="ADQ59" s="178"/>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176"/>
      <c r="AGO59" s="176"/>
      <c r="AGP59" s="176"/>
      <c r="AGQ59" s="179"/>
      <c r="AGR59" s="176"/>
      <c r="AGS59" s="176"/>
      <c r="AGT59" s="176"/>
      <c r="AGU59" s="176"/>
      <c r="AGV59" s="176"/>
      <c r="AGW59" s="178"/>
      <c r="AGX59" s="176"/>
      <c r="AGY59" s="176"/>
      <c r="AGZ59" s="176"/>
      <c r="AHA59" s="176"/>
      <c r="AHB59" s="176"/>
      <c r="AHC59" s="179"/>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200"/>
      <c r="AUA59" s="204"/>
      <c r="AUB59" s="200"/>
      <c r="AUC59" s="200"/>
      <c r="AUD59" s="200"/>
      <c r="AUE59" s="200"/>
      <c r="AUF59" s="200"/>
      <c r="AUG59" s="203"/>
      <c r="AUH59" s="200"/>
      <c r="AUI59" s="200"/>
      <c r="AUJ59" s="200"/>
      <c r="AUK59" s="200"/>
      <c r="AUL59" s="200"/>
      <c r="AUM59" s="204"/>
      <c r="AUN59" s="200"/>
      <c r="AUO59" s="200"/>
      <c r="AUP59" s="200"/>
      <c r="AUQ59" s="200"/>
      <c r="AUR59" s="200"/>
      <c r="AUS59" s="203"/>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200"/>
      <c r="AVU59" s="200"/>
      <c r="AVV59" s="200"/>
      <c r="AVW59" s="202"/>
      <c r="AVX59" s="200"/>
      <c r="AVY59" s="200"/>
      <c r="AVZ59" s="200"/>
      <c r="AWA59" s="200"/>
      <c r="AWB59" s="200"/>
      <c r="AWC59" s="203"/>
      <c r="AWD59" s="200"/>
      <c r="AWE59" s="200"/>
      <c r="AWF59" s="200"/>
      <c r="AWG59" s="200"/>
      <c r="AWH59" s="200"/>
      <c r="AWI59" s="204"/>
      <c r="AWJ59" s="200"/>
      <c r="AWK59" s="200"/>
      <c r="AWL59" s="200"/>
      <c r="AWM59" s="200"/>
      <c r="AWN59" s="200"/>
      <c r="AWO59" s="203"/>
      <c r="AWP59" s="200"/>
      <c r="AWQ59" s="200"/>
      <c r="AWR59" s="200"/>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200"/>
      <c r="AYC59" s="200"/>
      <c r="AYD59" s="200"/>
      <c r="AYE59" s="202"/>
      <c r="AYF59" s="200"/>
      <c r="AYG59" s="200"/>
      <c r="AYH59" s="200"/>
      <c r="AYI59" s="200"/>
      <c r="AYJ59" s="200"/>
      <c r="AYK59" s="203"/>
      <c r="AYL59" s="200"/>
      <c r="AYM59" s="200"/>
      <c r="AYN59" s="200"/>
      <c r="AYO59" s="200"/>
      <c r="AYP59" s="200"/>
      <c r="AYQ59" s="204"/>
      <c r="AYR59" s="200"/>
      <c r="AYS59" s="200"/>
      <c r="AYT59" s="200"/>
      <c r="AYU59" s="200"/>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271"/>
      <c r="BSU59" s="272"/>
      <c r="BSV59" s="272"/>
      <c r="BSW59" s="272"/>
      <c r="BSX59" s="272"/>
      <c r="BSY59" s="272"/>
      <c r="BSZ59" s="272"/>
      <c r="BTA59" s="272"/>
      <c r="BTB59" s="272"/>
      <c r="BTC59" s="272"/>
      <c r="BTD59" s="272"/>
      <c r="BTE59" s="272"/>
      <c r="BTF59" s="272"/>
      <c r="BTG59" s="272"/>
      <c r="BTH59" s="272"/>
      <c r="BTI59" s="272"/>
      <c r="BTJ59" s="272"/>
      <c r="BTK59" s="272"/>
      <c r="BTL59" s="272"/>
      <c r="BTM59" s="272"/>
      <c r="BTN59" s="272"/>
      <c r="BTO59" s="272"/>
      <c r="BTP59" s="272"/>
      <c r="BTQ59" s="272"/>
      <c r="BTR59" s="272"/>
      <c r="BTS59" s="272"/>
      <c r="BTT59" s="272"/>
      <c r="BTU59" s="272"/>
      <c r="BTV59" s="272"/>
      <c r="BTW59" s="272"/>
      <c r="BTX59" s="272"/>
      <c r="BTY59" s="272"/>
      <c r="BTZ59" s="272"/>
      <c r="BUA59" s="272"/>
      <c r="BUB59" s="272"/>
    </row>
    <row r="60" spans="1:1900" ht="20.100000000000001" customHeight="1" x14ac:dyDescent="0.3">
      <c r="A60" s="78" t="s">
        <v>28</v>
      </c>
      <c r="B60" s="51"/>
      <c r="C60" s="233"/>
      <c r="D60" s="121" t="str">
        <f t="shared" si="0"/>
        <v>4h 10 min</v>
      </c>
      <c r="E60" s="30">
        <v>50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206"/>
      <c r="BBJ60" s="206"/>
      <c r="BBK60" s="211"/>
      <c r="BBL60" s="206"/>
      <c r="BBM60" s="206"/>
      <c r="BBN60" s="206"/>
      <c r="BBO60" s="206"/>
      <c r="BBP60" s="206"/>
      <c r="BBQ60" s="21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205"/>
      <c r="BHG60" s="206"/>
      <c r="BHH60" s="206"/>
      <c r="BHI60" s="206"/>
      <c r="BHJ60" s="206"/>
      <c r="BHK60" s="213"/>
      <c r="BHL60" s="206"/>
      <c r="BHM60" s="206"/>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205"/>
      <c r="BJO60" s="206"/>
      <c r="BJP60" s="206"/>
      <c r="BJQ60" s="206"/>
      <c r="BJR60" s="206"/>
      <c r="BJS60" s="213"/>
      <c r="BJT60" s="206"/>
      <c r="BJU60" s="206"/>
      <c r="BJV60" s="206"/>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205"/>
      <c r="BQM60" s="206"/>
      <c r="BQN60" s="206"/>
      <c r="BQO60" s="206"/>
      <c r="BQP60" s="206"/>
      <c r="BQQ60" s="213"/>
      <c r="BQR60" s="206"/>
      <c r="BQS60" s="206"/>
      <c r="BQT60" s="206"/>
      <c r="BQU60" s="206"/>
      <c r="BQV60" s="206"/>
      <c r="BQW60" s="21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271"/>
      <c r="BSU60" s="272"/>
      <c r="BSV60" s="272"/>
      <c r="BSW60" s="270"/>
      <c r="BSX60" s="270"/>
      <c r="BSY60" s="270"/>
      <c r="BSZ60" s="270"/>
      <c r="BTA60" s="270"/>
      <c r="BTB60" s="270"/>
      <c r="BTC60" s="270"/>
      <c r="BTD60" s="270"/>
      <c r="BTE60" s="270"/>
      <c r="BTF60" s="270"/>
      <c r="BTG60" s="270"/>
      <c r="BTH60" s="270"/>
      <c r="BTI60" s="272"/>
      <c r="BTJ60" s="272"/>
      <c r="BTK60" s="272"/>
      <c r="BTL60" s="272"/>
      <c r="BTM60" s="272"/>
      <c r="BTN60" s="272"/>
      <c r="BTO60" s="272"/>
      <c r="BTP60" s="272"/>
      <c r="BTQ60" s="272"/>
      <c r="BTR60" s="272"/>
      <c r="BTS60" s="272"/>
      <c r="BTT60" s="272"/>
      <c r="BTU60" s="272"/>
      <c r="BTV60" s="272"/>
      <c r="BTW60" s="272"/>
      <c r="BTX60" s="272"/>
      <c r="BTY60" s="272"/>
      <c r="BTZ60" s="272"/>
      <c r="BUA60" s="272"/>
      <c r="BUB60" s="272"/>
    </row>
    <row r="61" spans="1:1900" ht="20.100000000000001" customHeight="1" x14ac:dyDescent="0.25">
      <c r="A61" s="78" t="s">
        <v>26</v>
      </c>
      <c r="B61" s="51"/>
      <c r="C61" s="228"/>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271"/>
      <c r="BSU61" s="272"/>
      <c r="BSV61" s="272"/>
      <c r="BSW61" s="272"/>
      <c r="BSX61" s="272"/>
      <c r="BSY61" s="272"/>
      <c r="BSZ61" s="272"/>
      <c r="BTA61" s="272"/>
      <c r="BTB61" s="272"/>
      <c r="BTC61" s="272"/>
      <c r="BTD61" s="272"/>
      <c r="BTE61" s="272"/>
      <c r="BTF61" s="272"/>
      <c r="BTG61" s="272"/>
      <c r="BTH61" s="272"/>
      <c r="BTI61" s="272"/>
      <c r="BTJ61" s="272"/>
      <c r="BTK61" s="272"/>
      <c r="BTL61" s="272"/>
      <c r="BTM61" s="272"/>
      <c r="BTN61" s="272"/>
      <c r="BTO61" s="272"/>
      <c r="BTP61" s="272"/>
      <c r="BTQ61" s="272"/>
      <c r="BTR61" s="272"/>
      <c r="BTS61" s="272"/>
      <c r="BTT61" s="272"/>
      <c r="BTU61" s="272"/>
      <c r="BTV61" s="272"/>
      <c r="BTW61" s="272"/>
      <c r="BTX61" s="272"/>
      <c r="BTY61" s="272"/>
      <c r="BTZ61" s="272"/>
      <c r="BUA61" s="272"/>
      <c r="BUB61" s="272"/>
    </row>
    <row r="62" spans="1:1900"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271"/>
      <c r="BSU62" s="272"/>
      <c r="BSV62" s="272"/>
      <c r="BSW62" s="272"/>
      <c r="BSX62" s="272"/>
      <c r="BSY62" s="272"/>
      <c r="BSZ62" s="272"/>
      <c r="BTA62" s="272"/>
      <c r="BTB62" s="272"/>
      <c r="BTC62" s="272"/>
      <c r="BTD62" s="272"/>
      <c r="BTE62" s="272"/>
      <c r="BTF62" s="272"/>
      <c r="BTG62" s="272"/>
      <c r="BTH62" s="272"/>
      <c r="BTI62" s="272"/>
      <c r="BTJ62" s="272"/>
      <c r="BTK62" s="272"/>
      <c r="BTL62" s="272"/>
      <c r="BTM62" s="272"/>
      <c r="BTN62" s="272"/>
      <c r="BTO62" s="272"/>
      <c r="BTP62" s="272"/>
      <c r="BTQ62" s="272"/>
      <c r="BTR62" s="272"/>
      <c r="BTS62" s="272"/>
      <c r="BTT62" s="272"/>
      <c r="BTU62" s="272"/>
      <c r="BTV62" s="272"/>
      <c r="BTW62" s="272"/>
      <c r="BTX62" s="272"/>
      <c r="BTY62" s="272"/>
      <c r="BTZ62" s="272"/>
      <c r="BUA62" s="272"/>
      <c r="BUB62" s="272"/>
    </row>
    <row r="63" spans="1:1900" ht="20.100000000000001" customHeight="1" x14ac:dyDescent="0.25">
      <c r="A63" s="78" t="s">
        <v>26</v>
      </c>
      <c r="B63" s="51"/>
      <c r="C63" s="228"/>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271"/>
      <c r="BSU63" s="272"/>
      <c r="BSV63" s="272"/>
      <c r="BSW63" s="272"/>
      <c r="BSX63" s="272"/>
      <c r="BSY63" s="272"/>
      <c r="BSZ63" s="272"/>
      <c r="BTA63" s="272"/>
      <c r="BTB63" s="272"/>
      <c r="BTC63" s="272"/>
      <c r="BTD63" s="272"/>
      <c r="BTE63" s="272"/>
      <c r="BTF63" s="272"/>
      <c r="BTG63" s="272"/>
      <c r="BTH63" s="272"/>
      <c r="BTI63" s="272"/>
      <c r="BTJ63" s="272"/>
      <c r="BTK63" s="272"/>
      <c r="BTL63" s="272"/>
      <c r="BTM63" s="272"/>
      <c r="BTN63" s="272"/>
      <c r="BTO63" s="272"/>
      <c r="BTP63" s="272"/>
      <c r="BTQ63" s="272"/>
      <c r="BTR63" s="272"/>
      <c r="BTS63" s="272"/>
      <c r="BTT63" s="272"/>
      <c r="BTU63" s="272"/>
      <c r="BTV63" s="272"/>
      <c r="BTW63" s="272"/>
      <c r="BTX63" s="272"/>
      <c r="BTY63" s="272"/>
      <c r="BTZ63" s="272"/>
      <c r="BUA63" s="272"/>
      <c r="BUB63" s="272"/>
    </row>
    <row r="64" spans="1:1900" ht="20.100000000000001" customHeight="1" x14ac:dyDescent="0.3">
      <c r="A64" s="78" t="s">
        <v>28</v>
      </c>
      <c r="B64" s="51"/>
      <c r="C64" s="234"/>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271"/>
      <c r="BSU64" s="272"/>
      <c r="BSV64" s="272"/>
      <c r="BSW64" s="272"/>
      <c r="BSX64" s="272"/>
      <c r="BSY64" s="272"/>
      <c r="BSZ64" s="272"/>
      <c r="BTA64" s="272"/>
      <c r="BTB64" s="272"/>
      <c r="BTC64" s="272"/>
      <c r="BTD64" s="272"/>
      <c r="BTE64" s="272"/>
      <c r="BTF64" s="272"/>
      <c r="BTG64" s="272"/>
      <c r="BTH64" s="272"/>
      <c r="BTI64" s="272"/>
      <c r="BTJ64" s="272"/>
      <c r="BTK64" s="272"/>
      <c r="BTL64" s="272"/>
      <c r="BTM64" s="272"/>
      <c r="BTN64" s="272"/>
      <c r="BTO64" s="272"/>
      <c r="BTP64" s="272"/>
      <c r="BTQ64" s="272"/>
      <c r="BTR64" s="272"/>
      <c r="BTS64" s="272"/>
      <c r="BTT64" s="272"/>
      <c r="BTU64" s="272"/>
      <c r="BTV64" s="272"/>
      <c r="BTW64" s="272"/>
      <c r="BTX64" s="272"/>
      <c r="BTY64" s="272"/>
      <c r="BTZ64" s="272"/>
      <c r="BUA64" s="272"/>
      <c r="BUB64" s="272"/>
    </row>
    <row r="65" spans="1:1900" ht="20.100000000000001" customHeight="1" x14ac:dyDescent="0.25">
      <c r="A65" s="78" t="s">
        <v>26</v>
      </c>
      <c r="B65" s="51"/>
      <c r="C65" s="228"/>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271"/>
      <c r="BSU65" s="272"/>
      <c r="BSV65" s="272"/>
      <c r="BSW65" s="272"/>
      <c r="BSX65" s="272"/>
      <c r="BSY65" s="272"/>
      <c r="BSZ65" s="272"/>
      <c r="BTA65" s="272"/>
      <c r="BTB65" s="272"/>
      <c r="BTC65" s="272"/>
      <c r="BTD65" s="272"/>
      <c r="BTE65" s="272"/>
      <c r="BTF65" s="272"/>
      <c r="BTG65" s="272"/>
      <c r="BTH65" s="272"/>
      <c r="BTI65" s="272"/>
      <c r="BTJ65" s="272"/>
      <c r="BTK65" s="272"/>
      <c r="BTL65" s="272"/>
      <c r="BTM65" s="272"/>
      <c r="BTN65" s="272"/>
      <c r="BTO65" s="272"/>
      <c r="BTP65" s="272"/>
      <c r="BTQ65" s="272"/>
      <c r="BTR65" s="272"/>
      <c r="BTS65" s="272"/>
      <c r="BTT65" s="272"/>
      <c r="BTU65" s="272"/>
      <c r="BTV65" s="272"/>
      <c r="BTW65" s="272"/>
      <c r="BTX65" s="272"/>
      <c r="BTY65" s="272"/>
      <c r="BTZ65" s="272"/>
      <c r="BUA65" s="272"/>
      <c r="BUB65" s="272"/>
    </row>
    <row r="66" spans="1:1900" ht="20.100000000000001" customHeight="1" x14ac:dyDescent="0.3">
      <c r="A66" s="78" t="s">
        <v>28</v>
      </c>
      <c r="B66" s="51"/>
      <c r="C66" s="234"/>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271"/>
      <c r="BSU66" s="272"/>
      <c r="BSV66" s="272"/>
      <c r="BSW66" s="272"/>
      <c r="BSX66" s="272"/>
      <c r="BSY66" s="272"/>
      <c r="BSZ66" s="272"/>
      <c r="BTA66" s="272"/>
      <c r="BTB66" s="272"/>
      <c r="BTC66" s="272"/>
      <c r="BTD66" s="272"/>
      <c r="BTE66" s="272"/>
      <c r="BTF66" s="272"/>
      <c r="BTG66" s="272"/>
      <c r="BTH66" s="272"/>
      <c r="BTI66" s="272"/>
      <c r="BTJ66" s="272"/>
      <c r="BTK66" s="272"/>
      <c r="BTL66" s="272"/>
      <c r="BTM66" s="272"/>
      <c r="BTN66" s="272"/>
      <c r="BTO66" s="272"/>
      <c r="BTP66" s="272"/>
      <c r="BTQ66" s="272"/>
      <c r="BTR66" s="272"/>
      <c r="BTS66" s="272"/>
      <c r="BTT66" s="272"/>
      <c r="BTU66" s="272"/>
      <c r="BTV66" s="272"/>
      <c r="BTW66" s="272"/>
      <c r="BTX66" s="272"/>
      <c r="BTY66" s="272"/>
      <c r="BTZ66" s="272"/>
      <c r="BUA66" s="272"/>
      <c r="BUB66" s="272"/>
    </row>
    <row r="67" spans="1:1900" ht="20.100000000000001" customHeight="1" x14ac:dyDescent="0.25">
      <c r="A67" s="78" t="s">
        <v>26</v>
      </c>
      <c r="B67" s="51"/>
      <c r="C67" s="228"/>
      <c r="D67" s="119" t="str">
        <f t="shared" si="0"/>
        <v/>
      </c>
      <c r="E67" s="30">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271"/>
      <c r="BSU67" s="272"/>
      <c r="BSV67" s="272"/>
      <c r="BSW67" s="272"/>
      <c r="BSX67" s="272"/>
      <c r="BSY67" s="272"/>
      <c r="BSZ67" s="272"/>
      <c r="BTA67" s="272"/>
      <c r="BTB67" s="272"/>
      <c r="BTC67" s="272"/>
      <c r="BTD67" s="272"/>
      <c r="BTE67" s="272"/>
      <c r="BTF67" s="272"/>
      <c r="BTG67" s="272"/>
      <c r="BTH67" s="272"/>
      <c r="BTI67" s="272"/>
      <c r="BTJ67" s="272"/>
      <c r="BTK67" s="272"/>
      <c r="BTL67" s="272"/>
      <c r="BTM67" s="272"/>
      <c r="BTN67" s="272"/>
      <c r="BTO67" s="272"/>
      <c r="BTP67" s="272"/>
      <c r="BTQ67" s="272"/>
      <c r="BTR67" s="272"/>
      <c r="BTS67" s="272"/>
      <c r="BTT67" s="272"/>
      <c r="BTU67" s="272"/>
      <c r="BTV67" s="272"/>
      <c r="BTW67" s="272"/>
      <c r="BTX67" s="272"/>
      <c r="BTY67" s="272"/>
      <c r="BTZ67" s="272"/>
      <c r="BUA67" s="272"/>
      <c r="BUB67" s="272"/>
    </row>
    <row r="68" spans="1:1900" ht="20.100000000000001" customHeight="1" x14ac:dyDescent="0.25">
      <c r="A68" s="78" t="s">
        <v>28</v>
      </c>
      <c r="B68" s="51"/>
      <c r="C68" s="233"/>
      <c r="D68" s="120" t="str">
        <f t="shared" si="0"/>
        <v/>
      </c>
      <c r="E68" s="30">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271"/>
      <c r="BSU68" s="272"/>
      <c r="BSV68" s="272"/>
      <c r="BSW68" s="272"/>
      <c r="BSX68" s="272"/>
      <c r="BSY68" s="272"/>
      <c r="BSZ68" s="272"/>
      <c r="BTA68" s="272"/>
      <c r="BTB68" s="272"/>
      <c r="BTC68" s="272"/>
      <c r="BTD68" s="272"/>
      <c r="BTE68" s="272"/>
      <c r="BTF68" s="272"/>
      <c r="BTG68" s="272"/>
      <c r="BTH68" s="272"/>
      <c r="BTI68" s="272"/>
      <c r="BTJ68" s="272"/>
      <c r="BTK68" s="272"/>
      <c r="BTL68" s="272"/>
      <c r="BTM68" s="272"/>
      <c r="BTN68" s="272"/>
      <c r="BTO68" s="272"/>
      <c r="BTP68" s="272"/>
      <c r="BTQ68" s="272"/>
      <c r="BTR68" s="272"/>
      <c r="BTS68" s="272"/>
      <c r="BTT68" s="272"/>
      <c r="BTU68" s="272"/>
      <c r="BTV68" s="272"/>
      <c r="BTW68" s="272"/>
      <c r="BTX68" s="272"/>
      <c r="BTY68" s="272"/>
      <c r="BTZ68" s="272"/>
      <c r="BUA68" s="272"/>
      <c r="BUB68" s="272"/>
    </row>
    <row r="69" spans="1:1900" ht="20.100000000000001" customHeight="1" x14ac:dyDescent="0.25">
      <c r="A69" s="78" t="s">
        <v>26</v>
      </c>
      <c r="B69" s="51"/>
      <c r="C69" s="228"/>
      <c r="D69" s="119" t="str">
        <f t="shared" si="0"/>
        <v/>
      </c>
      <c r="E69" s="30">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271"/>
      <c r="BSU69" s="272"/>
      <c r="BSV69" s="272"/>
      <c r="BSW69" s="272"/>
      <c r="BSX69" s="272"/>
      <c r="BSY69" s="272"/>
      <c r="BSZ69" s="272"/>
      <c r="BTA69" s="272"/>
      <c r="BTB69" s="272"/>
      <c r="BTC69" s="272"/>
      <c r="BTD69" s="272"/>
      <c r="BTE69" s="272"/>
      <c r="BTF69" s="272"/>
      <c r="BTG69" s="272"/>
      <c r="BTH69" s="272"/>
      <c r="BTI69" s="272"/>
      <c r="BTJ69" s="272"/>
      <c r="BTK69" s="272"/>
      <c r="BTL69" s="272"/>
      <c r="BTM69" s="272"/>
      <c r="BTN69" s="272"/>
      <c r="BTO69" s="272"/>
      <c r="BTP69" s="272"/>
      <c r="BTQ69" s="272"/>
      <c r="BTR69" s="272"/>
      <c r="BTS69" s="272"/>
      <c r="BTT69" s="272"/>
      <c r="BTU69" s="272"/>
      <c r="BTV69" s="272"/>
      <c r="BTW69" s="272"/>
      <c r="BTX69" s="272"/>
      <c r="BTY69" s="272"/>
      <c r="BTZ69" s="272"/>
      <c r="BUA69" s="272"/>
      <c r="BUB69" s="272"/>
    </row>
    <row r="70" spans="1:1900" ht="20.100000000000001" customHeight="1" x14ac:dyDescent="0.3">
      <c r="A70" s="78" t="s">
        <v>28</v>
      </c>
      <c r="B70" s="51"/>
      <c r="C70" s="234"/>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271"/>
      <c r="BSU70" s="272"/>
      <c r="BSV70" s="272"/>
      <c r="BSW70" s="272"/>
      <c r="BSX70" s="272"/>
      <c r="BSY70" s="272"/>
      <c r="BSZ70" s="272"/>
      <c r="BTA70" s="272"/>
      <c r="BTB70" s="272"/>
      <c r="BTC70" s="272"/>
      <c r="BTD70" s="272"/>
      <c r="BTE70" s="272"/>
      <c r="BTF70" s="272"/>
      <c r="BTG70" s="272"/>
      <c r="BTH70" s="272"/>
      <c r="BTI70" s="272"/>
      <c r="BTJ70" s="272"/>
      <c r="BTK70" s="272"/>
      <c r="BTL70" s="272"/>
      <c r="BTM70" s="272"/>
      <c r="BTN70" s="272"/>
      <c r="BTO70" s="272"/>
      <c r="BTP70" s="272"/>
      <c r="BTQ70" s="272"/>
      <c r="BTR70" s="272"/>
      <c r="BTS70" s="272"/>
      <c r="BTT70" s="272"/>
      <c r="BTU70" s="272"/>
      <c r="BTV70" s="272"/>
      <c r="BTW70" s="272"/>
      <c r="BTX70" s="272"/>
      <c r="BTY70" s="272"/>
      <c r="BTZ70" s="272"/>
      <c r="BUA70" s="272"/>
      <c r="BUB70" s="272"/>
    </row>
    <row r="71" spans="1:1900" ht="20.100000000000001" customHeight="1" x14ac:dyDescent="0.25">
      <c r="A71" s="78" t="s">
        <v>26</v>
      </c>
      <c r="B71" s="51"/>
      <c r="C71" s="228"/>
      <c r="D71" s="119" t="str">
        <f t="shared" si="0"/>
        <v/>
      </c>
      <c r="E71" s="30">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271"/>
      <c r="BSU71" s="272"/>
      <c r="BSV71" s="272"/>
      <c r="BSW71" s="272"/>
      <c r="BSX71" s="272"/>
      <c r="BSY71" s="272"/>
      <c r="BSZ71" s="272"/>
      <c r="BTA71" s="272"/>
      <c r="BTB71" s="272"/>
      <c r="BTC71" s="272"/>
      <c r="BTD71" s="272"/>
      <c r="BTE71" s="272"/>
      <c r="BTF71" s="272"/>
      <c r="BTG71" s="272"/>
      <c r="BTH71" s="272"/>
      <c r="BTI71" s="272"/>
      <c r="BTJ71" s="272"/>
      <c r="BTK71" s="272"/>
      <c r="BTL71" s="272"/>
      <c r="BTM71" s="272"/>
      <c r="BTN71" s="272"/>
      <c r="BTO71" s="272"/>
      <c r="BTP71" s="272"/>
      <c r="BTQ71" s="272"/>
      <c r="BTR71" s="272"/>
      <c r="BTS71" s="272"/>
      <c r="BTT71" s="272"/>
      <c r="BTU71" s="272"/>
      <c r="BTV71" s="272"/>
      <c r="BTW71" s="272"/>
      <c r="BTX71" s="272"/>
      <c r="BTY71" s="272"/>
      <c r="BTZ71" s="272"/>
      <c r="BUA71" s="272"/>
      <c r="BUB71" s="272"/>
    </row>
    <row r="72" spans="1:1900" ht="20.100000000000001" customHeight="1" x14ac:dyDescent="0.25">
      <c r="A72" s="78" t="s">
        <v>28</v>
      </c>
      <c r="B72" s="51"/>
      <c r="C72" s="233"/>
      <c r="D72" s="120" t="str">
        <f t="shared" si="0"/>
        <v/>
      </c>
      <c r="E72" s="30">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271"/>
      <c r="BSU72" s="272"/>
      <c r="BSV72" s="272"/>
      <c r="BSW72" s="272"/>
      <c r="BSX72" s="272"/>
      <c r="BSY72" s="272"/>
      <c r="BSZ72" s="272"/>
      <c r="BTA72" s="272"/>
      <c r="BTB72" s="272"/>
      <c r="BTC72" s="272"/>
      <c r="BTD72" s="272"/>
      <c r="BTE72" s="272"/>
      <c r="BTF72" s="272"/>
      <c r="BTG72" s="272"/>
      <c r="BTH72" s="272"/>
      <c r="BTI72" s="272"/>
      <c r="BTJ72" s="272"/>
      <c r="BTK72" s="272"/>
      <c r="BTL72" s="272"/>
      <c r="BTM72" s="272"/>
      <c r="BTN72" s="272"/>
      <c r="BTO72" s="272"/>
      <c r="BTP72" s="272"/>
      <c r="BTQ72" s="272"/>
      <c r="BTR72" s="272"/>
      <c r="BTS72" s="272"/>
      <c r="BTT72" s="272"/>
      <c r="BTU72" s="272"/>
      <c r="BTV72" s="272"/>
      <c r="BTW72" s="272"/>
      <c r="BTX72" s="272"/>
      <c r="BTY72" s="272"/>
      <c r="BTZ72" s="272"/>
      <c r="BUA72" s="272"/>
      <c r="BUB72" s="272"/>
    </row>
    <row r="73" spans="1:1900" ht="20.100000000000001" customHeight="1" x14ac:dyDescent="0.25">
      <c r="A73" s="78" t="s">
        <v>26</v>
      </c>
      <c r="B73" s="51"/>
      <c r="C73" s="228"/>
      <c r="D73" s="119" t="str">
        <f t="shared" si="0"/>
        <v/>
      </c>
      <c r="E73" s="30">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271"/>
      <c r="BSU73" s="272"/>
      <c r="BSV73" s="272"/>
      <c r="BSW73" s="272"/>
      <c r="BSX73" s="272"/>
      <c r="BSY73" s="272"/>
      <c r="BSZ73" s="272"/>
      <c r="BTA73" s="272"/>
      <c r="BTB73" s="272"/>
      <c r="BTC73" s="272"/>
      <c r="BTD73" s="272"/>
      <c r="BTE73" s="272"/>
      <c r="BTF73" s="272"/>
      <c r="BTG73" s="272"/>
      <c r="BTH73" s="272"/>
      <c r="BTI73" s="272"/>
      <c r="BTJ73" s="272"/>
      <c r="BTK73" s="272"/>
      <c r="BTL73" s="272"/>
      <c r="BTM73" s="272"/>
      <c r="BTN73" s="272"/>
      <c r="BTO73" s="272"/>
      <c r="BTP73" s="272"/>
      <c r="BTQ73" s="272"/>
      <c r="BTR73" s="272"/>
      <c r="BTS73" s="272"/>
      <c r="BTT73" s="272"/>
      <c r="BTU73" s="272"/>
      <c r="BTV73" s="272"/>
      <c r="BTW73" s="272"/>
      <c r="BTX73" s="272"/>
      <c r="BTY73" s="272"/>
      <c r="BTZ73" s="272"/>
      <c r="BUA73" s="272"/>
      <c r="BUB73" s="272"/>
    </row>
    <row r="74" spans="1:1900" ht="20.100000000000001" customHeight="1" x14ac:dyDescent="0.3">
      <c r="A74" s="78" t="s">
        <v>28</v>
      </c>
      <c r="B74" s="51"/>
      <c r="C74" s="234"/>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271"/>
      <c r="BSU74" s="272"/>
      <c r="BSV74" s="272"/>
      <c r="BSW74" s="272"/>
      <c r="BSX74" s="272"/>
      <c r="BSY74" s="272"/>
      <c r="BSZ74" s="272"/>
      <c r="BTA74" s="272"/>
      <c r="BTB74" s="272"/>
      <c r="BTC74" s="272"/>
      <c r="BTD74" s="272"/>
      <c r="BTE74" s="272"/>
      <c r="BTF74" s="272"/>
      <c r="BTG74" s="272"/>
      <c r="BTH74" s="272"/>
      <c r="BTI74" s="272"/>
      <c r="BTJ74" s="272"/>
      <c r="BTK74" s="272"/>
      <c r="BTL74" s="272"/>
      <c r="BTM74" s="272"/>
      <c r="BTN74" s="272"/>
      <c r="BTO74" s="272"/>
      <c r="BTP74" s="272"/>
      <c r="BTQ74" s="272"/>
      <c r="BTR74" s="272"/>
      <c r="BTS74" s="272"/>
      <c r="BTT74" s="272"/>
      <c r="BTU74" s="272"/>
      <c r="BTV74" s="272"/>
      <c r="BTW74" s="272"/>
      <c r="BTX74" s="272"/>
      <c r="BTY74" s="272"/>
      <c r="BTZ74" s="272"/>
      <c r="BUA74" s="272"/>
      <c r="BUB74" s="272"/>
    </row>
    <row r="75" spans="1:1900" ht="20.100000000000001" customHeight="1" x14ac:dyDescent="0.25">
      <c r="A75" s="78" t="s">
        <v>26</v>
      </c>
      <c r="B75" s="51"/>
      <c r="C75" s="228"/>
      <c r="D75" s="119" t="str">
        <f t="shared" si="0"/>
        <v/>
      </c>
      <c r="E75" s="30">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271"/>
      <c r="BSU75" s="272"/>
      <c r="BSV75" s="272"/>
      <c r="BSW75" s="272"/>
      <c r="BSX75" s="272"/>
      <c r="BSY75" s="272"/>
      <c r="BSZ75" s="272"/>
      <c r="BTA75" s="272"/>
      <c r="BTB75" s="272"/>
      <c r="BTC75" s="272"/>
      <c r="BTD75" s="272"/>
      <c r="BTE75" s="272"/>
      <c r="BTF75" s="272"/>
      <c r="BTG75" s="272"/>
      <c r="BTH75" s="272"/>
      <c r="BTI75" s="272"/>
      <c r="BTJ75" s="272"/>
      <c r="BTK75" s="272"/>
      <c r="BTL75" s="272"/>
      <c r="BTM75" s="272"/>
      <c r="BTN75" s="272"/>
      <c r="BTO75" s="272"/>
      <c r="BTP75" s="272"/>
      <c r="BTQ75" s="272"/>
      <c r="BTR75" s="272"/>
      <c r="BTS75" s="272"/>
      <c r="BTT75" s="272"/>
      <c r="BTU75" s="272"/>
      <c r="BTV75" s="272"/>
      <c r="BTW75" s="272"/>
      <c r="BTX75" s="272"/>
      <c r="BTY75" s="272"/>
      <c r="BTZ75" s="272"/>
      <c r="BUA75" s="272"/>
      <c r="BUB75" s="272"/>
    </row>
    <row r="76" spans="1:1900" ht="20.100000000000001" customHeight="1" x14ac:dyDescent="0.3">
      <c r="A76" s="78" t="s">
        <v>28</v>
      </c>
      <c r="B76" s="51"/>
      <c r="C76" s="234"/>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271"/>
      <c r="BSU76" s="272"/>
      <c r="BSV76" s="272"/>
      <c r="BSW76" s="272"/>
      <c r="BSX76" s="272"/>
      <c r="BSY76" s="272"/>
      <c r="BSZ76" s="272"/>
      <c r="BTA76" s="272"/>
      <c r="BTB76" s="272"/>
      <c r="BTC76" s="272"/>
      <c r="BTD76" s="272"/>
      <c r="BTE76" s="272"/>
      <c r="BTF76" s="272"/>
      <c r="BTG76" s="272"/>
      <c r="BTH76" s="272"/>
      <c r="BTI76" s="272"/>
      <c r="BTJ76" s="272"/>
      <c r="BTK76" s="272"/>
      <c r="BTL76" s="272"/>
      <c r="BTM76" s="272"/>
      <c r="BTN76" s="272"/>
      <c r="BTO76" s="272"/>
      <c r="BTP76" s="272"/>
      <c r="BTQ76" s="272"/>
      <c r="BTR76" s="272"/>
      <c r="BTS76" s="272"/>
      <c r="BTT76" s="272"/>
      <c r="BTU76" s="272"/>
      <c r="BTV76" s="272"/>
      <c r="BTW76" s="272"/>
      <c r="BTX76" s="272"/>
      <c r="BTY76" s="272"/>
      <c r="BTZ76" s="272"/>
      <c r="BUA76" s="272"/>
      <c r="BUB76" s="272"/>
    </row>
    <row r="77" spans="1:1900" ht="20.100000000000001" customHeight="1" x14ac:dyDescent="0.25">
      <c r="A77" s="78" t="s">
        <v>26</v>
      </c>
      <c r="B77" s="51"/>
      <c r="C77" s="228"/>
      <c r="D77" s="119" t="str">
        <f t="shared" si="0"/>
        <v/>
      </c>
      <c r="E77" s="30">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271"/>
      <c r="BSU77" s="272"/>
      <c r="BSV77" s="272"/>
      <c r="BSW77" s="272"/>
      <c r="BSX77" s="272"/>
      <c r="BSY77" s="272"/>
      <c r="BSZ77" s="272"/>
      <c r="BTA77" s="272"/>
      <c r="BTB77" s="272"/>
      <c r="BTC77" s="272"/>
      <c r="BTD77" s="272"/>
      <c r="BTE77" s="272"/>
      <c r="BTF77" s="272"/>
      <c r="BTG77" s="272"/>
      <c r="BTH77" s="272"/>
      <c r="BTI77" s="272"/>
      <c r="BTJ77" s="272"/>
      <c r="BTK77" s="272"/>
      <c r="BTL77" s="272"/>
      <c r="BTM77" s="272"/>
      <c r="BTN77" s="272"/>
      <c r="BTO77" s="272"/>
      <c r="BTP77" s="272"/>
      <c r="BTQ77" s="272"/>
      <c r="BTR77" s="272"/>
      <c r="BTS77" s="272"/>
      <c r="BTT77" s="272"/>
      <c r="BTU77" s="272"/>
      <c r="BTV77" s="272"/>
      <c r="BTW77" s="272"/>
      <c r="BTX77" s="272"/>
      <c r="BTY77" s="272"/>
      <c r="BTZ77" s="272"/>
      <c r="BUA77" s="272"/>
      <c r="BUB77" s="272"/>
    </row>
    <row r="78" spans="1:1900" ht="20.100000000000001" customHeight="1" x14ac:dyDescent="0.25">
      <c r="A78" s="78" t="s">
        <v>28</v>
      </c>
      <c r="B78" s="51"/>
      <c r="C78" s="233"/>
      <c r="D78" s="120" t="str">
        <f t="shared" si="0"/>
        <v/>
      </c>
      <c r="E78" s="3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271"/>
      <c r="BSU78" s="272"/>
      <c r="BSV78" s="272"/>
      <c r="BSW78" s="272"/>
      <c r="BSX78" s="272"/>
      <c r="BSY78" s="272"/>
      <c r="BSZ78" s="272"/>
      <c r="BTA78" s="272"/>
      <c r="BTB78" s="272"/>
      <c r="BTC78" s="272"/>
      <c r="BTD78" s="272"/>
      <c r="BTE78" s="272"/>
      <c r="BTF78" s="272"/>
      <c r="BTG78" s="272"/>
      <c r="BTH78" s="272"/>
      <c r="BTI78" s="272"/>
      <c r="BTJ78" s="272"/>
      <c r="BTK78" s="272"/>
      <c r="BTL78" s="272"/>
      <c r="BTM78" s="272"/>
      <c r="BTN78" s="272"/>
      <c r="BTO78" s="272"/>
      <c r="BTP78" s="272"/>
      <c r="BTQ78" s="272"/>
      <c r="BTR78" s="272"/>
      <c r="BTS78" s="272"/>
      <c r="BTT78" s="272"/>
      <c r="BTU78" s="272"/>
      <c r="BTV78" s="272"/>
      <c r="BTW78" s="272"/>
      <c r="BTX78" s="272"/>
      <c r="BTY78" s="272"/>
      <c r="BTZ78" s="272"/>
      <c r="BUA78" s="272"/>
      <c r="BUB78" s="272"/>
    </row>
    <row r="79" spans="1:1900" ht="20.100000000000001" customHeight="1" x14ac:dyDescent="0.25">
      <c r="A79" s="78" t="s">
        <v>26</v>
      </c>
      <c r="B79" s="51"/>
      <c r="C79" s="228"/>
      <c r="D79" s="119" t="str">
        <f t="shared" si="0"/>
        <v/>
      </c>
      <c r="E79" s="30">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271"/>
      <c r="BSU79" s="272"/>
      <c r="BSV79" s="272"/>
      <c r="BSW79" s="272"/>
      <c r="BSX79" s="272"/>
      <c r="BSY79" s="272"/>
      <c r="BSZ79" s="272"/>
      <c r="BTA79" s="272"/>
      <c r="BTB79" s="272"/>
      <c r="BTC79" s="272"/>
      <c r="BTD79" s="272"/>
      <c r="BTE79" s="272"/>
      <c r="BTF79" s="272"/>
      <c r="BTG79" s="272"/>
      <c r="BTH79" s="272"/>
      <c r="BTI79" s="272"/>
      <c r="BTJ79" s="272"/>
      <c r="BTK79" s="272"/>
      <c r="BTL79" s="272"/>
      <c r="BTM79" s="272"/>
      <c r="BTN79" s="272"/>
      <c r="BTO79" s="272"/>
      <c r="BTP79" s="272"/>
      <c r="BTQ79" s="272"/>
      <c r="BTR79" s="272"/>
      <c r="BTS79" s="272"/>
      <c r="BTT79" s="272"/>
      <c r="BTU79" s="272"/>
      <c r="BTV79" s="272"/>
      <c r="BTW79" s="272"/>
      <c r="BTX79" s="272"/>
      <c r="BTY79" s="272"/>
      <c r="BTZ79" s="272"/>
      <c r="BUA79" s="272"/>
      <c r="BUB79" s="272"/>
    </row>
    <row r="80" spans="1:1900" ht="20.100000000000001" customHeight="1" x14ac:dyDescent="0.3">
      <c r="A80" s="78" t="s">
        <v>28</v>
      </c>
      <c r="B80" s="51"/>
      <c r="C80" s="234"/>
      <c r="D80" s="121" t="str">
        <f t="shared" ref="D80:D94" si="1">setValueToTime(E80)</f>
        <v/>
      </c>
      <c r="E80" s="30">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271"/>
      <c r="BSU80" s="272"/>
      <c r="BSV80" s="272"/>
      <c r="BSW80" s="272"/>
      <c r="BSX80" s="272"/>
      <c r="BSY80" s="272"/>
      <c r="BSZ80" s="272"/>
      <c r="BTA80" s="272"/>
      <c r="BTB80" s="272"/>
      <c r="BTC80" s="272"/>
      <c r="BTD80" s="272"/>
      <c r="BTE80" s="272"/>
      <c r="BTF80" s="272"/>
      <c r="BTG80" s="272"/>
      <c r="BTH80" s="272"/>
      <c r="BTI80" s="272"/>
      <c r="BTJ80" s="272"/>
      <c r="BTK80" s="272"/>
      <c r="BTL80" s="272"/>
      <c r="BTM80" s="272"/>
      <c r="BTN80" s="272"/>
      <c r="BTO80" s="272"/>
      <c r="BTP80" s="272"/>
      <c r="BTQ80" s="272"/>
      <c r="BTR80" s="272"/>
      <c r="BTS80" s="272"/>
      <c r="BTT80" s="272"/>
      <c r="BTU80" s="272"/>
      <c r="BTV80" s="272"/>
      <c r="BTW80" s="272"/>
      <c r="BTX80" s="272"/>
      <c r="BTY80" s="272"/>
      <c r="BTZ80" s="272"/>
      <c r="BUA80" s="272"/>
      <c r="BUB80" s="272"/>
    </row>
    <row r="81" spans="1:1900" ht="20.100000000000001" customHeight="1" x14ac:dyDescent="0.25">
      <c r="A81" s="78" t="s">
        <v>26</v>
      </c>
      <c r="B81" s="51"/>
      <c r="C81" s="228"/>
      <c r="D81" s="119" t="str">
        <f t="shared" si="1"/>
        <v/>
      </c>
      <c r="E81" s="30">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271"/>
      <c r="BSU81" s="272"/>
      <c r="BSV81" s="272"/>
      <c r="BSW81" s="272"/>
      <c r="BSX81" s="272"/>
      <c r="BSY81" s="272"/>
      <c r="BSZ81" s="272"/>
      <c r="BTA81" s="272"/>
      <c r="BTB81" s="272"/>
      <c r="BTC81" s="272"/>
      <c r="BTD81" s="272"/>
      <c r="BTE81" s="272"/>
      <c r="BTF81" s="272"/>
      <c r="BTG81" s="272"/>
      <c r="BTH81" s="272"/>
      <c r="BTI81" s="272"/>
      <c r="BTJ81" s="272"/>
      <c r="BTK81" s="272"/>
      <c r="BTL81" s="272"/>
      <c r="BTM81" s="272"/>
      <c r="BTN81" s="272"/>
      <c r="BTO81" s="272"/>
      <c r="BTP81" s="272"/>
      <c r="BTQ81" s="272"/>
      <c r="BTR81" s="272"/>
      <c r="BTS81" s="272"/>
      <c r="BTT81" s="272"/>
      <c r="BTU81" s="272"/>
      <c r="BTV81" s="272"/>
      <c r="BTW81" s="272"/>
      <c r="BTX81" s="272"/>
      <c r="BTY81" s="272"/>
      <c r="BTZ81" s="272"/>
      <c r="BUA81" s="272"/>
      <c r="BUB81" s="272"/>
    </row>
    <row r="82" spans="1:1900" ht="20.100000000000001" customHeight="1" x14ac:dyDescent="0.3">
      <c r="A82" s="78" t="s">
        <v>28</v>
      </c>
      <c r="B82" s="51"/>
      <c r="C82" s="234"/>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271"/>
      <c r="BSU82" s="272"/>
      <c r="BSV82" s="272"/>
      <c r="BSW82" s="272"/>
      <c r="BSX82" s="272"/>
      <c r="BSY82" s="272"/>
      <c r="BSZ82" s="272"/>
      <c r="BTA82" s="272"/>
      <c r="BTB82" s="272"/>
      <c r="BTC82" s="272"/>
      <c r="BTD82" s="272"/>
      <c r="BTE82" s="272"/>
      <c r="BTF82" s="272"/>
      <c r="BTG82" s="272"/>
      <c r="BTH82" s="272"/>
      <c r="BTI82" s="272"/>
      <c r="BTJ82" s="272"/>
      <c r="BTK82" s="272"/>
      <c r="BTL82" s="272"/>
      <c r="BTM82" s="272"/>
      <c r="BTN82" s="272"/>
      <c r="BTO82" s="272"/>
      <c r="BTP82" s="272"/>
      <c r="BTQ82" s="272"/>
      <c r="BTR82" s="272"/>
      <c r="BTS82" s="272"/>
      <c r="BTT82" s="272"/>
      <c r="BTU82" s="272"/>
      <c r="BTV82" s="272"/>
      <c r="BTW82" s="272"/>
      <c r="BTX82" s="272"/>
      <c r="BTY82" s="272"/>
      <c r="BTZ82" s="272"/>
      <c r="BUA82" s="272"/>
      <c r="BUB82" s="272"/>
    </row>
    <row r="83" spans="1:1900" ht="20.100000000000001" customHeight="1" x14ac:dyDescent="0.25">
      <c r="A83" s="78" t="s">
        <v>26</v>
      </c>
      <c r="B83" s="51"/>
      <c r="C83" s="228"/>
      <c r="D83" s="119" t="str">
        <f t="shared" si="1"/>
        <v/>
      </c>
      <c r="E83" s="30">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271"/>
      <c r="BSU83" s="272"/>
      <c r="BSV83" s="272"/>
      <c r="BSW83" s="272"/>
      <c r="BSX83" s="272"/>
      <c r="BSY83" s="272"/>
      <c r="BSZ83" s="272"/>
      <c r="BTA83" s="272"/>
      <c r="BTB83" s="272"/>
      <c r="BTC83" s="272"/>
      <c r="BTD83" s="272"/>
      <c r="BTE83" s="272"/>
      <c r="BTF83" s="272"/>
      <c r="BTG83" s="272"/>
      <c r="BTH83" s="272"/>
      <c r="BTI83" s="272"/>
      <c r="BTJ83" s="272"/>
      <c r="BTK83" s="272"/>
      <c r="BTL83" s="272"/>
      <c r="BTM83" s="272"/>
      <c r="BTN83" s="272"/>
      <c r="BTO83" s="272"/>
      <c r="BTP83" s="272"/>
      <c r="BTQ83" s="272"/>
      <c r="BTR83" s="272"/>
      <c r="BTS83" s="272"/>
      <c r="BTT83" s="272"/>
      <c r="BTU83" s="272"/>
      <c r="BTV83" s="272"/>
      <c r="BTW83" s="272"/>
      <c r="BTX83" s="272"/>
      <c r="BTY83" s="272"/>
      <c r="BTZ83" s="272"/>
      <c r="BUA83" s="272"/>
      <c r="BUB83" s="272"/>
    </row>
    <row r="84" spans="1:1900" ht="20.100000000000001" customHeight="1" x14ac:dyDescent="0.25">
      <c r="A84" s="78" t="s">
        <v>28</v>
      </c>
      <c r="B84" s="51"/>
      <c r="C84" s="233"/>
      <c r="D84" s="120" t="str">
        <f t="shared" si="1"/>
        <v/>
      </c>
      <c r="E84" s="30">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271"/>
      <c r="BSU84" s="272"/>
      <c r="BSV84" s="272"/>
      <c r="BSW84" s="272"/>
      <c r="BSX84" s="272"/>
      <c r="BSY84" s="272"/>
      <c r="BSZ84" s="272"/>
      <c r="BTA84" s="272"/>
      <c r="BTB84" s="272"/>
      <c r="BTC84" s="272"/>
      <c r="BTD84" s="272"/>
      <c r="BTE84" s="272"/>
      <c r="BTF84" s="272"/>
      <c r="BTG84" s="272"/>
      <c r="BTH84" s="272"/>
      <c r="BTI84" s="272"/>
      <c r="BTJ84" s="272"/>
      <c r="BTK84" s="272"/>
      <c r="BTL84" s="272"/>
      <c r="BTM84" s="272"/>
      <c r="BTN84" s="272"/>
      <c r="BTO84" s="272"/>
      <c r="BTP84" s="272"/>
      <c r="BTQ84" s="272"/>
      <c r="BTR84" s="272"/>
      <c r="BTS84" s="272"/>
      <c r="BTT84" s="272"/>
      <c r="BTU84" s="272"/>
      <c r="BTV84" s="272"/>
      <c r="BTW84" s="272"/>
      <c r="BTX84" s="272"/>
      <c r="BTY84" s="272"/>
      <c r="BTZ84" s="272"/>
      <c r="BUA84" s="272"/>
      <c r="BUB84" s="272"/>
    </row>
    <row r="85" spans="1:1900" ht="20.100000000000001" customHeight="1" x14ac:dyDescent="0.25">
      <c r="A85" s="78" t="s">
        <v>26</v>
      </c>
      <c r="B85" s="51"/>
      <c r="C85" s="228"/>
      <c r="D85" s="119" t="str">
        <f t="shared" si="1"/>
        <v/>
      </c>
      <c r="E85" s="30">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271"/>
      <c r="BSU85" s="272"/>
      <c r="BSV85" s="272"/>
      <c r="BSW85" s="272"/>
      <c r="BSX85" s="272"/>
      <c r="BSY85" s="272"/>
      <c r="BSZ85" s="272"/>
      <c r="BTA85" s="272"/>
      <c r="BTB85" s="272"/>
      <c r="BTC85" s="272"/>
      <c r="BTD85" s="272"/>
      <c r="BTE85" s="272"/>
      <c r="BTF85" s="272"/>
      <c r="BTG85" s="272"/>
      <c r="BTH85" s="272"/>
      <c r="BTI85" s="272"/>
      <c r="BTJ85" s="272"/>
      <c r="BTK85" s="272"/>
      <c r="BTL85" s="272"/>
      <c r="BTM85" s="272"/>
      <c r="BTN85" s="272"/>
      <c r="BTO85" s="272"/>
      <c r="BTP85" s="272"/>
      <c r="BTQ85" s="272"/>
      <c r="BTR85" s="272"/>
      <c r="BTS85" s="272"/>
      <c r="BTT85" s="272"/>
      <c r="BTU85" s="272"/>
      <c r="BTV85" s="272"/>
      <c r="BTW85" s="272"/>
      <c r="BTX85" s="272"/>
      <c r="BTY85" s="272"/>
      <c r="BTZ85" s="272"/>
      <c r="BUA85" s="272"/>
      <c r="BUB85" s="272"/>
    </row>
    <row r="86" spans="1:1900" ht="20.100000000000001" customHeight="1" x14ac:dyDescent="0.3">
      <c r="A86" s="78" t="s">
        <v>28</v>
      </c>
      <c r="B86" s="51"/>
      <c r="C86" s="234"/>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271"/>
      <c r="BSU86" s="272"/>
      <c r="BSV86" s="272"/>
      <c r="BSW86" s="272"/>
      <c r="BSX86" s="272"/>
      <c r="BSY86" s="272"/>
      <c r="BSZ86" s="272"/>
      <c r="BTA86" s="272"/>
      <c r="BTB86" s="272"/>
      <c r="BTC86" s="272"/>
      <c r="BTD86" s="272"/>
      <c r="BTE86" s="272"/>
      <c r="BTF86" s="272"/>
      <c r="BTG86" s="272"/>
      <c r="BTH86" s="272"/>
      <c r="BTI86" s="272"/>
      <c r="BTJ86" s="272"/>
      <c r="BTK86" s="272"/>
      <c r="BTL86" s="272"/>
      <c r="BTM86" s="272"/>
      <c r="BTN86" s="272"/>
      <c r="BTO86" s="272"/>
      <c r="BTP86" s="272"/>
      <c r="BTQ86" s="272"/>
      <c r="BTR86" s="272"/>
      <c r="BTS86" s="272"/>
      <c r="BTT86" s="272"/>
      <c r="BTU86" s="272"/>
      <c r="BTV86" s="272"/>
      <c r="BTW86" s="272"/>
      <c r="BTX86" s="272"/>
      <c r="BTY86" s="272"/>
      <c r="BTZ86" s="272"/>
      <c r="BUA86" s="272"/>
      <c r="BUB86" s="272"/>
    </row>
    <row r="87" spans="1:1900" ht="20.100000000000001" customHeight="1" x14ac:dyDescent="0.25">
      <c r="A87" s="78" t="s">
        <v>26</v>
      </c>
      <c r="B87" s="51"/>
      <c r="C87" s="228"/>
      <c r="D87" s="119" t="str">
        <f t="shared" si="1"/>
        <v/>
      </c>
      <c r="E87" s="30">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271"/>
      <c r="BSU87" s="272"/>
      <c r="BSV87" s="272"/>
      <c r="BSW87" s="272"/>
      <c r="BSX87" s="272"/>
      <c r="BSY87" s="272"/>
      <c r="BSZ87" s="272"/>
      <c r="BTA87" s="272"/>
      <c r="BTB87" s="272"/>
      <c r="BTC87" s="272"/>
      <c r="BTD87" s="272"/>
      <c r="BTE87" s="272"/>
      <c r="BTF87" s="272"/>
      <c r="BTG87" s="272"/>
      <c r="BTH87" s="272"/>
      <c r="BTI87" s="272"/>
      <c r="BTJ87" s="272"/>
      <c r="BTK87" s="272"/>
      <c r="BTL87" s="272"/>
      <c r="BTM87" s="272"/>
      <c r="BTN87" s="272"/>
      <c r="BTO87" s="272"/>
      <c r="BTP87" s="272"/>
      <c r="BTQ87" s="272"/>
      <c r="BTR87" s="272"/>
      <c r="BTS87" s="272"/>
      <c r="BTT87" s="272"/>
      <c r="BTU87" s="272"/>
      <c r="BTV87" s="272"/>
      <c r="BTW87" s="272"/>
      <c r="BTX87" s="272"/>
      <c r="BTY87" s="272"/>
      <c r="BTZ87" s="272"/>
      <c r="BUA87" s="272"/>
      <c r="BUB87" s="272"/>
    </row>
    <row r="88" spans="1:1900" ht="20.100000000000001" customHeight="1" x14ac:dyDescent="0.25">
      <c r="A88" s="78" t="s">
        <v>28</v>
      </c>
      <c r="B88" s="51"/>
      <c r="C88" s="233"/>
      <c r="D88" s="120" t="str">
        <f t="shared" si="1"/>
        <v/>
      </c>
      <c r="E88" s="30">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271"/>
      <c r="BSU88" s="272"/>
      <c r="BSV88" s="272"/>
      <c r="BSW88" s="272"/>
      <c r="BSX88" s="272"/>
      <c r="BSY88" s="272"/>
      <c r="BSZ88" s="272"/>
      <c r="BTA88" s="272"/>
      <c r="BTB88" s="272"/>
      <c r="BTC88" s="272"/>
      <c r="BTD88" s="272"/>
      <c r="BTE88" s="272"/>
      <c r="BTF88" s="272"/>
      <c r="BTG88" s="272"/>
      <c r="BTH88" s="272"/>
      <c r="BTI88" s="272"/>
      <c r="BTJ88" s="272"/>
      <c r="BTK88" s="272"/>
      <c r="BTL88" s="272"/>
      <c r="BTM88" s="272"/>
      <c r="BTN88" s="272"/>
      <c r="BTO88" s="272"/>
      <c r="BTP88" s="272"/>
      <c r="BTQ88" s="272"/>
      <c r="BTR88" s="272"/>
      <c r="BTS88" s="272"/>
      <c r="BTT88" s="272"/>
      <c r="BTU88" s="272"/>
      <c r="BTV88" s="272"/>
      <c r="BTW88" s="272"/>
      <c r="BTX88" s="272"/>
      <c r="BTY88" s="272"/>
      <c r="BTZ88" s="272"/>
      <c r="BUA88" s="272"/>
      <c r="BUB88" s="272"/>
    </row>
    <row r="89" spans="1:1900" ht="20.100000000000001" customHeight="1" x14ac:dyDescent="0.25">
      <c r="A89" s="78" t="s">
        <v>26</v>
      </c>
      <c r="B89" s="51"/>
      <c r="C89" s="228"/>
      <c r="D89" s="119" t="str">
        <f t="shared" si="1"/>
        <v/>
      </c>
      <c r="E89" s="30">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271"/>
      <c r="BSU89" s="272"/>
      <c r="BSV89" s="272"/>
      <c r="BSW89" s="272"/>
      <c r="BSX89" s="272"/>
      <c r="BSY89" s="272"/>
      <c r="BSZ89" s="272"/>
      <c r="BTA89" s="272"/>
      <c r="BTB89" s="272"/>
      <c r="BTC89" s="272"/>
      <c r="BTD89" s="272"/>
      <c r="BTE89" s="272"/>
      <c r="BTF89" s="272"/>
      <c r="BTG89" s="272"/>
      <c r="BTH89" s="272"/>
      <c r="BTI89" s="272"/>
      <c r="BTJ89" s="272"/>
      <c r="BTK89" s="272"/>
      <c r="BTL89" s="272"/>
      <c r="BTM89" s="272"/>
      <c r="BTN89" s="272"/>
      <c r="BTO89" s="272"/>
      <c r="BTP89" s="272"/>
      <c r="BTQ89" s="272"/>
      <c r="BTR89" s="272"/>
      <c r="BTS89" s="272"/>
      <c r="BTT89" s="272"/>
      <c r="BTU89" s="272"/>
      <c r="BTV89" s="272"/>
      <c r="BTW89" s="272"/>
      <c r="BTX89" s="272"/>
      <c r="BTY89" s="272"/>
      <c r="BTZ89" s="272"/>
      <c r="BUA89" s="272"/>
      <c r="BUB89" s="272"/>
    </row>
    <row r="90" spans="1:1900" ht="20.100000000000001" customHeight="1" x14ac:dyDescent="0.3">
      <c r="A90" s="78" t="s">
        <v>28</v>
      </c>
      <c r="B90" s="51"/>
      <c r="C90" s="234"/>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271"/>
      <c r="BSU90" s="272"/>
      <c r="BSV90" s="272"/>
      <c r="BSW90" s="272"/>
      <c r="BSX90" s="272"/>
      <c r="BSY90" s="272"/>
      <c r="BSZ90" s="272"/>
      <c r="BTA90" s="272"/>
      <c r="BTB90" s="272"/>
      <c r="BTC90" s="272"/>
      <c r="BTD90" s="272"/>
      <c r="BTE90" s="272"/>
      <c r="BTF90" s="272"/>
      <c r="BTG90" s="272"/>
      <c r="BTH90" s="272"/>
      <c r="BTI90" s="272"/>
      <c r="BTJ90" s="272"/>
      <c r="BTK90" s="272"/>
      <c r="BTL90" s="272"/>
      <c r="BTM90" s="272"/>
      <c r="BTN90" s="272"/>
      <c r="BTO90" s="272"/>
      <c r="BTP90" s="272"/>
      <c r="BTQ90" s="272"/>
      <c r="BTR90" s="272"/>
      <c r="BTS90" s="272"/>
      <c r="BTT90" s="272"/>
      <c r="BTU90" s="272"/>
      <c r="BTV90" s="272"/>
      <c r="BTW90" s="272"/>
      <c r="BTX90" s="272"/>
      <c r="BTY90" s="272"/>
      <c r="BTZ90" s="272"/>
      <c r="BUA90" s="272"/>
      <c r="BUB90" s="272"/>
    </row>
    <row r="91" spans="1:1900" ht="20.100000000000001" customHeight="1" x14ac:dyDescent="0.25">
      <c r="A91" s="78" t="s">
        <v>26</v>
      </c>
      <c r="B91" s="51"/>
      <c r="C91" s="228"/>
      <c r="D91" s="119" t="str">
        <f t="shared" si="1"/>
        <v/>
      </c>
      <c r="E91" s="30">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271"/>
      <c r="BSU91" s="272"/>
      <c r="BSV91" s="272"/>
      <c r="BSW91" s="272"/>
      <c r="BSX91" s="272"/>
      <c r="BSY91" s="272"/>
      <c r="BSZ91" s="272"/>
      <c r="BTA91" s="272"/>
      <c r="BTB91" s="272"/>
      <c r="BTC91" s="272"/>
      <c r="BTD91" s="272"/>
      <c r="BTE91" s="272"/>
      <c r="BTF91" s="272"/>
      <c r="BTG91" s="272"/>
      <c r="BTH91" s="272"/>
      <c r="BTI91" s="272"/>
      <c r="BTJ91" s="272"/>
      <c r="BTK91" s="272"/>
      <c r="BTL91" s="272"/>
      <c r="BTM91" s="272"/>
      <c r="BTN91" s="272"/>
      <c r="BTO91" s="272"/>
      <c r="BTP91" s="272"/>
      <c r="BTQ91" s="272"/>
      <c r="BTR91" s="272"/>
      <c r="BTS91" s="272"/>
      <c r="BTT91" s="272"/>
      <c r="BTU91" s="272"/>
      <c r="BTV91" s="272"/>
      <c r="BTW91" s="272"/>
      <c r="BTX91" s="272"/>
      <c r="BTY91" s="272"/>
      <c r="BTZ91" s="272"/>
      <c r="BUA91" s="272"/>
      <c r="BUB91" s="272"/>
    </row>
    <row r="92" spans="1:1900" ht="20.100000000000001" customHeight="1" x14ac:dyDescent="0.3">
      <c r="A92" s="78" t="s">
        <v>28</v>
      </c>
      <c r="B92" s="51"/>
      <c r="C92" s="234"/>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271"/>
      <c r="BSU92" s="272"/>
      <c r="BSV92" s="272"/>
      <c r="BSW92" s="272"/>
      <c r="BSX92" s="272"/>
      <c r="BSY92" s="272"/>
      <c r="BSZ92" s="272"/>
      <c r="BTA92" s="272"/>
      <c r="BTB92" s="272"/>
      <c r="BTC92" s="272"/>
      <c r="BTD92" s="272"/>
      <c r="BTE92" s="272"/>
      <c r="BTF92" s="272"/>
      <c r="BTG92" s="272"/>
      <c r="BTH92" s="272"/>
      <c r="BTI92" s="272"/>
      <c r="BTJ92" s="272"/>
      <c r="BTK92" s="272"/>
      <c r="BTL92" s="272"/>
      <c r="BTM92" s="272"/>
      <c r="BTN92" s="272"/>
      <c r="BTO92" s="272"/>
      <c r="BTP92" s="272"/>
      <c r="BTQ92" s="272"/>
      <c r="BTR92" s="272"/>
      <c r="BTS92" s="272"/>
      <c r="BTT92" s="272"/>
      <c r="BTU92" s="272"/>
      <c r="BTV92" s="272"/>
      <c r="BTW92" s="272"/>
      <c r="BTX92" s="272"/>
      <c r="BTY92" s="272"/>
      <c r="BTZ92" s="272"/>
      <c r="BUA92" s="272"/>
      <c r="BUB92" s="272"/>
    </row>
    <row r="93" spans="1:1900" ht="20.100000000000001" customHeight="1" x14ac:dyDescent="0.25">
      <c r="A93" s="78" t="s">
        <v>26</v>
      </c>
      <c r="B93" s="51"/>
      <c r="C93" s="228"/>
      <c r="D93" s="119" t="str">
        <f t="shared" si="1"/>
        <v/>
      </c>
      <c r="E93" s="30">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271"/>
      <c r="BSU93" s="272"/>
      <c r="BSV93" s="272"/>
      <c r="BSW93" s="272"/>
      <c r="BSX93" s="272"/>
      <c r="BSY93" s="272"/>
      <c r="BSZ93" s="272"/>
      <c r="BTA93" s="272"/>
      <c r="BTB93" s="272"/>
      <c r="BTC93" s="272"/>
      <c r="BTD93" s="272"/>
      <c r="BTE93" s="272"/>
      <c r="BTF93" s="272"/>
      <c r="BTG93" s="272"/>
      <c r="BTH93" s="272"/>
      <c r="BTI93" s="272"/>
      <c r="BTJ93" s="272"/>
      <c r="BTK93" s="272"/>
      <c r="BTL93" s="272"/>
      <c r="BTM93" s="272"/>
      <c r="BTN93" s="272"/>
      <c r="BTO93" s="272"/>
      <c r="BTP93" s="272"/>
      <c r="BTQ93" s="272"/>
      <c r="BTR93" s="272"/>
      <c r="BTS93" s="272"/>
      <c r="BTT93" s="272"/>
      <c r="BTU93" s="272"/>
      <c r="BTV93" s="272"/>
      <c r="BTW93" s="272"/>
      <c r="BTX93" s="272"/>
      <c r="BTY93" s="272"/>
      <c r="BTZ93" s="272"/>
      <c r="BUA93" s="272"/>
      <c r="BUB93" s="272"/>
    </row>
    <row r="94" spans="1:1900" ht="20.100000000000001" customHeight="1" x14ac:dyDescent="0.25">
      <c r="A94" s="78" t="s">
        <v>28</v>
      </c>
      <c r="B94" s="51"/>
      <c r="C94" s="233"/>
      <c r="D94" s="120" t="str">
        <f t="shared" si="1"/>
        <v/>
      </c>
      <c r="E94" s="30">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271"/>
      <c r="BSU94" s="272"/>
      <c r="BSV94" s="272"/>
      <c r="BSW94" s="272"/>
      <c r="BSX94" s="272"/>
      <c r="BSY94" s="272"/>
      <c r="BSZ94" s="272"/>
      <c r="BTA94" s="272"/>
      <c r="BTB94" s="272"/>
      <c r="BTC94" s="272"/>
      <c r="BTD94" s="272"/>
      <c r="BTE94" s="272"/>
      <c r="BTF94" s="272"/>
      <c r="BTG94" s="272"/>
      <c r="BTH94" s="272"/>
      <c r="BTI94" s="272"/>
      <c r="BTJ94" s="272"/>
      <c r="BTK94" s="272"/>
      <c r="BTL94" s="272"/>
      <c r="BTM94" s="272"/>
      <c r="BTN94" s="272"/>
      <c r="BTO94" s="272"/>
      <c r="BTP94" s="272"/>
      <c r="BTQ94" s="272"/>
      <c r="BTR94" s="272"/>
      <c r="BTS94" s="272"/>
      <c r="BTT94" s="272"/>
      <c r="BTU94" s="272"/>
      <c r="BTV94" s="272"/>
      <c r="BTW94" s="272"/>
      <c r="BTX94" s="272"/>
      <c r="BTY94" s="272"/>
      <c r="BTZ94" s="272"/>
      <c r="BUA94" s="272"/>
      <c r="BUB94" s="272"/>
    </row>
    <row r="95" spans="1:1900" ht="20.100000000000001" customHeight="1" x14ac:dyDescent="0.25">
      <c r="B95" s="51"/>
      <c r="C95" s="249" t="s">
        <v>34</v>
      </c>
      <c r="D95" s="250"/>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900" ht="20.100000000000001" customHeight="1" thickBot="1" x14ac:dyDescent="0.3">
      <c r="B96" s="51"/>
      <c r="C96" s="251"/>
      <c r="D96" s="252"/>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5" t="s">
        <v>35</v>
      </c>
      <c r="D97" s="246"/>
      <c r="E97" s="93">
        <f>SUM(E16,E18,E20,E22,E24,E26,E28,E30,E32,E34,E36,E38,E40,E42,E44,E46,E48,E50,E52,E54,E56,E58,E60,E62,E64,E66,E68,E70,E72,E74,E76,E78,E80,E82,E84,E86,E88,E90,E92,E94)</f>
        <v>1105</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7"/>
      <c r="D98" s="248"/>
      <c r="E98" s="97" t="str">
        <f xml:space="preserve"> setValueToTime(E97)</f>
        <v>92h 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A4" sqref="A4"/>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59"/>
      <c r="G3" s="260"/>
      <c r="H3" s="151"/>
    </row>
    <row r="4" spans="1:8" s="43" customFormat="1" hidden="1" x14ac:dyDescent="0.3">
      <c r="B4" s="40"/>
      <c r="C4" s="41"/>
      <c r="D4" s="125"/>
      <c r="E4" s="42"/>
      <c r="F4" s="261"/>
      <c r="G4" s="262"/>
      <c r="H4" s="152"/>
    </row>
    <row r="5" spans="1:8" s="43" customFormat="1" hidden="1" x14ac:dyDescent="0.3">
      <c r="B5" s="44"/>
      <c r="C5" s="45"/>
      <c r="D5" s="126"/>
      <c r="E5" s="46"/>
      <c r="F5" s="253"/>
      <c r="G5" s="254"/>
      <c r="H5" s="152"/>
    </row>
    <row r="6" spans="1:8" s="43" customFormat="1" hidden="1" x14ac:dyDescent="0.3">
      <c r="B6" s="44"/>
      <c r="C6" s="45"/>
      <c r="D6" s="126"/>
      <c r="E6" s="46"/>
      <c r="F6" s="253"/>
      <c r="G6" s="254"/>
      <c r="H6" s="152"/>
    </row>
    <row r="7" spans="1:8" s="43" customFormat="1" hidden="1" x14ac:dyDescent="0.3">
      <c r="B7" s="44"/>
      <c r="C7" s="45"/>
      <c r="D7" s="126"/>
      <c r="E7" s="46"/>
      <c r="F7" s="253"/>
      <c r="G7" s="254"/>
      <c r="H7" s="152"/>
    </row>
    <row r="8" spans="1:8" s="43" customFormat="1" hidden="1" x14ac:dyDescent="0.3">
      <c r="B8" s="44"/>
      <c r="C8" s="45"/>
      <c r="D8" s="127"/>
      <c r="E8" s="46"/>
      <c r="F8" s="253"/>
      <c r="G8" s="254"/>
      <c r="H8" s="152"/>
    </row>
    <row r="9" spans="1:8" s="43" customFormat="1" hidden="1" x14ac:dyDescent="0.3">
      <c r="B9" s="44"/>
      <c r="C9" s="45"/>
      <c r="D9" s="127"/>
      <c r="E9" s="46"/>
      <c r="F9" s="253"/>
      <c r="G9" s="254"/>
      <c r="H9" s="152"/>
    </row>
    <row r="10" spans="1:8" s="43" customFormat="1" hidden="1" x14ac:dyDescent="0.3">
      <c r="B10" s="44"/>
      <c r="C10" s="45"/>
      <c r="D10" s="127"/>
      <c r="E10" s="46"/>
      <c r="F10" s="253"/>
      <c r="G10" s="254"/>
      <c r="H10" s="152"/>
    </row>
    <row r="11" spans="1:8" s="43" customFormat="1" ht="15" hidden="1" thickBot="1" x14ac:dyDescent="0.35">
      <c r="B11" s="44"/>
      <c r="C11" s="47"/>
      <c r="D11" s="128"/>
      <c r="E11" s="48"/>
      <c r="F11" s="255"/>
      <c r="G11" s="256"/>
      <c r="H11" s="152"/>
    </row>
    <row r="12" spans="1:8" s="43" customFormat="1" ht="15" hidden="1" thickBot="1" x14ac:dyDescent="0.35">
      <c r="B12" s="86"/>
      <c r="C12" s="67"/>
      <c r="D12" s="86"/>
      <c r="E12" s="95"/>
      <c r="F12" s="257"/>
      <c r="G12" s="258"/>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59"/>
      <c r="G15" s="260"/>
      <c r="H15" s="151"/>
    </row>
    <row r="16" spans="1:8" s="43" customFormat="1" hidden="1" x14ac:dyDescent="0.3">
      <c r="B16" s="40"/>
      <c r="C16" s="41"/>
      <c r="D16" s="125"/>
      <c r="E16" s="42"/>
      <c r="F16" s="261"/>
      <c r="G16" s="262"/>
      <c r="H16" s="152"/>
    </row>
    <row r="17" spans="2:8" s="43" customFormat="1" hidden="1" x14ac:dyDescent="0.3">
      <c r="B17" s="44"/>
      <c r="C17" s="45"/>
      <c r="D17" s="126"/>
      <c r="E17" s="46"/>
      <c r="F17" s="253"/>
      <c r="G17" s="254"/>
      <c r="H17" s="152"/>
    </row>
    <row r="18" spans="2:8" s="43" customFormat="1" hidden="1" x14ac:dyDescent="0.3">
      <c r="B18" s="44"/>
      <c r="C18" s="45"/>
      <c r="D18" s="126"/>
      <c r="E18" s="46"/>
      <c r="F18" s="253"/>
      <c r="G18" s="254"/>
      <c r="H18" s="152"/>
    </row>
    <row r="19" spans="2:8" s="43" customFormat="1" hidden="1" x14ac:dyDescent="0.3">
      <c r="B19" s="44"/>
      <c r="C19" s="45"/>
      <c r="D19" s="126"/>
      <c r="E19" s="46"/>
      <c r="F19" s="253"/>
      <c r="G19" s="254"/>
      <c r="H19" s="152"/>
    </row>
    <row r="20" spans="2:8" s="43" customFormat="1" hidden="1" x14ac:dyDescent="0.3">
      <c r="B20" s="44"/>
      <c r="C20" s="45"/>
      <c r="D20" s="127"/>
      <c r="E20" s="46"/>
      <c r="F20" s="253"/>
      <c r="G20" s="254"/>
      <c r="H20" s="152"/>
    </row>
    <row r="21" spans="2:8" s="43" customFormat="1" hidden="1" x14ac:dyDescent="0.3">
      <c r="B21" s="44"/>
      <c r="C21" s="45"/>
      <c r="D21" s="127"/>
      <c r="E21" s="46"/>
      <c r="F21" s="253"/>
      <c r="G21" s="254"/>
      <c r="H21" s="152"/>
    </row>
    <row r="22" spans="2:8" s="43" customFormat="1" hidden="1" x14ac:dyDescent="0.3">
      <c r="B22" s="44"/>
      <c r="C22" s="45"/>
      <c r="D22" s="127"/>
      <c r="E22" s="46"/>
      <c r="F22" s="253"/>
      <c r="G22" s="254"/>
      <c r="H22" s="152"/>
    </row>
    <row r="23" spans="2:8" s="43" customFormat="1" ht="15" hidden="1" thickBot="1" x14ac:dyDescent="0.35">
      <c r="B23" s="44"/>
      <c r="C23" s="47"/>
      <c r="D23" s="128"/>
      <c r="E23" s="48"/>
      <c r="F23" s="255"/>
      <c r="G23" s="256"/>
      <c r="H23" s="152"/>
    </row>
    <row r="24" spans="2:8" s="43" customFormat="1" ht="15" hidden="1" thickBot="1" x14ac:dyDescent="0.35">
      <c r="B24" s="86"/>
      <c r="C24" s="67"/>
      <c r="D24" s="86"/>
      <c r="E24" s="95"/>
      <c r="F24" s="257"/>
      <c r="G24" s="258"/>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59"/>
      <c r="G27" s="260"/>
      <c r="H27" s="151"/>
    </row>
    <row r="28" spans="2:8" s="43" customFormat="1" hidden="1" x14ac:dyDescent="0.3">
      <c r="B28" s="40"/>
      <c r="C28" s="41"/>
      <c r="D28" s="125"/>
      <c r="E28" s="42"/>
      <c r="F28" s="261"/>
      <c r="G28" s="262"/>
      <c r="H28" s="152"/>
    </row>
    <row r="29" spans="2:8" s="43" customFormat="1" hidden="1" x14ac:dyDescent="0.3">
      <c r="B29" s="44"/>
      <c r="C29" s="45"/>
      <c r="D29" s="126"/>
      <c r="E29" s="46"/>
      <c r="F29" s="253"/>
      <c r="G29" s="254"/>
      <c r="H29" s="152"/>
    </row>
    <row r="30" spans="2:8" s="43" customFormat="1" hidden="1" x14ac:dyDescent="0.3">
      <c r="B30" s="44"/>
      <c r="C30" s="45"/>
      <c r="D30" s="126"/>
      <c r="E30" s="46"/>
      <c r="F30" s="253"/>
      <c r="G30" s="254"/>
      <c r="H30" s="152"/>
    </row>
    <row r="31" spans="2:8" s="43" customFormat="1" hidden="1" x14ac:dyDescent="0.3">
      <c r="B31" s="44"/>
      <c r="C31" s="45"/>
      <c r="D31" s="126"/>
      <c r="E31" s="46"/>
      <c r="F31" s="253"/>
      <c r="G31" s="254"/>
      <c r="H31" s="152"/>
    </row>
    <row r="32" spans="2:8" s="43" customFormat="1" hidden="1" x14ac:dyDescent="0.3">
      <c r="B32" s="44"/>
      <c r="C32" s="45"/>
      <c r="D32" s="127"/>
      <c r="E32" s="46"/>
      <c r="F32" s="253"/>
      <c r="G32" s="254"/>
      <c r="H32" s="152"/>
    </row>
    <row r="33" spans="2:8" s="43" customFormat="1" hidden="1" x14ac:dyDescent="0.3">
      <c r="B33" s="44"/>
      <c r="C33" s="45"/>
      <c r="D33" s="127"/>
      <c r="E33" s="46"/>
      <c r="F33" s="253"/>
      <c r="G33" s="254"/>
      <c r="H33" s="152"/>
    </row>
    <row r="34" spans="2:8" s="43" customFormat="1" hidden="1" x14ac:dyDescent="0.3">
      <c r="B34" s="44"/>
      <c r="C34" s="45"/>
      <c r="D34" s="127"/>
      <c r="E34" s="46"/>
      <c r="F34" s="253"/>
      <c r="G34" s="254"/>
      <c r="H34" s="152"/>
    </row>
    <row r="35" spans="2:8" s="43" customFormat="1" ht="15" hidden="1" thickBot="1" x14ac:dyDescent="0.35">
      <c r="B35" s="44"/>
      <c r="C35" s="47"/>
      <c r="D35" s="128"/>
      <c r="E35" s="48"/>
      <c r="F35" s="255"/>
      <c r="G35" s="256"/>
      <c r="H35" s="152"/>
    </row>
    <row r="36" spans="2:8" s="43" customFormat="1" ht="15" hidden="1" thickBot="1" x14ac:dyDescent="0.35">
      <c r="B36" s="86"/>
      <c r="C36" s="67"/>
      <c r="D36" s="86"/>
      <c r="E36" s="95"/>
      <c r="F36" s="257"/>
      <c r="G36" s="258"/>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59" t="s">
        <v>41</v>
      </c>
      <c r="G39" s="260"/>
      <c r="H39" s="151"/>
    </row>
    <row r="40" spans="2:8" s="43" customFormat="1" x14ac:dyDescent="0.3">
      <c r="B40" s="44"/>
      <c r="C40" s="45"/>
      <c r="D40" s="126"/>
      <c r="E40" s="42"/>
      <c r="F40" s="261"/>
      <c r="G40" s="262"/>
      <c r="H40" s="152"/>
    </row>
    <row r="41" spans="2:8" s="43" customFormat="1" x14ac:dyDescent="0.3">
      <c r="B41" s="44" t="s">
        <v>109</v>
      </c>
      <c r="C41" s="45">
        <v>18</v>
      </c>
      <c r="D41" s="126" t="str">
        <f t="shared" ref="D41:D47" si="0" xml:space="preserve"> IF(C41="","",setValueToTime(C41))</f>
        <v>1h 30 min</v>
      </c>
      <c r="E41" s="194" t="s">
        <v>115</v>
      </c>
      <c r="F41" s="253"/>
      <c r="G41" s="254"/>
      <c r="H41" s="152"/>
    </row>
    <row r="42" spans="2:8" s="43" customFormat="1" x14ac:dyDescent="0.3">
      <c r="B42" s="44" t="s">
        <v>47</v>
      </c>
      <c r="C42" s="45">
        <v>18</v>
      </c>
      <c r="D42" s="126" t="str">
        <f t="shared" si="0"/>
        <v>1h 30 min</v>
      </c>
      <c r="E42" s="194" t="s">
        <v>115</v>
      </c>
      <c r="F42" s="253"/>
      <c r="G42" s="254"/>
      <c r="H42" s="152"/>
    </row>
    <row r="43" spans="2:8" s="43" customFormat="1" x14ac:dyDescent="0.3">
      <c r="B43" s="44"/>
      <c r="C43" s="45"/>
      <c r="D43" s="126" t="str">
        <f t="shared" si="0"/>
        <v/>
      </c>
      <c r="E43" s="46"/>
      <c r="F43" s="253"/>
      <c r="G43" s="254"/>
      <c r="H43" s="152"/>
    </row>
    <row r="44" spans="2:8" s="43" customFormat="1" x14ac:dyDescent="0.3">
      <c r="B44" s="44"/>
      <c r="C44" s="45"/>
      <c r="D44" s="127" t="str">
        <f t="shared" si="0"/>
        <v/>
      </c>
      <c r="E44" s="46"/>
      <c r="F44" s="253"/>
      <c r="G44" s="254"/>
      <c r="H44" s="152"/>
    </row>
    <row r="45" spans="2:8" s="43" customFormat="1" x14ac:dyDescent="0.3">
      <c r="B45" s="44"/>
      <c r="C45" s="45"/>
      <c r="D45" s="127" t="str">
        <f t="shared" si="0"/>
        <v/>
      </c>
      <c r="E45" s="46"/>
      <c r="F45" s="253"/>
      <c r="G45" s="254"/>
      <c r="H45" s="152"/>
    </row>
    <row r="46" spans="2:8" s="43" customFormat="1" x14ac:dyDescent="0.3">
      <c r="B46" s="44"/>
      <c r="C46" s="45"/>
      <c r="D46" s="127" t="str">
        <f t="shared" si="0"/>
        <v/>
      </c>
      <c r="E46" s="46"/>
      <c r="F46" s="253"/>
      <c r="G46" s="254"/>
      <c r="H46" s="152"/>
    </row>
    <row r="47" spans="2:8" s="43" customFormat="1" ht="15" thickBot="1" x14ac:dyDescent="0.35">
      <c r="B47" s="44"/>
      <c r="C47" s="47"/>
      <c r="D47" s="128" t="str">
        <f t="shared" si="0"/>
        <v/>
      </c>
      <c r="E47" s="48"/>
      <c r="F47" s="255"/>
      <c r="G47" s="256"/>
      <c r="H47" s="152"/>
    </row>
    <row r="48" spans="2:8" s="43" customFormat="1" ht="15" thickBot="1" x14ac:dyDescent="0.35">
      <c r="B48" s="86" t="s">
        <v>43</v>
      </c>
      <c r="C48" s="67">
        <f>SUM(C40:C47)</f>
        <v>36</v>
      </c>
      <c r="D48" s="86" t="str">
        <f xml:space="preserve"> setValueToTime(C48)</f>
        <v>3h</v>
      </c>
      <c r="E48" s="95"/>
      <c r="F48" s="257"/>
      <c r="G48" s="258"/>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59" t="s">
        <v>41</v>
      </c>
      <c r="G51" s="260"/>
      <c r="H51" s="151"/>
    </row>
    <row r="52" spans="2:8" s="43" customFormat="1" x14ac:dyDescent="0.3">
      <c r="B52" s="44" t="s">
        <v>30</v>
      </c>
      <c r="C52" s="45">
        <v>2</v>
      </c>
      <c r="D52" s="126" t="str">
        <f t="shared" ref="D52" si="1" xml:space="preserve"> IF(C52="","",setValueToTime(C52))</f>
        <v xml:space="preserve"> 10 min</v>
      </c>
      <c r="E52" s="42"/>
      <c r="F52" s="261"/>
      <c r="G52" s="262"/>
      <c r="H52" s="152"/>
    </row>
    <row r="53" spans="2:8" s="43" customFormat="1" x14ac:dyDescent="0.3">
      <c r="B53" s="44" t="s">
        <v>31</v>
      </c>
      <c r="C53" s="45">
        <v>20</v>
      </c>
      <c r="D53" s="126" t="str">
        <f t="shared" ref="D53:D59" si="2" xml:space="preserve"> IF(C53="","",setValueToTime(C53))</f>
        <v>1h 40 min</v>
      </c>
      <c r="E53" s="194" t="s">
        <v>180</v>
      </c>
      <c r="F53" s="253"/>
      <c r="G53" s="254"/>
      <c r="H53" s="152"/>
    </row>
    <row r="54" spans="2:8" s="43" customFormat="1" x14ac:dyDescent="0.3">
      <c r="B54" s="44" t="s">
        <v>109</v>
      </c>
      <c r="C54" s="45">
        <v>20</v>
      </c>
      <c r="D54" s="126" t="str">
        <f t="shared" si="2"/>
        <v>1h 40 min</v>
      </c>
      <c r="E54" s="194" t="s">
        <v>181</v>
      </c>
      <c r="F54" s="253"/>
      <c r="G54" s="254"/>
      <c r="H54" s="152"/>
    </row>
    <row r="55" spans="2:8" s="43" customFormat="1" x14ac:dyDescent="0.3">
      <c r="B55" s="44"/>
      <c r="C55" s="45"/>
      <c r="D55" s="126" t="str">
        <f t="shared" si="2"/>
        <v/>
      </c>
      <c r="E55" s="46"/>
      <c r="F55" s="253"/>
      <c r="G55" s="254"/>
      <c r="H55" s="152"/>
    </row>
    <row r="56" spans="2:8" s="43" customFormat="1" x14ac:dyDescent="0.3">
      <c r="B56" s="44"/>
      <c r="C56" s="45"/>
      <c r="D56" s="127" t="str">
        <f t="shared" si="2"/>
        <v/>
      </c>
      <c r="E56" s="46"/>
      <c r="F56" s="253"/>
      <c r="G56" s="254"/>
      <c r="H56" s="152"/>
    </row>
    <row r="57" spans="2:8" s="43" customFormat="1" x14ac:dyDescent="0.3">
      <c r="B57" s="44"/>
      <c r="C57" s="45"/>
      <c r="D57" s="127" t="str">
        <f t="shared" si="2"/>
        <v/>
      </c>
      <c r="E57" s="46"/>
      <c r="F57" s="253"/>
      <c r="G57" s="254"/>
      <c r="H57" s="152"/>
    </row>
    <row r="58" spans="2:8" s="43" customFormat="1" x14ac:dyDescent="0.3">
      <c r="B58" s="44"/>
      <c r="C58" s="45"/>
      <c r="D58" s="127" t="str">
        <f t="shared" si="2"/>
        <v/>
      </c>
      <c r="E58" s="46"/>
      <c r="F58" s="253"/>
      <c r="G58" s="254"/>
      <c r="H58" s="152"/>
    </row>
    <row r="59" spans="2:8" s="43" customFormat="1" ht="15" thickBot="1" x14ac:dyDescent="0.35">
      <c r="B59" s="44"/>
      <c r="C59" s="47"/>
      <c r="D59" s="128" t="str">
        <f t="shared" si="2"/>
        <v/>
      </c>
      <c r="E59" s="48"/>
      <c r="F59" s="255"/>
      <c r="G59" s="256"/>
      <c r="H59" s="152"/>
    </row>
    <row r="60" spans="2:8" s="43" customFormat="1" ht="15" thickBot="1" x14ac:dyDescent="0.35">
      <c r="B60" s="86" t="s">
        <v>43</v>
      </c>
      <c r="C60" s="67">
        <f>SUM(C52:C59)</f>
        <v>42</v>
      </c>
      <c r="D60" s="86" t="str">
        <f xml:space="preserve"> setValueToTime(C60)</f>
        <v>3h 30 min</v>
      </c>
      <c r="E60" s="95"/>
      <c r="F60" s="257"/>
      <c r="G60" s="258"/>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59" t="s">
        <v>41</v>
      </c>
      <c r="G63" s="260"/>
      <c r="H63" s="151"/>
    </row>
    <row r="64" spans="2:8" s="43" customFormat="1" x14ac:dyDescent="0.3">
      <c r="B64" s="44" t="s">
        <v>30</v>
      </c>
      <c r="C64" s="45">
        <v>2</v>
      </c>
      <c r="D64" s="126" t="str">
        <f t="shared" ref="D64" si="3" xml:space="preserve"> IF(C64="","",setValueToTime(C64))</f>
        <v xml:space="preserve"> 10 min</v>
      </c>
      <c r="E64" s="42"/>
      <c r="F64" s="261"/>
      <c r="G64" s="262"/>
      <c r="H64" s="152"/>
    </row>
    <row r="65" spans="2:8" s="43" customFormat="1" x14ac:dyDescent="0.3">
      <c r="B65" s="44" t="s">
        <v>165</v>
      </c>
      <c r="C65" s="45">
        <v>12</v>
      </c>
      <c r="D65" s="126" t="str">
        <f t="shared" ref="D65:D71" si="4" xml:space="preserve"> IF(C65="","",setValueToTime(C65))</f>
        <v>1h</v>
      </c>
      <c r="E65" s="194" t="s">
        <v>116</v>
      </c>
      <c r="F65" s="253"/>
      <c r="G65" s="254"/>
      <c r="H65" s="152"/>
    </row>
    <row r="66" spans="2:8" s="43" customFormat="1" x14ac:dyDescent="0.3">
      <c r="B66" s="44" t="s">
        <v>49</v>
      </c>
      <c r="C66" s="45">
        <v>6</v>
      </c>
      <c r="D66" s="126" t="str">
        <f t="shared" si="4"/>
        <v xml:space="preserve"> 30 min</v>
      </c>
      <c r="E66" s="194" t="s">
        <v>114</v>
      </c>
      <c r="F66" s="253"/>
      <c r="G66" s="254"/>
      <c r="H66" s="152"/>
    </row>
    <row r="67" spans="2:8" s="43" customFormat="1" x14ac:dyDescent="0.3">
      <c r="B67" s="44" t="s">
        <v>109</v>
      </c>
      <c r="C67" s="45">
        <v>16</v>
      </c>
      <c r="D67" s="126" t="str">
        <f t="shared" si="4"/>
        <v>1h 20 min</v>
      </c>
      <c r="E67" s="194" t="s">
        <v>182</v>
      </c>
      <c r="F67" s="253"/>
      <c r="G67" s="254"/>
      <c r="H67" s="152"/>
    </row>
    <row r="68" spans="2:8" s="43" customFormat="1" x14ac:dyDescent="0.3">
      <c r="B68" s="44"/>
      <c r="C68" s="45"/>
      <c r="D68" s="127" t="str">
        <f t="shared" si="4"/>
        <v/>
      </c>
      <c r="E68" s="46"/>
      <c r="F68" s="253"/>
      <c r="G68" s="254"/>
      <c r="H68" s="152"/>
    </row>
    <row r="69" spans="2:8" s="43" customFormat="1" x14ac:dyDescent="0.3">
      <c r="B69" s="44"/>
      <c r="C69" s="45"/>
      <c r="D69" s="127" t="str">
        <f t="shared" si="4"/>
        <v/>
      </c>
      <c r="E69" s="46"/>
      <c r="F69" s="253"/>
      <c r="G69" s="254"/>
      <c r="H69" s="152"/>
    </row>
    <row r="70" spans="2:8" s="43" customFormat="1" x14ac:dyDescent="0.3">
      <c r="B70" s="44"/>
      <c r="C70" s="45"/>
      <c r="D70" s="127" t="str">
        <f t="shared" si="4"/>
        <v/>
      </c>
      <c r="E70" s="46"/>
      <c r="F70" s="253"/>
      <c r="G70" s="254"/>
      <c r="H70" s="152"/>
    </row>
    <row r="71" spans="2:8" s="43" customFormat="1" ht="15" thickBot="1" x14ac:dyDescent="0.35">
      <c r="B71" s="44"/>
      <c r="C71" s="47"/>
      <c r="D71" s="128" t="str">
        <f t="shared" si="4"/>
        <v/>
      </c>
      <c r="E71" s="48"/>
      <c r="F71" s="255"/>
      <c r="G71" s="256"/>
      <c r="H71" s="152"/>
    </row>
    <row r="72" spans="2:8" s="43" customFormat="1" ht="15" thickBot="1" x14ac:dyDescent="0.35">
      <c r="B72" s="86" t="s">
        <v>43</v>
      </c>
      <c r="C72" s="67">
        <f>SUM(C64:C71)</f>
        <v>36</v>
      </c>
      <c r="D72" s="86" t="str">
        <f xml:space="preserve"> setValueToTime(C72)</f>
        <v>3h</v>
      </c>
      <c r="E72" s="95"/>
      <c r="F72" s="257"/>
      <c r="G72" s="258"/>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59" t="s">
        <v>41</v>
      </c>
      <c r="G75" s="260"/>
      <c r="H75" s="151"/>
    </row>
    <row r="76" spans="2:8" s="43" customFormat="1" x14ac:dyDescent="0.3">
      <c r="B76" s="44" t="s">
        <v>30</v>
      </c>
      <c r="C76" s="45">
        <v>2</v>
      </c>
      <c r="D76" s="126" t="str">
        <f t="shared" ref="D76" si="5" xml:space="preserve"> IF(C76="","",setValueToTime(C76))</f>
        <v xml:space="preserve"> 10 min</v>
      </c>
      <c r="E76" s="42"/>
      <c r="F76" s="261"/>
      <c r="G76" s="262"/>
      <c r="H76" s="152"/>
    </row>
    <row r="77" spans="2:8" s="43" customFormat="1" x14ac:dyDescent="0.3">
      <c r="B77" s="44" t="s">
        <v>31</v>
      </c>
      <c r="C77" s="45">
        <v>24</v>
      </c>
      <c r="D77" s="126" t="str">
        <f t="shared" ref="D77:D83" si="6" xml:space="preserve"> IF(C77="","",setValueToTime(C77))</f>
        <v>2h</v>
      </c>
      <c r="E77" s="194" t="s">
        <v>117</v>
      </c>
      <c r="F77" s="253"/>
      <c r="G77" s="254"/>
      <c r="H77" s="152"/>
    </row>
    <row r="78" spans="2:8" s="43" customFormat="1" x14ac:dyDescent="0.3">
      <c r="B78" s="44" t="s">
        <v>165</v>
      </c>
      <c r="C78" s="45">
        <v>16</v>
      </c>
      <c r="D78" s="126" t="str">
        <f t="shared" si="6"/>
        <v>1h 20 min</v>
      </c>
      <c r="E78" s="194" t="s">
        <v>116</v>
      </c>
      <c r="F78" s="253"/>
      <c r="G78" s="254"/>
      <c r="H78" s="152"/>
    </row>
    <row r="79" spans="2:8" s="43" customFormat="1" x14ac:dyDescent="0.3">
      <c r="B79" s="44"/>
      <c r="C79" s="45"/>
      <c r="D79" s="126" t="str">
        <f t="shared" si="6"/>
        <v/>
      </c>
      <c r="E79" s="46"/>
      <c r="F79" s="253"/>
      <c r="G79" s="254"/>
      <c r="H79" s="152"/>
    </row>
    <row r="80" spans="2:8" s="43" customFormat="1" x14ac:dyDescent="0.3">
      <c r="B80" s="44"/>
      <c r="C80" s="45"/>
      <c r="D80" s="127" t="str">
        <f t="shared" si="6"/>
        <v/>
      </c>
      <c r="E80" s="46"/>
      <c r="F80" s="253"/>
      <c r="G80" s="254"/>
      <c r="H80" s="152"/>
    </row>
    <row r="81" spans="2:8" s="43" customFormat="1" x14ac:dyDescent="0.3">
      <c r="B81" s="44"/>
      <c r="C81" s="45"/>
      <c r="D81" s="127" t="str">
        <f t="shared" si="6"/>
        <v/>
      </c>
      <c r="E81" s="46"/>
      <c r="F81" s="253"/>
      <c r="G81" s="254"/>
      <c r="H81" s="152"/>
    </row>
    <row r="82" spans="2:8" s="43" customFormat="1" x14ac:dyDescent="0.3">
      <c r="B82" s="44"/>
      <c r="C82" s="45"/>
      <c r="D82" s="127" t="str">
        <f t="shared" si="6"/>
        <v/>
      </c>
      <c r="E82" s="46"/>
      <c r="F82" s="253"/>
      <c r="G82" s="254"/>
      <c r="H82" s="152"/>
    </row>
    <row r="83" spans="2:8" s="43" customFormat="1" ht="15" thickBot="1" x14ac:dyDescent="0.35">
      <c r="B83" s="44"/>
      <c r="C83" s="47"/>
      <c r="D83" s="128" t="str">
        <f t="shared" si="6"/>
        <v/>
      </c>
      <c r="E83" s="48"/>
      <c r="F83" s="255"/>
      <c r="G83" s="256"/>
      <c r="H83" s="152"/>
    </row>
    <row r="84" spans="2:8" s="43" customFormat="1" ht="15" thickBot="1" x14ac:dyDescent="0.35">
      <c r="B84" s="86" t="s">
        <v>43</v>
      </c>
      <c r="C84" s="67">
        <f>SUM(C76:C83)</f>
        <v>42</v>
      </c>
      <c r="D84" s="86" t="str">
        <f xml:space="preserve"> setValueToTime(C84)</f>
        <v>3h 30 min</v>
      </c>
      <c r="E84" s="95"/>
      <c r="F84" s="257"/>
      <c r="G84" s="258"/>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59" t="s">
        <v>41</v>
      </c>
      <c r="G87" s="260"/>
      <c r="H87" s="151"/>
    </row>
    <row r="88" spans="2:8" s="43" customFormat="1" x14ac:dyDescent="0.3">
      <c r="B88" s="44" t="s">
        <v>30</v>
      </c>
      <c r="C88" s="45">
        <v>2</v>
      </c>
      <c r="D88" s="126" t="str">
        <f t="shared" ref="D88" si="7" xml:space="preserve"> IF(C88="","",setValueToTime(C88))</f>
        <v xml:space="preserve"> 10 min</v>
      </c>
      <c r="E88" s="42"/>
      <c r="F88" s="261"/>
      <c r="G88" s="262"/>
      <c r="H88" s="152"/>
    </row>
    <row r="89" spans="2:8" s="43" customFormat="1" x14ac:dyDescent="0.3">
      <c r="B89" s="44" t="s">
        <v>31</v>
      </c>
      <c r="C89" s="45">
        <v>25</v>
      </c>
      <c r="D89" s="126" t="str">
        <f t="shared" ref="D89:D95" si="8" xml:space="preserve"> IF(C89="","",setValueToTime(C89))</f>
        <v>2h 5 min</v>
      </c>
      <c r="E89" s="194" t="s">
        <v>183</v>
      </c>
      <c r="F89" s="253"/>
      <c r="G89" s="254"/>
      <c r="H89" s="152"/>
    </row>
    <row r="90" spans="2:8" s="43" customFormat="1" x14ac:dyDescent="0.3">
      <c r="B90" s="44" t="s">
        <v>109</v>
      </c>
      <c r="C90" s="45">
        <v>25</v>
      </c>
      <c r="D90" s="126" t="str">
        <f t="shared" si="8"/>
        <v>2h 5 min</v>
      </c>
      <c r="E90" s="46" t="s">
        <v>184</v>
      </c>
      <c r="F90" s="253"/>
      <c r="G90" s="254"/>
      <c r="H90" s="152"/>
    </row>
    <row r="91" spans="2:8" s="43" customFormat="1" x14ac:dyDescent="0.3">
      <c r="B91" s="44"/>
      <c r="C91" s="45"/>
      <c r="D91" s="126" t="str">
        <f t="shared" si="8"/>
        <v/>
      </c>
      <c r="E91" s="46"/>
      <c r="F91" s="253"/>
      <c r="G91" s="254"/>
      <c r="H91" s="152"/>
    </row>
    <row r="92" spans="2:8" s="43" customFormat="1" x14ac:dyDescent="0.3">
      <c r="B92" s="44"/>
      <c r="C92" s="45"/>
      <c r="D92" s="127" t="str">
        <f t="shared" si="8"/>
        <v/>
      </c>
      <c r="E92" s="46"/>
      <c r="F92" s="253"/>
      <c r="G92" s="254"/>
      <c r="H92" s="152"/>
    </row>
    <row r="93" spans="2:8" s="43" customFormat="1" x14ac:dyDescent="0.3">
      <c r="B93" s="44"/>
      <c r="C93" s="45"/>
      <c r="D93" s="127" t="str">
        <f t="shared" si="8"/>
        <v/>
      </c>
      <c r="E93" s="46"/>
      <c r="F93" s="253"/>
      <c r="G93" s="254"/>
      <c r="H93" s="152"/>
    </row>
    <row r="94" spans="2:8" s="43" customFormat="1" x14ac:dyDescent="0.3">
      <c r="B94" s="44"/>
      <c r="C94" s="45"/>
      <c r="D94" s="127" t="str">
        <f t="shared" si="8"/>
        <v/>
      </c>
      <c r="E94" s="46"/>
      <c r="F94" s="253"/>
      <c r="G94" s="254"/>
      <c r="H94" s="152"/>
    </row>
    <row r="95" spans="2:8" s="43" customFormat="1" ht="15" thickBot="1" x14ac:dyDescent="0.35">
      <c r="B95" s="44"/>
      <c r="C95" s="47"/>
      <c r="D95" s="128" t="str">
        <f t="shared" si="8"/>
        <v/>
      </c>
      <c r="E95" s="48"/>
      <c r="F95" s="255"/>
      <c r="G95" s="256"/>
      <c r="H95" s="152"/>
    </row>
    <row r="96" spans="2:8" s="43" customFormat="1" ht="15" thickBot="1" x14ac:dyDescent="0.35">
      <c r="B96" s="86" t="s">
        <v>43</v>
      </c>
      <c r="C96" s="67">
        <f>SUM(C88:C95)</f>
        <v>52</v>
      </c>
      <c r="D96" s="86" t="str">
        <f xml:space="preserve"> setValueToTime(C96)</f>
        <v>4h 20 min</v>
      </c>
      <c r="E96" s="95"/>
      <c r="F96" s="257"/>
      <c r="G96" s="258"/>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59" t="s">
        <v>41</v>
      </c>
      <c r="G99" s="260"/>
      <c r="H99" s="151"/>
    </row>
    <row r="100" spans="2:8" s="43" customFormat="1" x14ac:dyDescent="0.3">
      <c r="B100" s="44" t="s">
        <v>30</v>
      </c>
      <c r="C100" s="45">
        <v>2</v>
      </c>
      <c r="D100" s="126" t="str">
        <f t="shared" ref="D100" si="9" xml:space="preserve"> IF(C100="","",setValueToTime(C100))</f>
        <v xml:space="preserve"> 10 min</v>
      </c>
      <c r="E100" s="42"/>
      <c r="F100" s="261"/>
      <c r="G100" s="262"/>
      <c r="H100" s="152"/>
    </row>
    <row r="101" spans="2:8" s="43" customFormat="1" x14ac:dyDescent="0.3">
      <c r="B101" s="44" t="s">
        <v>33</v>
      </c>
      <c r="C101" s="45">
        <v>20</v>
      </c>
      <c r="D101" s="126" t="str">
        <f t="shared" ref="D101:D107" si="10" xml:space="preserve"> IF(C101="","",setValueToTime(C101))</f>
        <v>1h 40 min</v>
      </c>
      <c r="E101" s="194" t="s">
        <v>113</v>
      </c>
      <c r="F101" s="253"/>
      <c r="G101" s="254"/>
      <c r="H101" s="152"/>
    </row>
    <row r="102" spans="2:8" s="43" customFormat="1" x14ac:dyDescent="0.3">
      <c r="B102" s="44" t="s">
        <v>109</v>
      </c>
      <c r="C102" s="45">
        <v>20</v>
      </c>
      <c r="D102" s="126" t="str">
        <f t="shared" si="10"/>
        <v>1h 40 min</v>
      </c>
      <c r="E102" s="46" t="s">
        <v>157</v>
      </c>
      <c r="F102" s="253"/>
      <c r="G102" s="254"/>
      <c r="H102" s="152"/>
    </row>
    <row r="103" spans="2:8" s="43" customFormat="1" x14ac:dyDescent="0.3">
      <c r="B103" s="44"/>
      <c r="C103" s="45"/>
      <c r="D103" s="126" t="str">
        <f t="shared" si="10"/>
        <v/>
      </c>
      <c r="E103" s="46"/>
      <c r="F103" s="253"/>
      <c r="G103" s="254"/>
      <c r="H103" s="152"/>
    </row>
    <row r="104" spans="2:8" s="43" customFormat="1" x14ac:dyDescent="0.3">
      <c r="B104" s="44"/>
      <c r="C104" s="45"/>
      <c r="D104" s="127" t="str">
        <f t="shared" si="10"/>
        <v/>
      </c>
      <c r="E104" s="46"/>
      <c r="F104" s="253"/>
      <c r="G104" s="254"/>
      <c r="H104" s="152"/>
    </row>
    <row r="105" spans="2:8" s="43" customFormat="1" x14ac:dyDescent="0.3">
      <c r="B105" s="44"/>
      <c r="C105" s="45"/>
      <c r="D105" s="127" t="str">
        <f t="shared" si="10"/>
        <v/>
      </c>
      <c r="E105" s="46"/>
      <c r="F105" s="253"/>
      <c r="G105" s="254"/>
      <c r="H105" s="152"/>
    </row>
    <row r="106" spans="2:8" s="43" customFormat="1" x14ac:dyDescent="0.3">
      <c r="B106" s="44"/>
      <c r="C106" s="45"/>
      <c r="D106" s="127" t="str">
        <f t="shared" si="10"/>
        <v/>
      </c>
      <c r="E106" s="46"/>
      <c r="F106" s="253"/>
      <c r="G106" s="254"/>
      <c r="H106" s="152"/>
    </row>
    <row r="107" spans="2:8" s="43" customFormat="1" ht="15" thickBot="1" x14ac:dyDescent="0.35">
      <c r="B107" s="44"/>
      <c r="C107" s="47"/>
      <c r="D107" s="128" t="str">
        <f t="shared" si="10"/>
        <v/>
      </c>
      <c r="E107" s="48"/>
      <c r="F107" s="255"/>
      <c r="G107" s="256"/>
      <c r="H107" s="152"/>
    </row>
    <row r="108" spans="2:8" s="43" customFormat="1" ht="15" thickBot="1" x14ac:dyDescent="0.35">
      <c r="B108" s="86" t="s">
        <v>43</v>
      </c>
      <c r="C108" s="67">
        <f>SUM(C100:C107)</f>
        <v>42</v>
      </c>
      <c r="D108" s="86" t="str">
        <f xml:space="preserve"> setValueToTime(C108)</f>
        <v>3h 30 min</v>
      </c>
      <c r="E108" s="95"/>
      <c r="F108" s="257"/>
      <c r="G108" s="258"/>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59" t="s">
        <v>41</v>
      </c>
      <c r="G111" s="260"/>
      <c r="H111" s="151"/>
    </row>
    <row r="112" spans="2:8" s="43" customFormat="1" x14ac:dyDescent="0.3">
      <c r="B112" s="44" t="s">
        <v>30</v>
      </c>
      <c r="C112" s="45">
        <v>2</v>
      </c>
      <c r="D112" s="126" t="str">
        <f t="shared" ref="D112" si="11" xml:space="preserve"> IF(C112="","",setValueToTime(C112))</f>
        <v xml:space="preserve"> 10 min</v>
      </c>
      <c r="E112" s="42"/>
      <c r="F112" s="261"/>
      <c r="G112" s="262"/>
      <c r="H112" s="152"/>
    </row>
    <row r="113" spans="2:8" s="43" customFormat="1" x14ac:dyDescent="0.3">
      <c r="B113" s="44" t="s">
        <v>33</v>
      </c>
      <c r="C113" s="45">
        <v>25</v>
      </c>
      <c r="D113" s="126" t="str">
        <f t="shared" ref="D113:D119" si="12" xml:space="preserve"> IF(C113="","",setValueToTime(C113))</f>
        <v>2h 5 min</v>
      </c>
      <c r="E113" s="194" t="s">
        <v>112</v>
      </c>
      <c r="F113" s="253"/>
      <c r="G113" s="254"/>
      <c r="H113" s="152"/>
    </row>
    <row r="114" spans="2:8" s="43" customFormat="1" x14ac:dyDescent="0.3">
      <c r="B114" s="44"/>
      <c r="C114" s="45"/>
      <c r="D114" s="126" t="str">
        <f t="shared" si="12"/>
        <v/>
      </c>
      <c r="E114" s="46"/>
      <c r="F114" s="253"/>
      <c r="G114" s="254"/>
      <c r="H114" s="152"/>
    </row>
    <row r="115" spans="2:8" s="43" customFormat="1" x14ac:dyDescent="0.3">
      <c r="B115" s="44"/>
      <c r="C115" s="45"/>
      <c r="D115" s="126" t="str">
        <f t="shared" si="12"/>
        <v/>
      </c>
      <c r="E115" s="46"/>
      <c r="F115" s="253"/>
      <c r="G115" s="254"/>
      <c r="H115" s="152"/>
    </row>
    <row r="116" spans="2:8" s="43" customFormat="1" x14ac:dyDescent="0.3">
      <c r="B116" s="44"/>
      <c r="C116" s="45"/>
      <c r="D116" s="127" t="str">
        <f t="shared" si="12"/>
        <v/>
      </c>
      <c r="E116" s="46"/>
      <c r="F116" s="253"/>
      <c r="G116" s="254"/>
      <c r="H116" s="152"/>
    </row>
    <row r="117" spans="2:8" s="43" customFormat="1" x14ac:dyDescent="0.3">
      <c r="B117" s="44"/>
      <c r="C117" s="45"/>
      <c r="D117" s="127" t="str">
        <f t="shared" si="12"/>
        <v/>
      </c>
      <c r="E117" s="46"/>
      <c r="F117" s="253"/>
      <c r="G117" s="254"/>
      <c r="H117" s="152"/>
    </row>
    <row r="118" spans="2:8" s="43" customFormat="1" x14ac:dyDescent="0.3">
      <c r="B118" s="44"/>
      <c r="C118" s="45"/>
      <c r="D118" s="127" t="str">
        <f t="shared" si="12"/>
        <v/>
      </c>
      <c r="E118" s="46"/>
      <c r="F118" s="253"/>
      <c r="G118" s="254"/>
      <c r="H118" s="152"/>
    </row>
    <row r="119" spans="2:8" s="43" customFormat="1" ht="15" thickBot="1" x14ac:dyDescent="0.35">
      <c r="B119" s="44"/>
      <c r="C119" s="47"/>
      <c r="D119" s="128" t="str">
        <f t="shared" si="12"/>
        <v/>
      </c>
      <c r="E119" s="48"/>
      <c r="F119" s="255"/>
      <c r="G119" s="256"/>
      <c r="H119" s="152"/>
    </row>
    <row r="120" spans="2:8" s="43" customFormat="1" ht="15" thickBot="1" x14ac:dyDescent="0.35">
      <c r="B120" s="86" t="s">
        <v>43</v>
      </c>
      <c r="C120" s="67">
        <f>SUM(C112:C119)</f>
        <v>27</v>
      </c>
      <c r="D120" s="86" t="str">
        <f xml:space="preserve"> setValueToTime(C120)</f>
        <v>2h 15 min</v>
      </c>
      <c r="E120" s="95"/>
      <c r="F120" s="257"/>
      <c r="G120" s="258"/>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59" t="s">
        <v>41</v>
      </c>
      <c r="G123" s="260"/>
      <c r="H123" s="151"/>
    </row>
    <row r="124" spans="2:8" s="43" customFormat="1" x14ac:dyDescent="0.3">
      <c r="B124" s="44" t="s">
        <v>30</v>
      </c>
      <c r="C124" s="45">
        <v>2</v>
      </c>
      <c r="D124" s="126" t="str">
        <f t="shared" ref="D124" si="13" xml:space="preserve"> IF(C124="","",setValueToTime(C124))</f>
        <v xml:space="preserve"> 10 min</v>
      </c>
      <c r="E124" s="42"/>
      <c r="F124" s="261"/>
      <c r="G124" s="262"/>
      <c r="H124" s="152"/>
    </row>
    <row r="125" spans="2:8" s="43" customFormat="1" x14ac:dyDescent="0.3">
      <c r="B125" s="44" t="s">
        <v>165</v>
      </c>
      <c r="C125" s="45">
        <v>14</v>
      </c>
      <c r="D125" s="126" t="str">
        <f t="shared" ref="D125:D131" si="14" xml:space="preserve"> IF(C125="","",setValueToTime(C125))</f>
        <v>1h 10 min</v>
      </c>
      <c r="E125" s="194" t="s">
        <v>110</v>
      </c>
      <c r="F125" s="253"/>
      <c r="G125" s="254"/>
      <c r="H125" s="152"/>
    </row>
    <row r="126" spans="2:8" s="43" customFormat="1" x14ac:dyDescent="0.3">
      <c r="B126" s="44" t="s">
        <v>33</v>
      </c>
      <c r="C126" s="45">
        <v>20</v>
      </c>
      <c r="D126" s="126" t="str">
        <f t="shared" si="14"/>
        <v>1h 40 min</v>
      </c>
      <c r="E126" s="194" t="s">
        <v>111</v>
      </c>
      <c r="F126" s="253"/>
      <c r="G126" s="254"/>
      <c r="H126" s="152"/>
    </row>
    <row r="127" spans="2:8" s="43" customFormat="1" x14ac:dyDescent="0.3">
      <c r="B127" s="44" t="s">
        <v>109</v>
      </c>
      <c r="C127" s="45">
        <v>6</v>
      </c>
      <c r="D127" s="126" t="str">
        <f t="shared" si="14"/>
        <v xml:space="preserve"> 30 min</v>
      </c>
      <c r="E127" s="46" t="s">
        <v>185</v>
      </c>
      <c r="F127" s="253"/>
      <c r="G127" s="254"/>
      <c r="H127" s="152"/>
    </row>
    <row r="128" spans="2:8" s="43" customFormat="1" x14ac:dyDescent="0.3">
      <c r="B128" s="44"/>
      <c r="C128" s="45"/>
      <c r="D128" s="127" t="str">
        <f t="shared" si="14"/>
        <v/>
      </c>
      <c r="E128" s="46"/>
      <c r="F128" s="253"/>
      <c r="G128" s="254"/>
      <c r="H128" s="152"/>
    </row>
    <row r="129" spans="2:8" s="43" customFormat="1" x14ac:dyDescent="0.3">
      <c r="B129" s="44"/>
      <c r="C129" s="45"/>
      <c r="D129" s="127" t="str">
        <f t="shared" si="14"/>
        <v/>
      </c>
      <c r="E129" s="46"/>
      <c r="F129" s="253"/>
      <c r="G129" s="254"/>
      <c r="H129" s="152"/>
    </row>
    <row r="130" spans="2:8" s="43" customFormat="1" x14ac:dyDescent="0.3">
      <c r="B130" s="44"/>
      <c r="C130" s="45"/>
      <c r="D130" s="127" t="str">
        <f t="shared" si="14"/>
        <v/>
      </c>
      <c r="E130" s="46"/>
      <c r="F130" s="253"/>
      <c r="G130" s="254"/>
      <c r="H130" s="152"/>
    </row>
    <row r="131" spans="2:8" s="43" customFormat="1" ht="15" thickBot="1" x14ac:dyDescent="0.35">
      <c r="B131" s="44"/>
      <c r="C131" s="47"/>
      <c r="D131" s="128" t="str">
        <f t="shared" si="14"/>
        <v/>
      </c>
      <c r="E131" s="48"/>
      <c r="F131" s="255"/>
      <c r="G131" s="256"/>
      <c r="H131" s="152"/>
    </row>
    <row r="132" spans="2:8" s="43" customFormat="1" ht="15" thickBot="1" x14ac:dyDescent="0.35">
      <c r="B132" s="86" t="s">
        <v>43</v>
      </c>
      <c r="C132" s="67">
        <f>SUM(C124:C131)</f>
        <v>42</v>
      </c>
      <c r="D132" s="86" t="str">
        <f xml:space="preserve"> setValueToTime(C132)</f>
        <v>3h 30 min</v>
      </c>
      <c r="E132" s="95"/>
      <c r="F132" s="257"/>
      <c r="G132" s="258"/>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59" t="s">
        <v>41</v>
      </c>
      <c r="G219" s="260"/>
      <c r="H219" s="151"/>
    </row>
    <row r="220" spans="2:8" s="43" customFormat="1" x14ac:dyDescent="0.3">
      <c r="B220" s="44" t="s">
        <v>30</v>
      </c>
      <c r="C220" s="45">
        <v>2</v>
      </c>
      <c r="D220" s="126" t="str">
        <f t="shared" ref="D220:D221" si="29" xml:space="preserve"> IF(C220="","",setValueToTime(C220))</f>
        <v xml:space="preserve"> 10 min</v>
      </c>
      <c r="E220" s="42"/>
      <c r="F220" s="261"/>
      <c r="G220" s="262"/>
      <c r="H220" s="152"/>
    </row>
    <row r="221" spans="2:8" s="43" customFormat="1" x14ac:dyDescent="0.3">
      <c r="B221" s="44" t="s">
        <v>201</v>
      </c>
      <c r="C221" s="45">
        <v>8</v>
      </c>
      <c r="D221" s="126" t="str">
        <f t="shared" si="29"/>
        <v xml:space="preserve"> 40 min</v>
      </c>
      <c r="E221" s="194" t="s">
        <v>95</v>
      </c>
      <c r="F221" s="253"/>
      <c r="G221" s="254"/>
      <c r="H221" s="152"/>
    </row>
    <row r="222" spans="2:8" s="43" customFormat="1" ht="27" x14ac:dyDescent="0.3">
      <c r="B222" s="44" t="s">
        <v>161</v>
      </c>
      <c r="C222" s="45">
        <v>8</v>
      </c>
      <c r="D222" s="126" t="str">
        <f t="shared" ref="D222:D227" si="30" xml:space="preserve"> IF(C222="","",setValueToTime(C222))</f>
        <v xml:space="preserve"> 40 min</v>
      </c>
      <c r="E222" s="194" t="s">
        <v>96</v>
      </c>
      <c r="F222" s="253"/>
      <c r="G222" s="254"/>
      <c r="H222" s="152"/>
    </row>
    <row r="223" spans="2:8" s="43" customFormat="1" x14ac:dyDescent="0.3">
      <c r="B223" s="44" t="s">
        <v>29</v>
      </c>
      <c r="C223" s="45">
        <v>7</v>
      </c>
      <c r="D223" s="126" t="str">
        <f t="shared" si="30"/>
        <v xml:space="preserve"> 35 min</v>
      </c>
      <c r="E223" s="194" t="s">
        <v>97</v>
      </c>
      <c r="F223" s="253"/>
      <c r="G223" s="254"/>
      <c r="H223" s="152"/>
    </row>
    <row r="224" spans="2:8" s="43" customFormat="1" x14ac:dyDescent="0.3">
      <c r="B224" s="44" t="s">
        <v>167</v>
      </c>
      <c r="C224" s="45">
        <v>17</v>
      </c>
      <c r="D224" s="127" t="str">
        <f t="shared" si="30"/>
        <v>1h 25 min</v>
      </c>
      <c r="E224" s="46" t="s">
        <v>154</v>
      </c>
      <c r="F224" s="253"/>
      <c r="G224" s="254"/>
      <c r="H224" s="152"/>
    </row>
    <row r="225" spans="2:8" s="43" customFormat="1" x14ac:dyDescent="0.3">
      <c r="B225" s="44"/>
      <c r="C225" s="45"/>
      <c r="D225" s="127" t="str">
        <f t="shared" si="30"/>
        <v/>
      </c>
      <c r="E225" s="46"/>
      <c r="F225" s="253"/>
      <c r="G225" s="254"/>
      <c r="H225" s="152"/>
    </row>
    <row r="226" spans="2:8" s="43" customFormat="1" x14ac:dyDescent="0.3">
      <c r="B226" s="44"/>
      <c r="C226" s="45"/>
      <c r="D226" s="127" t="str">
        <f t="shared" si="30"/>
        <v/>
      </c>
      <c r="E226" s="46"/>
      <c r="F226" s="253"/>
      <c r="G226" s="254"/>
      <c r="H226" s="152"/>
    </row>
    <row r="227" spans="2:8" s="43" customFormat="1" ht="15" thickBot="1" x14ac:dyDescent="0.35">
      <c r="B227" s="44"/>
      <c r="C227" s="47"/>
      <c r="D227" s="128" t="str">
        <f t="shared" si="30"/>
        <v/>
      </c>
      <c r="E227" s="48"/>
      <c r="F227" s="255"/>
      <c r="G227" s="256"/>
      <c r="H227" s="152"/>
    </row>
    <row r="228" spans="2:8" s="43" customFormat="1" ht="15" thickBot="1" x14ac:dyDescent="0.35">
      <c r="B228" s="86" t="s">
        <v>43</v>
      </c>
      <c r="C228" s="67">
        <f>SUM(C220:C227)</f>
        <v>42</v>
      </c>
      <c r="D228" s="86" t="str">
        <f xml:space="preserve"> setValueToTime(C228)</f>
        <v>3h 30 min</v>
      </c>
      <c r="E228" s="95"/>
      <c r="F228" s="257"/>
      <c r="G228" s="258"/>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59" t="s">
        <v>41</v>
      </c>
      <c r="G231" s="260"/>
      <c r="H231" s="151"/>
    </row>
    <row r="232" spans="2:8" s="43" customFormat="1" x14ac:dyDescent="0.3">
      <c r="B232" s="44" t="s">
        <v>30</v>
      </c>
      <c r="C232" s="45">
        <v>2</v>
      </c>
      <c r="D232" s="126" t="str">
        <f t="shared" ref="D232" si="31" xml:space="preserve"> IF(C232="","",setValueToTime(C232))</f>
        <v xml:space="preserve"> 10 min</v>
      </c>
      <c r="E232" s="42"/>
      <c r="F232" s="261"/>
      <c r="G232" s="262"/>
      <c r="H232" s="152"/>
    </row>
    <row r="233" spans="2:8" s="43" customFormat="1" ht="27" x14ac:dyDescent="0.3">
      <c r="B233" s="44" t="s">
        <v>164</v>
      </c>
      <c r="C233" s="45">
        <v>16</v>
      </c>
      <c r="D233" s="126" t="str">
        <f t="shared" ref="D233:D239" si="32" xml:space="preserve"> IF(C233="","",setValueToTime(C233))</f>
        <v>1h 20 min</v>
      </c>
      <c r="E233" s="194" t="s">
        <v>170</v>
      </c>
      <c r="F233" s="253"/>
      <c r="G233" s="254"/>
      <c r="H233" s="152"/>
    </row>
    <row r="234" spans="2:8" s="43" customFormat="1" x14ac:dyDescent="0.3">
      <c r="B234" s="44" t="s">
        <v>201</v>
      </c>
      <c r="C234" s="45">
        <v>12</v>
      </c>
      <c r="D234" s="126" t="str">
        <f t="shared" si="32"/>
        <v>1h</v>
      </c>
      <c r="E234" s="194" t="s">
        <v>93</v>
      </c>
      <c r="F234" s="253"/>
      <c r="G234" s="254"/>
      <c r="H234" s="152"/>
    </row>
    <row r="235" spans="2:8" s="43" customFormat="1" x14ac:dyDescent="0.3">
      <c r="B235" s="44" t="s">
        <v>31</v>
      </c>
      <c r="C235" s="45">
        <v>6</v>
      </c>
      <c r="D235" s="126" t="str">
        <f t="shared" si="32"/>
        <v xml:space="preserve"> 30 min</v>
      </c>
      <c r="E235" s="194" t="s">
        <v>94</v>
      </c>
      <c r="F235" s="253"/>
      <c r="G235" s="254"/>
      <c r="H235" s="152"/>
    </row>
    <row r="236" spans="2:8" s="43" customFormat="1" x14ac:dyDescent="0.3">
      <c r="B236" s="44"/>
      <c r="C236" s="45"/>
      <c r="D236" s="127" t="str">
        <f t="shared" si="32"/>
        <v/>
      </c>
      <c r="E236" s="46"/>
      <c r="F236" s="253"/>
      <c r="G236" s="254"/>
      <c r="H236" s="152"/>
    </row>
    <row r="237" spans="2:8" s="43" customFormat="1" x14ac:dyDescent="0.3">
      <c r="B237" s="44"/>
      <c r="C237" s="45"/>
      <c r="D237" s="127" t="str">
        <f t="shared" si="32"/>
        <v/>
      </c>
      <c r="E237" s="46"/>
      <c r="F237" s="253"/>
      <c r="G237" s="254"/>
      <c r="H237" s="152"/>
    </row>
    <row r="238" spans="2:8" s="43" customFormat="1" x14ac:dyDescent="0.3">
      <c r="B238" s="44"/>
      <c r="C238" s="45"/>
      <c r="D238" s="127" t="str">
        <f t="shared" si="32"/>
        <v/>
      </c>
      <c r="E238" s="46"/>
      <c r="F238" s="253"/>
      <c r="G238" s="254"/>
      <c r="H238" s="152"/>
    </row>
    <row r="239" spans="2:8" s="43" customFormat="1" ht="15" thickBot="1" x14ac:dyDescent="0.35">
      <c r="B239" s="44"/>
      <c r="C239" s="47"/>
      <c r="D239" s="128" t="str">
        <f t="shared" si="32"/>
        <v/>
      </c>
      <c r="E239" s="48"/>
      <c r="F239" s="255"/>
      <c r="G239" s="256"/>
      <c r="H239" s="152"/>
    </row>
    <row r="240" spans="2:8" s="43" customFormat="1" ht="15" thickBot="1" x14ac:dyDescent="0.35">
      <c r="B240" s="86" t="s">
        <v>43</v>
      </c>
      <c r="C240" s="67">
        <f>SUM(C232:C239)</f>
        <v>36</v>
      </c>
      <c r="D240" s="86" t="str">
        <f xml:space="preserve"> setValueToTime(C240)</f>
        <v>3h</v>
      </c>
      <c r="E240" s="95"/>
      <c r="F240" s="257"/>
      <c r="G240" s="258"/>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59" t="s">
        <v>41</v>
      </c>
      <c r="G243" s="260"/>
      <c r="H243" s="151"/>
    </row>
    <row r="244" spans="2:8" s="43" customFormat="1" x14ac:dyDescent="0.3">
      <c r="B244" s="44" t="s">
        <v>30</v>
      </c>
      <c r="C244" s="45">
        <v>2</v>
      </c>
      <c r="D244" s="126" t="str">
        <f t="shared" ref="D244" si="33" xml:space="preserve"> IF(C244="","",setValueToTime(C244))</f>
        <v xml:space="preserve"> 10 min</v>
      </c>
      <c r="E244" s="42"/>
      <c r="F244" s="261"/>
      <c r="G244" s="262"/>
      <c r="H244" s="152"/>
    </row>
    <row r="245" spans="2:8" s="43" customFormat="1" x14ac:dyDescent="0.3">
      <c r="B245" s="44" t="s">
        <v>201</v>
      </c>
      <c r="C245" s="45">
        <v>20</v>
      </c>
      <c r="D245" s="126" t="str">
        <f t="shared" ref="D245:D251" si="34" xml:space="preserve"> IF(C245="","",setValueToTime(C245))</f>
        <v>1h 40 min</v>
      </c>
      <c r="E245" t="s">
        <v>90</v>
      </c>
      <c r="F245" s="253"/>
      <c r="G245" s="254"/>
      <c r="H245" s="152"/>
    </row>
    <row r="246" spans="2:8" s="43" customFormat="1" ht="27" x14ac:dyDescent="0.3">
      <c r="B246" s="44" t="s">
        <v>161</v>
      </c>
      <c r="C246" s="45">
        <v>15</v>
      </c>
      <c r="D246" s="126" t="str">
        <f t="shared" si="34"/>
        <v>1h 15 min</v>
      </c>
      <c r="E246" t="s">
        <v>91</v>
      </c>
      <c r="F246" s="253"/>
      <c r="G246" s="254"/>
      <c r="H246" s="152"/>
    </row>
    <row r="247" spans="2:8" s="43" customFormat="1" x14ac:dyDescent="0.3">
      <c r="B247" s="44" t="s">
        <v>162</v>
      </c>
      <c r="C247" s="45">
        <v>5</v>
      </c>
      <c r="D247" s="126" t="str">
        <f t="shared" si="34"/>
        <v xml:space="preserve"> 25 min</v>
      </c>
      <c r="E247" s="194" t="s">
        <v>92</v>
      </c>
      <c r="F247" s="253"/>
      <c r="G247" s="254"/>
      <c r="H247" s="152"/>
    </row>
    <row r="248" spans="2:8" s="43" customFormat="1" x14ac:dyDescent="0.3">
      <c r="B248" s="44"/>
      <c r="C248" s="45"/>
      <c r="D248" s="127" t="str">
        <f t="shared" si="34"/>
        <v/>
      </c>
      <c r="E248" s="46"/>
      <c r="F248" s="253"/>
      <c r="G248" s="254"/>
      <c r="H248" s="152"/>
    </row>
    <row r="249" spans="2:8" s="43" customFormat="1" x14ac:dyDescent="0.3">
      <c r="B249" s="44"/>
      <c r="C249" s="45"/>
      <c r="D249" s="127" t="str">
        <f t="shared" si="34"/>
        <v/>
      </c>
      <c r="E249" s="46"/>
      <c r="F249" s="253"/>
      <c r="G249" s="254"/>
      <c r="H249" s="152"/>
    </row>
    <row r="250" spans="2:8" s="43" customFormat="1" x14ac:dyDescent="0.3">
      <c r="B250" s="44"/>
      <c r="C250" s="45"/>
      <c r="D250" s="127" t="str">
        <f t="shared" si="34"/>
        <v/>
      </c>
      <c r="E250" s="46"/>
      <c r="F250" s="253"/>
      <c r="G250" s="254"/>
      <c r="H250" s="152"/>
    </row>
    <row r="251" spans="2:8" s="43" customFormat="1" ht="15" thickBot="1" x14ac:dyDescent="0.35">
      <c r="B251" s="44"/>
      <c r="C251" s="47"/>
      <c r="D251" s="128" t="str">
        <f t="shared" si="34"/>
        <v/>
      </c>
      <c r="E251" s="48"/>
      <c r="F251" s="255"/>
      <c r="G251" s="256"/>
      <c r="H251" s="152"/>
    </row>
    <row r="252" spans="2:8" s="43" customFormat="1" ht="15" thickBot="1" x14ac:dyDescent="0.35">
      <c r="B252" s="86" t="s">
        <v>43</v>
      </c>
      <c r="C252" s="67">
        <f>SUM(C244:C251)</f>
        <v>42</v>
      </c>
      <c r="D252" s="86" t="str">
        <f xml:space="preserve"> setValueToTime(C252)</f>
        <v>3h 30 min</v>
      </c>
      <c r="E252" s="95"/>
      <c r="F252" s="257"/>
      <c r="G252" s="258"/>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59" t="s">
        <v>41</v>
      </c>
      <c r="G255" s="260"/>
      <c r="H255" s="151"/>
    </row>
    <row r="256" spans="2:8" s="43" customFormat="1" x14ac:dyDescent="0.3">
      <c r="B256" s="44" t="s">
        <v>30</v>
      </c>
      <c r="C256" s="45">
        <v>2</v>
      </c>
      <c r="D256" s="126" t="str">
        <f t="shared" ref="D256:D257" si="35" xml:space="preserve"> IF(C256="","",setValueToTime(C256))</f>
        <v xml:space="preserve"> 10 min</v>
      </c>
      <c r="E256" s="42"/>
      <c r="F256" s="261"/>
      <c r="G256" s="262"/>
      <c r="H256" s="152"/>
    </row>
    <row r="257" spans="2:8" s="43" customFormat="1" x14ac:dyDescent="0.3">
      <c r="B257" s="44" t="s">
        <v>31</v>
      </c>
      <c r="C257" s="45">
        <v>6</v>
      </c>
      <c r="D257" s="126" t="str">
        <f t="shared" si="35"/>
        <v xml:space="preserve"> 30 min</v>
      </c>
      <c r="E257" s="194" t="s">
        <v>87</v>
      </c>
      <c r="F257" s="253"/>
      <c r="G257" s="254"/>
      <c r="H257" s="152"/>
    </row>
    <row r="258" spans="2:8" s="43" customFormat="1" x14ac:dyDescent="0.3">
      <c r="B258" s="44" t="s">
        <v>162</v>
      </c>
      <c r="C258" s="45">
        <v>28</v>
      </c>
      <c r="D258" s="126" t="str">
        <f t="shared" ref="D258:D263" si="36" xml:space="preserve"> IF(C258="","",setValueToTime(C258))</f>
        <v>2h 20 min</v>
      </c>
      <c r="E258" t="s">
        <v>171</v>
      </c>
      <c r="F258" s="253"/>
      <c r="G258" s="254"/>
      <c r="H258" s="152"/>
    </row>
    <row r="259" spans="2:8" s="43" customFormat="1" x14ac:dyDescent="0.3">
      <c r="B259" s="44"/>
      <c r="C259" s="45"/>
      <c r="D259" s="126" t="str">
        <f t="shared" si="36"/>
        <v/>
      </c>
      <c r="E259" s="46"/>
      <c r="F259" s="253"/>
      <c r="G259" s="254"/>
      <c r="H259" s="152"/>
    </row>
    <row r="260" spans="2:8" s="43" customFormat="1" x14ac:dyDescent="0.3">
      <c r="B260" s="44"/>
      <c r="C260" s="45"/>
      <c r="D260" s="127" t="str">
        <f t="shared" si="36"/>
        <v/>
      </c>
      <c r="E260" s="46"/>
      <c r="F260" s="253"/>
      <c r="G260" s="254"/>
      <c r="H260" s="152"/>
    </row>
    <row r="261" spans="2:8" s="43" customFormat="1" x14ac:dyDescent="0.3">
      <c r="B261" s="44"/>
      <c r="C261" s="45"/>
      <c r="D261" s="127" t="str">
        <f t="shared" si="36"/>
        <v/>
      </c>
      <c r="E261" s="46"/>
      <c r="F261" s="253"/>
      <c r="G261" s="254"/>
      <c r="H261" s="152"/>
    </row>
    <row r="262" spans="2:8" s="43" customFormat="1" x14ac:dyDescent="0.3">
      <c r="B262" s="44"/>
      <c r="C262" s="45"/>
      <c r="D262" s="127" t="str">
        <f t="shared" si="36"/>
        <v/>
      </c>
      <c r="E262" s="46"/>
      <c r="F262" s="253"/>
      <c r="G262" s="254"/>
      <c r="H262" s="152"/>
    </row>
    <row r="263" spans="2:8" s="43" customFormat="1" ht="15" thickBot="1" x14ac:dyDescent="0.35">
      <c r="B263" s="44"/>
      <c r="C263" s="47"/>
      <c r="D263" s="128" t="str">
        <f t="shared" si="36"/>
        <v/>
      </c>
      <c r="E263" s="48"/>
      <c r="F263" s="255"/>
      <c r="G263" s="256"/>
      <c r="H263" s="152"/>
    </row>
    <row r="264" spans="2:8" s="43" customFormat="1" ht="15" thickBot="1" x14ac:dyDescent="0.35">
      <c r="B264" s="86" t="s">
        <v>43</v>
      </c>
      <c r="C264" s="67">
        <f>SUM(C256:C263)</f>
        <v>36</v>
      </c>
      <c r="D264" s="86" t="str">
        <f xml:space="preserve"> setValueToTime(C264)</f>
        <v>3h</v>
      </c>
      <c r="E264" s="95"/>
      <c r="F264" s="257"/>
      <c r="G264" s="258"/>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59" t="s">
        <v>41</v>
      </c>
      <c r="G267" s="260"/>
      <c r="H267" s="151"/>
    </row>
    <row r="268" spans="2:8" s="43" customFormat="1" x14ac:dyDescent="0.3">
      <c r="B268" s="44" t="s">
        <v>30</v>
      </c>
      <c r="C268" s="45">
        <v>2</v>
      </c>
      <c r="D268" s="126" t="str">
        <f t="shared" ref="D268" si="37" xml:space="preserve"> IF(C268="","",setValueToTime(C268))</f>
        <v xml:space="preserve"> 10 min</v>
      </c>
      <c r="E268" s="42"/>
      <c r="F268" s="261"/>
      <c r="G268" s="262"/>
      <c r="H268" s="152"/>
    </row>
    <row r="269" spans="2:8" s="43" customFormat="1" x14ac:dyDescent="0.3">
      <c r="B269" s="44" t="s">
        <v>32</v>
      </c>
      <c r="C269" s="45">
        <v>28</v>
      </c>
      <c r="D269" s="126" t="str">
        <f t="shared" ref="D269:D275" si="38" xml:space="preserve"> IF(C269="","",setValueToTime(C269))</f>
        <v>2h 20 min</v>
      </c>
      <c r="E269" t="s">
        <v>89</v>
      </c>
      <c r="F269" s="253"/>
      <c r="G269" s="254"/>
      <c r="H269" s="152"/>
    </row>
    <row r="270" spans="2:8" s="43" customFormat="1" x14ac:dyDescent="0.3">
      <c r="B270" s="44" t="s">
        <v>163</v>
      </c>
      <c r="C270" s="45">
        <v>12</v>
      </c>
      <c r="D270" s="126" t="str">
        <f t="shared" si="38"/>
        <v>1h</v>
      </c>
      <c r="E270" s="194" t="s">
        <v>172</v>
      </c>
      <c r="F270" s="253"/>
      <c r="G270" s="254"/>
      <c r="H270" s="152"/>
    </row>
    <row r="271" spans="2:8" s="43" customFormat="1" x14ac:dyDescent="0.3">
      <c r="B271" s="44"/>
      <c r="C271" s="45"/>
      <c r="D271" s="126" t="str">
        <f t="shared" si="38"/>
        <v/>
      </c>
      <c r="E271" s="46"/>
      <c r="F271" s="253"/>
      <c r="G271" s="254"/>
      <c r="H271" s="152"/>
    </row>
    <row r="272" spans="2:8" s="43" customFormat="1" x14ac:dyDescent="0.3">
      <c r="B272" s="44"/>
      <c r="C272" s="45"/>
      <c r="D272" s="127" t="str">
        <f t="shared" si="38"/>
        <v/>
      </c>
      <c r="E272" s="46"/>
      <c r="F272" s="253"/>
      <c r="G272" s="254"/>
      <c r="H272" s="152"/>
    </row>
    <row r="273" spans="2:8" s="43" customFormat="1" x14ac:dyDescent="0.3">
      <c r="B273" s="44"/>
      <c r="C273" s="45"/>
      <c r="D273" s="127" t="str">
        <f t="shared" si="38"/>
        <v/>
      </c>
      <c r="E273" s="46"/>
      <c r="F273" s="253"/>
      <c r="G273" s="254"/>
      <c r="H273" s="152"/>
    </row>
    <row r="274" spans="2:8" s="43" customFormat="1" x14ac:dyDescent="0.3">
      <c r="B274" s="44"/>
      <c r="C274" s="45"/>
      <c r="D274" s="127" t="str">
        <f t="shared" si="38"/>
        <v/>
      </c>
      <c r="E274" s="46"/>
      <c r="F274" s="253"/>
      <c r="G274" s="254"/>
      <c r="H274" s="152"/>
    </row>
    <row r="275" spans="2:8" s="43" customFormat="1" ht="15" thickBot="1" x14ac:dyDescent="0.35">
      <c r="B275" s="44"/>
      <c r="C275" s="47"/>
      <c r="D275" s="128" t="str">
        <f t="shared" si="38"/>
        <v/>
      </c>
      <c r="E275" s="48"/>
      <c r="F275" s="255"/>
      <c r="G275" s="256"/>
      <c r="H275" s="152"/>
    </row>
    <row r="276" spans="2:8" s="43" customFormat="1" ht="15" thickBot="1" x14ac:dyDescent="0.35">
      <c r="B276" s="86" t="s">
        <v>43</v>
      </c>
      <c r="C276" s="67">
        <f>SUM(C268:C275)</f>
        <v>42</v>
      </c>
      <c r="D276" s="86" t="str">
        <f xml:space="preserve"> setValueToTime(C276)</f>
        <v>3h 30 min</v>
      </c>
      <c r="E276" s="95"/>
      <c r="F276" s="257"/>
      <c r="G276" s="258"/>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59" t="s">
        <v>41</v>
      </c>
      <c r="G279" s="260"/>
      <c r="H279" s="151"/>
    </row>
    <row r="280" spans="2:8" s="43" customFormat="1" x14ac:dyDescent="0.3">
      <c r="B280" s="44" t="s">
        <v>30</v>
      </c>
      <c r="C280" s="45">
        <v>2</v>
      </c>
      <c r="D280" s="126" t="str">
        <f t="shared" ref="D280:D281" si="39" xml:space="preserve"> IF(C280="","",setValueToTime(C280))</f>
        <v xml:space="preserve"> 10 min</v>
      </c>
      <c r="E280" s="42"/>
      <c r="F280" s="261"/>
      <c r="G280" s="262"/>
      <c r="H280" s="152"/>
    </row>
    <row r="281" spans="2:8" s="43" customFormat="1" x14ac:dyDescent="0.3">
      <c r="B281" s="44" t="s">
        <v>163</v>
      </c>
      <c r="C281" s="45">
        <v>14</v>
      </c>
      <c r="D281" s="126" t="str">
        <f t="shared" si="39"/>
        <v>1h 10 min</v>
      </c>
      <c r="E281" s="194" t="s">
        <v>173</v>
      </c>
      <c r="F281" s="253"/>
      <c r="G281" s="254"/>
      <c r="H281" s="152"/>
    </row>
    <row r="282" spans="2:8" s="43" customFormat="1" x14ac:dyDescent="0.3">
      <c r="B282" s="44" t="s">
        <v>86</v>
      </c>
      <c r="C282" s="45">
        <v>14</v>
      </c>
      <c r="D282" s="126" t="str">
        <f t="shared" ref="D282:D287" si="40" xml:space="preserve"> IF(C282="","",setValueToTime(C282))</f>
        <v>1h 10 min</v>
      </c>
      <c r="E282" s="194" t="s">
        <v>174</v>
      </c>
      <c r="F282" s="253"/>
      <c r="G282" s="254"/>
      <c r="H282" s="152"/>
    </row>
    <row r="283" spans="2:8" s="43" customFormat="1" x14ac:dyDescent="0.3">
      <c r="B283" s="44" t="s">
        <v>31</v>
      </c>
      <c r="C283" s="45">
        <v>6</v>
      </c>
      <c r="D283" s="126" t="str">
        <f t="shared" si="40"/>
        <v xml:space="preserve"> 30 min</v>
      </c>
      <c r="E283" s="194" t="s">
        <v>88</v>
      </c>
      <c r="F283" s="253"/>
      <c r="G283" s="254"/>
      <c r="H283" s="152"/>
    </row>
    <row r="284" spans="2:8" s="43" customFormat="1" x14ac:dyDescent="0.3">
      <c r="B284" s="44"/>
      <c r="C284" s="45"/>
      <c r="D284" s="127" t="str">
        <f t="shared" si="40"/>
        <v/>
      </c>
      <c r="E284" s="46"/>
      <c r="F284" s="253"/>
      <c r="G284" s="254"/>
      <c r="H284" s="152"/>
    </row>
    <row r="285" spans="2:8" s="43" customFormat="1" x14ac:dyDescent="0.3">
      <c r="B285" s="44"/>
      <c r="C285" s="45"/>
      <c r="D285" s="127" t="str">
        <f t="shared" si="40"/>
        <v/>
      </c>
      <c r="E285" s="46"/>
      <c r="F285" s="253"/>
      <c r="G285" s="254"/>
      <c r="H285" s="152"/>
    </row>
    <row r="286" spans="2:8" s="43" customFormat="1" x14ac:dyDescent="0.3">
      <c r="B286" s="44"/>
      <c r="C286" s="45"/>
      <c r="D286" s="127" t="str">
        <f t="shared" si="40"/>
        <v/>
      </c>
      <c r="E286" s="46"/>
      <c r="F286" s="253"/>
      <c r="G286" s="254"/>
      <c r="H286" s="152"/>
    </row>
    <row r="287" spans="2:8" s="43" customFormat="1" ht="15" thickBot="1" x14ac:dyDescent="0.35">
      <c r="B287" s="44"/>
      <c r="C287" s="47"/>
      <c r="D287" s="128" t="str">
        <f t="shared" si="40"/>
        <v/>
      </c>
      <c r="E287" s="48"/>
      <c r="F287" s="255"/>
      <c r="G287" s="256"/>
      <c r="H287" s="152"/>
    </row>
    <row r="288" spans="2:8" s="43" customFormat="1" ht="15" thickBot="1" x14ac:dyDescent="0.35">
      <c r="B288" s="86" t="s">
        <v>43</v>
      </c>
      <c r="C288" s="67">
        <f>SUM(C280:C287)</f>
        <v>36</v>
      </c>
      <c r="D288" s="86" t="str">
        <f xml:space="preserve"> setValueToTime(C288)</f>
        <v>3h</v>
      </c>
      <c r="E288" s="95"/>
      <c r="F288" s="257"/>
      <c r="G288" s="258"/>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59" t="s">
        <v>41</v>
      </c>
      <c r="G291" s="260"/>
      <c r="H291" s="151"/>
    </row>
    <row r="292" spans="2:8" s="43" customFormat="1" x14ac:dyDescent="0.3">
      <c r="B292" s="44" t="s">
        <v>30</v>
      </c>
      <c r="C292" s="45">
        <v>2</v>
      </c>
      <c r="D292" s="126" t="str">
        <f t="shared" ref="D292" si="41" xml:space="preserve"> IF(C292="","",setValueToTime(C292))</f>
        <v xml:space="preserve"> 10 min</v>
      </c>
      <c r="E292" s="42"/>
      <c r="F292" s="261"/>
      <c r="G292" s="262"/>
      <c r="H292" s="152"/>
    </row>
    <row r="293" spans="2:8" s="43" customFormat="1" ht="27" x14ac:dyDescent="0.3">
      <c r="B293" s="44" t="s">
        <v>159</v>
      </c>
      <c r="C293" s="45">
        <v>15</v>
      </c>
      <c r="D293" s="126" t="str">
        <f t="shared" ref="D293:D299" si="42" xml:space="preserve"> IF(C293="","",setValueToTime(C293))</f>
        <v>1h 15 min</v>
      </c>
      <c r="E293" s="194" t="s">
        <v>84</v>
      </c>
      <c r="F293" s="253"/>
      <c r="G293" s="254"/>
      <c r="H293" s="152"/>
    </row>
    <row r="294" spans="2:8" s="43" customFormat="1" ht="27" x14ac:dyDescent="0.3">
      <c r="B294" s="44" t="s">
        <v>168</v>
      </c>
      <c r="C294" s="45">
        <v>8</v>
      </c>
      <c r="D294" s="126" t="str">
        <f t="shared" si="42"/>
        <v xml:space="preserve"> 40 min</v>
      </c>
      <c r="E294" t="s">
        <v>85</v>
      </c>
      <c r="F294" s="253"/>
      <c r="G294" s="254"/>
      <c r="H294" s="152"/>
    </row>
    <row r="295" spans="2:8" s="43" customFormat="1" x14ac:dyDescent="0.3">
      <c r="B295" s="44" t="s">
        <v>163</v>
      </c>
      <c r="C295" s="45">
        <v>17</v>
      </c>
      <c r="D295" s="126" t="str">
        <f t="shared" si="42"/>
        <v>1h 25 min</v>
      </c>
      <c r="E295" s="194" t="s">
        <v>173</v>
      </c>
      <c r="F295" s="253"/>
      <c r="G295" s="254"/>
      <c r="H295" s="152"/>
    </row>
    <row r="296" spans="2:8" s="43" customFormat="1" x14ac:dyDescent="0.3">
      <c r="B296" s="44"/>
      <c r="C296" s="45"/>
      <c r="D296" s="127" t="str">
        <f t="shared" si="42"/>
        <v/>
      </c>
      <c r="E296" s="46"/>
      <c r="F296" s="253"/>
      <c r="G296" s="254"/>
      <c r="H296" s="152"/>
    </row>
    <row r="297" spans="2:8" s="43" customFormat="1" x14ac:dyDescent="0.3">
      <c r="B297" s="44"/>
      <c r="C297" s="45"/>
      <c r="D297" s="127" t="str">
        <f t="shared" si="42"/>
        <v/>
      </c>
      <c r="E297" s="46"/>
      <c r="F297" s="253"/>
      <c r="G297" s="254"/>
      <c r="H297" s="152"/>
    </row>
    <row r="298" spans="2:8" s="43" customFormat="1" x14ac:dyDescent="0.3">
      <c r="B298" s="44"/>
      <c r="C298" s="45"/>
      <c r="D298" s="127" t="str">
        <f t="shared" si="42"/>
        <v/>
      </c>
      <c r="E298" s="46"/>
      <c r="F298" s="253"/>
      <c r="G298" s="254"/>
      <c r="H298" s="152"/>
    </row>
    <row r="299" spans="2:8" s="43" customFormat="1" ht="15" thickBot="1" x14ac:dyDescent="0.35">
      <c r="B299" s="44"/>
      <c r="C299" s="47"/>
      <c r="D299" s="128" t="str">
        <f t="shared" si="42"/>
        <v/>
      </c>
      <c r="E299" s="48"/>
      <c r="F299" s="255"/>
      <c r="G299" s="256"/>
      <c r="H299" s="152"/>
    </row>
    <row r="300" spans="2:8" s="43" customFormat="1" ht="15" thickBot="1" x14ac:dyDescent="0.35">
      <c r="B300" s="86" t="s">
        <v>43</v>
      </c>
      <c r="C300" s="67">
        <f>SUM(C292:C299)</f>
        <v>42</v>
      </c>
      <c r="D300" s="86" t="str">
        <f xml:space="preserve"> setValueToTime(C300)</f>
        <v>3h 30 min</v>
      </c>
      <c r="E300" s="95"/>
      <c r="F300" s="257"/>
      <c r="G300" s="258"/>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59" t="s">
        <v>41</v>
      </c>
      <c r="G303" s="260"/>
      <c r="H303" s="151"/>
    </row>
    <row r="304" spans="2:8" s="43" customFormat="1" x14ac:dyDescent="0.3">
      <c r="B304" s="44" t="s">
        <v>30</v>
      </c>
      <c r="C304" s="45">
        <v>2</v>
      </c>
      <c r="D304" s="126" t="str">
        <f t="shared" ref="D304" si="43" xml:space="preserve"> IF(C304="","",setValueToTime(C304))</f>
        <v xml:space="preserve"> 10 min</v>
      </c>
      <c r="E304" s="42"/>
      <c r="F304" s="261"/>
      <c r="G304" s="262"/>
      <c r="H304" s="152"/>
    </row>
    <row r="305" spans="2:8" s="43" customFormat="1" x14ac:dyDescent="0.3">
      <c r="B305" s="44" t="s">
        <v>31</v>
      </c>
      <c r="C305" s="45">
        <v>5</v>
      </c>
      <c r="D305" s="126" t="str">
        <f xml:space="preserve"> IF(C305="","",setValueToTime(C305))</f>
        <v xml:space="preserve"> 25 min</v>
      </c>
      <c r="E305" t="s">
        <v>175</v>
      </c>
      <c r="F305" s="253"/>
      <c r="G305" s="254"/>
      <c r="H305" s="152"/>
    </row>
    <row r="306" spans="2:8" s="43" customFormat="1" ht="27" x14ac:dyDescent="0.3">
      <c r="B306" s="44" t="s">
        <v>158</v>
      </c>
      <c r="C306" s="45">
        <v>12</v>
      </c>
      <c r="D306" s="126" t="str">
        <f t="shared" ref="D306" si="44" xml:space="preserve"> IF(C306="","",setValueToTime(C306))</f>
        <v>1h</v>
      </c>
      <c r="E306" s="194" t="s">
        <v>82</v>
      </c>
      <c r="F306" s="253"/>
      <c r="G306" s="254"/>
      <c r="H306" s="152"/>
    </row>
    <row r="307" spans="2:8" s="43" customFormat="1" x14ac:dyDescent="0.3">
      <c r="B307" s="44" t="s">
        <v>86</v>
      </c>
      <c r="C307" s="45">
        <v>8</v>
      </c>
      <c r="D307" s="126" t="str">
        <f t="shared" ref="D307:D311" si="45" xml:space="preserve"> IF(C307="","",setValueToTime(C307))</f>
        <v xml:space="preserve"> 40 min</v>
      </c>
      <c r="E307" s="194" t="s">
        <v>104</v>
      </c>
      <c r="F307" s="253"/>
      <c r="G307" s="254"/>
      <c r="H307" s="152"/>
    </row>
    <row r="308" spans="2:8" s="43" customFormat="1" x14ac:dyDescent="0.3">
      <c r="B308" s="44"/>
      <c r="C308" s="45"/>
      <c r="D308" s="127" t="str">
        <f t="shared" si="45"/>
        <v/>
      </c>
      <c r="E308" s="46"/>
      <c r="F308" s="253"/>
      <c r="G308" s="254"/>
      <c r="H308" s="152"/>
    </row>
    <row r="309" spans="2:8" s="43" customFormat="1" x14ac:dyDescent="0.3">
      <c r="B309" s="44"/>
      <c r="C309" s="45"/>
      <c r="D309" s="127" t="str">
        <f t="shared" si="45"/>
        <v/>
      </c>
      <c r="E309" s="46"/>
      <c r="F309" s="253"/>
      <c r="G309" s="254"/>
      <c r="H309" s="152"/>
    </row>
    <row r="310" spans="2:8" s="43" customFormat="1" x14ac:dyDescent="0.3">
      <c r="B310" s="44"/>
      <c r="C310" s="45"/>
      <c r="D310" s="127" t="str">
        <f t="shared" si="45"/>
        <v/>
      </c>
      <c r="E310" s="46"/>
      <c r="F310" s="253"/>
      <c r="G310" s="254"/>
      <c r="H310" s="152"/>
    </row>
    <row r="311" spans="2:8" s="43" customFormat="1" ht="15" thickBot="1" x14ac:dyDescent="0.35">
      <c r="B311" s="44"/>
      <c r="C311" s="47"/>
      <c r="D311" s="128" t="str">
        <f t="shared" si="45"/>
        <v/>
      </c>
      <c r="E311" s="48"/>
      <c r="F311" s="255"/>
      <c r="G311" s="256"/>
      <c r="H311" s="152"/>
    </row>
    <row r="312" spans="2:8" s="43" customFormat="1" ht="15" thickBot="1" x14ac:dyDescent="0.35">
      <c r="B312" s="86" t="s">
        <v>43</v>
      </c>
      <c r="C312" s="67">
        <f>SUM(C304:C311)</f>
        <v>27</v>
      </c>
      <c r="D312" s="86" t="str">
        <f xml:space="preserve"> setValueToTime(C312)</f>
        <v>2h 15 min</v>
      </c>
      <c r="E312" s="95"/>
      <c r="F312" s="257"/>
      <c r="G312" s="258"/>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59" t="s">
        <v>41</v>
      </c>
      <c r="G315" s="260"/>
      <c r="H315" s="151"/>
    </row>
    <row r="316" spans="2:8" s="43" customFormat="1" x14ac:dyDescent="0.3">
      <c r="B316" s="44" t="s">
        <v>30</v>
      </c>
      <c r="C316" s="45">
        <v>2</v>
      </c>
      <c r="D316" s="126" t="str">
        <f t="shared" ref="D316:D317" si="46" xml:space="preserve"> IF(C316="","",setValueToTime(C316))</f>
        <v xml:space="preserve"> 10 min</v>
      </c>
      <c r="E316" s="42"/>
      <c r="F316" s="261"/>
      <c r="G316" s="262"/>
      <c r="H316" s="152"/>
    </row>
    <row r="317" spans="2:8" s="43" customFormat="1" x14ac:dyDescent="0.3">
      <c r="B317" s="44" t="s">
        <v>29</v>
      </c>
      <c r="C317" s="45">
        <v>8</v>
      </c>
      <c r="D317" s="126" t="str">
        <f t="shared" si="46"/>
        <v xml:space="preserve"> 40 min</v>
      </c>
      <c r="E317" s="194" t="s">
        <v>83</v>
      </c>
      <c r="F317" s="253"/>
      <c r="G317" s="254"/>
      <c r="H317" s="152"/>
    </row>
    <row r="318" spans="2:8" s="43" customFormat="1" ht="27" x14ac:dyDescent="0.3">
      <c r="B318" s="44" t="s">
        <v>158</v>
      </c>
      <c r="C318" s="45">
        <v>26</v>
      </c>
      <c r="D318" s="126" t="str">
        <f t="shared" ref="D318:D323" si="47" xml:space="preserve"> IF(C318="","",setValueToTime(C318))</f>
        <v>2h 10 min</v>
      </c>
      <c r="E318" s="194" t="s">
        <v>82</v>
      </c>
      <c r="F318" s="253"/>
      <c r="G318" s="254"/>
      <c r="H318" s="152"/>
    </row>
    <row r="319" spans="2:8" s="43" customFormat="1" x14ac:dyDescent="0.3">
      <c r="B319" s="44"/>
      <c r="C319" s="45"/>
      <c r="D319" s="126"/>
      <c r="E319"/>
      <c r="F319" s="253"/>
      <c r="G319" s="254"/>
      <c r="H319" s="152"/>
    </row>
    <row r="320" spans="2:8" s="43" customFormat="1" x14ac:dyDescent="0.3">
      <c r="B320" s="44"/>
      <c r="C320" s="45"/>
      <c r="D320" s="127" t="str">
        <f t="shared" si="47"/>
        <v/>
      </c>
      <c r="E320" s="46"/>
      <c r="F320" s="253"/>
      <c r="G320" s="254"/>
      <c r="H320" s="152"/>
    </row>
    <row r="321" spans="2:8" s="43" customFormat="1" x14ac:dyDescent="0.3">
      <c r="B321" s="44"/>
      <c r="C321" s="45"/>
      <c r="D321" s="127" t="str">
        <f t="shared" si="47"/>
        <v/>
      </c>
      <c r="E321" s="46"/>
      <c r="F321" s="253"/>
      <c r="G321" s="254"/>
      <c r="H321" s="152"/>
    </row>
    <row r="322" spans="2:8" s="43" customFormat="1" x14ac:dyDescent="0.3">
      <c r="B322" s="44"/>
      <c r="C322" s="45"/>
      <c r="D322" s="127" t="str">
        <f t="shared" si="47"/>
        <v/>
      </c>
      <c r="E322" s="46"/>
      <c r="F322" s="253"/>
      <c r="G322" s="254"/>
      <c r="H322" s="152"/>
    </row>
    <row r="323" spans="2:8" s="43" customFormat="1" ht="15" thickBot="1" x14ac:dyDescent="0.35">
      <c r="B323" s="44"/>
      <c r="C323" s="47"/>
      <c r="D323" s="128" t="str">
        <f t="shared" si="47"/>
        <v/>
      </c>
      <c r="E323" s="48"/>
      <c r="F323" s="255"/>
      <c r="G323" s="256"/>
      <c r="H323" s="152"/>
    </row>
    <row r="324" spans="2:8" s="43" customFormat="1" ht="15" thickBot="1" x14ac:dyDescent="0.35">
      <c r="B324" s="86" t="s">
        <v>43</v>
      </c>
      <c r="C324" s="67">
        <f>SUM(C316:C323)</f>
        <v>36</v>
      </c>
      <c r="D324" s="86" t="str">
        <f xml:space="preserve"> setValueToTime(C324)</f>
        <v>3h</v>
      </c>
      <c r="E324" s="95"/>
      <c r="F324" s="257"/>
      <c r="G324" s="258"/>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59" t="s">
        <v>41</v>
      </c>
      <c r="G327" s="260"/>
      <c r="H327" s="151"/>
    </row>
    <row r="328" spans="2:8" s="43" customFormat="1" x14ac:dyDescent="0.3">
      <c r="B328" s="44" t="s">
        <v>30</v>
      </c>
      <c r="C328" s="45">
        <v>2</v>
      </c>
      <c r="D328" s="126" t="str">
        <f t="shared" ref="D328" si="48" xml:space="preserve"> IF(C328="","",setValueToTime(C328))</f>
        <v xml:space="preserve"> 10 min</v>
      </c>
      <c r="E328" s="42"/>
      <c r="F328" s="261"/>
      <c r="G328" s="262"/>
      <c r="H328" s="152"/>
    </row>
    <row r="329" spans="2:8" s="43" customFormat="1" ht="27" x14ac:dyDescent="0.3">
      <c r="B329" s="44" t="s">
        <v>158</v>
      </c>
      <c r="C329" s="45">
        <v>22</v>
      </c>
      <c r="D329" s="126" t="str">
        <f t="shared" ref="D329" si="49" xml:space="preserve"> IF(C329="","",setValueToTime(C329))</f>
        <v>1h 50 min</v>
      </c>
      <c r="E329" s="46" t="s">
        <v>81</v>
      </c>
      <c r="F329" s="253"/>
      <c r="G329" s="254"/>
      <c r="H329" s="152"/>
    </row>
    <row r="330" spans="2:8" s="43" customFormat="1" x14ac:dyDescent="0.3">
      <c r="B330" s="44"/>
      <c r="C330" s="45"/>
      <c r="D330" s="126"/>
      <c r="E330" s="46"/>
      <c r="F330" s="253"/>
      <c r="G330" s="254"/>
      <c r="H330" s="152"/>
    </row>
    <row r="331" spans="2:8" s="43" customFormat="1" ht="27" x14ac:dyDescent="0.3">
      <c r="B331" s="44" t="s">
        <v>169</v>
      </c>
      <c r="C331" s="45">
        <v>12</v>
      </c>
      <c r="D331" s="126" t="str">
        <f t="shared" ref="D331" si="50" xml:space="preserve"> IF(C331="","",setValueToTime(C331))</f>
        <v>1h</v>
      </c>
      <c r="E331" s="46" t="s">
        <v>80</v>
      </c>
      <c r="F331" s="253"/>
      <c r="G331" s="254"/>
      <c r="H331" s="152"/>
    </row>
    <row r="332" spans="2:8" s="43" customFormat="1" x14ac:dyDescent="0.3">
      <c r="B332" s="44"/>
      <c r="C332" s="45"/>
      <c r="D332" s="127" t="str">
        <f t="shared" ref="D332:D335" si="51" xml:space="preserve"> IF(C332="","",setValueToTime(C332))</f>
        <v/>
      </c>
      <c r="E332" s="46"/>
      <c r="F332" s="253"/>
      <c r="G332" s="254"/>
      <c r="H332" s="152"/>
    </row>
    <row r="333" spans="2:8" s="43" customFormat="1" x14ac:dyDescent="0.3">
      <c r="B333" s="44"/>
      <c r="C333" s="45"/>
      <c r="D333" s="127" t="str">
        <f t="shared" si="51"/>
        <v/>
      </c>
      <c r="E333" s="46"/>
      <c r="F333" s="253"/>
      <c r="G333" s="254"/>
      <c r="H333" s="152"/>
    </row>
    <row r="334" spans="2:8" s="43" customFormat="1" x14ac:dyDescent="0.3">
      <c r="B334" s="44"/>
      <c r="C334" s="45"/>
      <c r="D334" s="127" t="str">
        <f t="shared" si="51"/>
        <v/>
      </c>
      <c r="E334" s="46"/>
      <c r="F334" s="253"/>
      <c r="G334" s="254"/>
      <c r="H334" s="152"/>
    </row>
    <row r="335" spans="2:8" s="43" customFormat="1" ht="15" thickBot="1" x14ac:dyDescent="0.35">
      <c r="B335" s="44"/>
      <c r="C335" s="47"/>
      <c r="D335" s="128" t="str">
        <f t="shared" si="51"/>
        <v/>
      </c>
      <c r="E335" s="48"/>
      <c r="F335" s="255"/>
      <c r="G335" s="256"/>
      <c r="H335" s="152"/>
    </row>
    <row r="336" spans="2:8" s="43" customFormat="1" ht="15" thickBot="1" x14ac:dyDescent="0.35">
      <c r="B336" s="86" t="s">
        <v>43</v>
      </c>
      <c r="C336" s="67">
        <f>SUM(C328:C335)</f>
        <v>36</v>
      </c>
      <c r="D336" s="86" t="str">
        <f xml:space="preserve"> setValueToTime(C336)</f>
        <v>3h</v>
      </c>
      <c r="E336" s="95"/>
      <c r="F336" s="257"/>
      <c r="G336" s="258"/>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59" t="s">
        <v>41</v>
      </c>
      <c r="G339" s="260"/>
      <c r="H339" s="151"/>
    </row>
    <row r="340" spans="2:8" s="43" customFormat="1" x14ac:dyDescent="0.3">
      <c r="B340" s="44" t="s">
        <v>166</v>
      </c>
      <c r="C340" s="45">
        <v>18</v>
      </c>
      <c r="D340" s="126" t="str">
        <f t="shared" ref="D340" si="52" xml:space="preserve"> IF(C340="","",setValueToTime(C340))</f>
        <v>1h 30 min</v>
      </c>
      <c r="E340" s="46" t="s">
        <v>79</v>
      </c>
      <c r="F340" s="261"/>
      <c r="G340" s="262"/>
      <c r="H340" s="152"/>
    </row>
    <row r="341" spans="2:8" s="43" customFormat="1" x14ac:dyDescent="0.3">
      <c r="B341" s="44" t="s">
        <v>49</v>
      </c>
      <c r="C341" s="45">
        <v>3</v>
      </c>
      <c r="D341" s="126" t="str">
        <f t="shared" ref="D341:D343" si="53" xml:space="preserve"> IF(C341="","",setValueToTime(C341))</f>
        <v xml:space="preserve"> 15 min</v>
      </c>
      <c r="E341" s="46" t="s">
        <v>176</v>
      </c>
      <c r="F341" s="253"/>
      <c r="G341" s="254"/>
      <c r="H341" s="152"/>
    </row>
    <row r="342" spans="2:8" s="43" customFormat="1" ht="27" x14ac:dyDescent="0.3">
      <c r="B342" s="44" t="s">
        <v>169</v>
      </c>
      <c r="C342" s="45">
        <v>12</v>
      </c>
      <c r="D342" s="126" t="str">
        <f t="shared" si="53"/>
        <v>1h</v>
      </c>
      <c r="E342" s="46" t="s">
        <v>80</v>
      </c>
      <c r="F342" s="253"/>
      <c r="G342" s="254"/>
      <c r="H342" s="152"/>
    </row>
    <row r="343" spans="2:8" s="43" customFormat="1" ht="27" x14ac:dyDescent="0.3">
      <c r="B343" s="44" t="s">
        <v>158</v>
      </c>
      <c r="C343" s="45">
        <v>12</v>
      </c>
      <c r="D343" s="126" t="str">
        <f t="shared" si="53"/>
        <v>1h</v>
      </c>
      <c r="E343" s="46" t="s">
        <v>81</v>
      </c>
      <c r="F343" s="253"/>
      <c r="G343" s="254"/>
      <c r="H343" s="152"/>
    </row>
    <row r="344" spans="2:8" s="43" customFormat="1" x14ac:dyDescent="0.3">
      <c r="B344" s="44"/>
      <c r="C344" s="45"/>
      <c r="D344" s="127" t="str">
        <f t="shared" ref="D344:D347" si="54" xml:space="preserve"> IF(C344="","",setValueToTime(C344))</f>
        <v/>
      </c>
      <c r="E344" s="46"/>
      <c r="F344" s="253"/>
      <c r="G344" s="254"/>
      <c r="H344" s="152"/>
    </row>
    <row r="345" spans="2:8" s="43" customFormat="1" x14ac:dyDescent="0.3">
      <c r="B345" s="44"/>
      <c r="C345" s="45"/>
      <c r="D345" s="127" t="str">
        <f t="shared" si="54"/>
        <v/>
      </c>
      <c r="E345" s="46"/>
      <c r="F345" s="253"/>
      <c r="G345" s="254"/>
      <c r="H345" s="152"/>
    </row>
    <row r="346" spans="2:8" s="43" customFormat="1" x14ac:dyDescent="0.3">
      <c r="B346" s="44"/>
      <c r="C346" s="45"/>
      <c r="D346" s="127" t="str">
        <f t="shared" si="54"/>
        <v/>
      </c>
      <c r="E346" s="46"/>
      <c r="F346" s="253"/>
      <c r="G346" s="254"/>
      <c r="H346" s="152"/>
    </row>
    <row r="347" spans="2:8" s="43" customFormat="1" ht="15" thickBot="1" x14ac:dyDescent="0.35">
      <c r="B347" s="44"/>
      <c r="C347" s="47"/>
      <c r="D347" s="128" t="str">
        <f t="shared" si="54"/>
        <v/>
      </c>
      <c r="E347" s="48"/>
      <c r="F347" s="255"/>
      <c r="G347" s="256"/>
      <c r="H347" s="152"/>
    </row>
    <row r="348" spans="2:8" s="43" customFormat="1" ht="15" thickBot="1" x14ac:dyDescent="0.35">
      <c r="B348" s="86" t="s">
        <v>43</v>
      </c>
      <c r="C348" s="67">
        <f>SUM(C340:C347)</f>
        <v>45</v>
      </c>
      <c r="D348" s="86" t="str">
        <f xml:space="preserve"> setValueToTime(C348)</f>
        <v>3h 45 min</v>
      </c>
      <c r="E348" s="95"/>
      <c r="F348" s="257"/>
      <c r="G348" s="258"/>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59" t="s">
        <v>41</v>
      </c>
      <c r="G351" s="260"/>
      <c r="H351" s="151"/>
    </row>
    <row r="352" spans="2:8" s="43" customFormat="1" x14ac:dyDescent="0.3">
      <c r="B352" s="44" t="s">
        <v>30</v>
      </c>
      <c r="C352" s="41">
        <v>10</v>
      </c>
      <c r="D352" s="125" t="str">
        <f xml:space="preserve"> IF(C352="","",setValueToTime(C352))</f>
        <v xml:space="preserve"> 50 min</v>
      </c>
      <c r="E352" s="42" t="s">
        <v>76</v>
      </c>
      <c r="F352" s="261"/>
      <c r="G352" s="262"/>
      <c r="H352" s="152"/>
    </row>
    <row r="353" spans="2:8" s="43" customFormat="1" x14ac:dyDescent="0.3">
      <c r="B353" s="44" t="s">
        <v>49</v>
      </c>
      <c r="C353" s="45">
        <v>3</v>
      </c>
      <c r="D353" s="126" t="str">
        <f t="shared" ref="D353:D355" si="55" xml:space="preserve"> IF(C353="","",setValueToTime(C353))</f>
        <v xml:space="preserve"> 15 min</v>
      </c>
      <c r="E353" s="46" t="s">
        <v>77</v>
      </c>
      <c r="F353" s="253"/>
      <c r="G353" s="254"/>
      <c r="H353" s="152"/>
    </row>
    <row r="354" spans="2:8" s="43" customFormat="1" x14ac:dyDescent="0.3">
      <c r="B354" s="44" t="s">
        <v>166</v>
      </c>
      <c r="C354" s="45">
        <v>12</v>
      </c>
      <c r="D354" s="126" t="str">
        <f t="shared" si="55"/>
        <v>1h</v>
      </c>
      <c r="E354" s="46" t="s">
        <v>78</v>
      </c>
      <c r="F354" s="253"/>
      <c r="G354" s="254"/>
      <c r="H354" s="152"/>
    </row>
    <row r="355" spans="2:8" s="43" customFormat="1" ht="27" x14ac:dyDescent="0.3">
      <c r="B355" s="44" t="s">
        <v>161</v>
      </c>
      <c r="C355" s="45">
        <v>11</v>
      </c>
      <c r="D355" s="126" t="str">
        <f t="shared" si="55"/>
        <v xml:space="preserve"> 55 min</v>
      </c>
      <c r="E355" s="46" t="s">
        <v>177</v>
      </c>
      <c r="F355" s="253"/>
      <c r="G355" s="254"/>
      <c r="H355" s="152"/>
    </row>
    <row r="356" spans="2:8" s="43" customFormat="1" x14ac:dyDescent="0.3">
      <c r="B356" s="44"/>
      <c r="C356" s="45"/>
      <c r="D356" s="127" t="str">
        <f t="shared" ref="D356:D359" si="56" xml:space="preserve"> IF(C356="","",setValueToTime(C356))</f>
        <v/>
      </c>
      <c r="E356" s="46"/>
      <c r="F356" s="253"/>
      <c r="G356" s="254"/>
      <c r="H356" s="152"/>
    </row>
    <row r="357" spans="2:8" s="43" customFormat="1" x14ac:dyDescent="0.3">
      <c r="B357" s="44"/>
      <c r="C357" s="45"/>
      <c r="D357" s="127" t="str">
        <f t="shared" si="56"/>
        <v/>
      </c>
      <c r="E357" s="46"/>
      <c r="F357" s="253"/>
      <c r="G357" s="254"/>
      <c r="H357" s="152"/>
    </row>
    <row r="358" spans="2:8" s="43" customFormat="1" x14ac:dyDescent="0.3">
      <c r="B358" s="44"/>
      <c r="C358" s="45"/>
      <c r="D358" s="127" t="str">
        <f t="shared" si="56"/>
        <v/>
      </c>
      <c r="E358" s="46"/>
      <c r="F358" s="253"/>
      <c r="G358" s="254"/>
      <c r="H358" s="152"/>
    </row>
    <row r="359" spans="2:8" s="43" customFormat="1" ht="15" thickBot="1" x14ac:dyDescent="0.35">
      <c r="B359" s="44"/>
      <c r="C359" s="47"/>
      <c r="D359" s="128" t="str">
        <f t="shared" si="56"/>
        <v/>
      </c>
      <c r="E359" s="48"/>
      <c r="F359" s="255"/>
      <c r="G359" s="256"/>
      <c r="H359" s="152"/>
    </row>
    <row r="360" spans="2:8" s="43" customFormat="1" ht="15" thickBot="1" x14ac:dyDescent="0.35">
      <c r="B360" s="86" t="s">
        <v>43</v>
      </c>
      <c r="C360" s="67">
        <f>SUM(C352:C359)</f>
        <v>36</v>
      </c>
      <c r="D360" s="86" t="str">
        <f xml:space="preserve"> setValueToTime(C360)</f>
        <v>3h</v>
      </c>
      <c r="E360" s="95"/>
      <c r="F360" s="257"/>
      <c r="G360" s="258"/>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59" t="s">
        <v>41</v>
      </c>
      <c r="G363" s="260"/>
      <c r="H363" s="151"/>
    </row>
    <row r="364" spans="2:8" s="43" customFormat="1" x14ac:dyDescent="0.3">
      <c r="B364" s="44" t="s">
        <v>30</v>
      </c>
      <c r="C364" s="41">
        <v>9</v>
      </c>
      <c r="D364" s="125" t="str">
        <f xml:space="preserve"> IF(C364="","",setValueToTime(C364))</f>
        <v xml:space="preserve"> 45 min</v>
      </c>
      <c r="E364" s="42" t="s">
        <v>73</v>
      </c>
      <c r="F364" s="261"/>
      <c r="G364" s="262"/>
      <c r="H364" s="152"/>
    </row>
    <row r="365" spans="2:8" s="43" customFormat="1" x14ac:dyDescent="0.3">
      <c r="B365" s="44" t="s">
        <v>31</v>
      </c>
      <c r="C365" s="45">
        <v>5</v>
      </c>
      <c r="D365" s="126" t="str">
        <f t="shared" ref="D365:D367" si="57" xml:space="preserve"> IF(C365="","",setValueToTime(C365))</f>
        <v xml:space="preserve"> 25 min</v>
      </c>
      <c r="E365" s="46" t="s">
        <v>74</v>
      </c>
      <c r="F365" s="253"/>
      <c r="G365" s="254"/>
      <c r="H365" s="152"/>
    </row>
    <row r="366" spans="2:8" s="43" customFormat="1" x14ac:dyDescent="0.3">
      <c r="B366" s="44" t="s">
        <v>47</v>
      </c>
      <c r="C366" s="45">
        <v>12</v>
      </c>
      <c r="D366" s="126" t="str">
        <f t="shared" si="57"/>
        <v>1h</v>
      </c>
      <c r="E366" s="46" t="s">
        <v>75</v>
      </c>
      <c r="F366" s="253"/>
      <c r="G366" s="254"/>
      <c r="H366" s="152"/>
    </row>
    <row r="367" spans="2:8" s="43" customFormat="1" ht="27" x14ac:dyDescent="0.3">
      <c r="B367" s="44" t="s">
        <v>159</v>
      </c>
      <c r="C367" s="45">
        <v>10</v>
      </c>
      <c r="D367" s="126" t="str">
        <f t="shared" si="57"/>
        <v xml:space="preserve"> 50 min</v>
      </c>
      <c r="E367" s="46" t="s">
        <v>178</v>
      </c>
      <c r="F367" s="253"/>
      <c r="G367" s="254"/>
      <c r="H367" s="152"/>
    </row>
    <row r="368" spans="2:8" s="43" customFormat="1" x14ac:dyDescent="0.3">
      <c r="B368" s="44" t="s">
        <v>29</v>
      </c>
      <c r="C368" s="45">
        <v>9</v>
      </c>
      <c r="D368" s="127" t="str">
        <f t="shared" ref="D368:D371" si="58" xml:space="preserve"> IF(C368="","",setValueToTime(C368))</f>
        <v xml:space="preserve"> 45 min</v>
      </c>
      <c r="E368" s="46" t="s">
        <v>179</v>
      </c>
      <c r="F368" s="253"/>
      <c r="G368" s="254"/>
      <c r="H368" s="152"/>
    </row>
    <row r="369" spans="2:8" s="43" customFormat="1" x14ac:dyDescent="0.3">
      <c r="B369" s="44"/>
      <c r="C369" s="45"/>
      <c r="D369" s="127" t="str">
        <f t="shared" si="58"/>
        <v/>
      </c>
      <c r="E369" s="46"/>
      <c r="F369" s="253"/>
      <c r="G369" s="254"/>
      <c r="H369" s="152"/>
    </row>
    <row r="370" spans="2:8" s="43" customFormat="1" x14ac:dyDescent="0.3">
      <c r="B370" s="44"/>
      <c r="C370" s="45"/>
      <c r="D370" s="127" t="str">
        <f t="shared" si="58"/>
        <v/>
      </c>
      <c r="E370" s="46"/>
      <c r="F370" s="253"/>
      <c r="G370" s="254"/>
      <c r="H370" s="152"/>
    </row>
    <row r="371" spans="2:8" s="43" customFormat="1" ht="15" thickBot="1" x14ac:dyDescent="0.35">
      <c r="B371" s="44"/>
      <c r="C371" s="47"/>
      <c r="D371" s="128" t="str">
        <f t="shared" si="58"/>
        <v/>
      </c>
      <c r="E371" s="48"/>
      <c r="F371" s="255"/>
      <c r="G371" s="256"/>
      <c r="H371" s="152"/>
    </row>
    <row r="372" spans="2:8" s="43" customFormat="1" ht="15" thickBot="1" x14ac:dyDescent="0.35">
      <c r="B372" s="86" t="s">
        <v>43</v>
      </c>
      <c r="C372" s="67">
        <f>SUM(C364:C371)</f>
        <v>45</v>
      </c>
      <c r="D372" s="86" t="str">
        <f xml:space="preserve"> setValueToTime(C372)</f>
        <v>3h 45 min</v>
      </c>
      <c r="E372" s="95"/>
      <c r="F372" s="257"/>
      <c r="G372" s="258"/>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64" priority="31" operator="greaterThan">
      <formula>60</formula>
    </cfRule>
  </conditionalFormatting>
  <conditionalFormatting sqref="C360">
    <cfRule type="cellIs" dxfId="63" priority="30" operator="greaterThan">
      <formula>60</formula>
    </cfRule>
  </conditionalFormatting>
  <conditionalFormatting sqref="C348">
    <cfRule type="cellIs" dxfId="62" priority="29" operator="greaterThan">
      <formula>60</formula>
    </cfRule>
  </conditionalFormatting>
  <conditionalFormatting sqref="C336">
    <cfRule type="cellIs" dxfId="61" priority="28" operator="greaterThan">
      <formula>60</formula>
    </cfRule>
  </conditionalFormatting>
  <conditionalFormatting sqref="C324">
    <cfRule type="cellIs" dxfId="60" priority="27" operator="greaterThan">
      <formula>60</formula>
    </cfRule>
  </conditionalFormatting>
  <conditionalFormatting sqref="C312">
    <cfRule type="cellIs" dxfId="59" priority="26" operator="greaterThan">
      <formula>60</formula>
    </cfRule>
  </conditionalFormatting>
  <conditionalFormatting sqref="C300">
    <cfRule type="cellIs" dxfId="58" priority="25" operator="greaterThan">
      <formula>60</formula>
    </cfRule>
  </conditionalFormatting>
  <conditionalFormatting sqref="C288">
    <cfRule type="cellIs" dxfId="57" priority="24" operator="greaterThan">
      <formula>60</formula>
    </cfRule>
  </conditionalFormatting>
  <conditionalFormatting sqref="C276">
    <cfRule type="cellIs" dxfId="56" priority="23" operator="greaterThan">
      <formula>60</formula>
    </cfRule>
  </conditionalFormatting>
  <conditionalFormatting sqref="C264">
    <cfRule type="cellIs" dxfId="55" priority="22" operator="greaterThan">
      <formula>60</formula>
    </cfRule>
  </conditionalFormatting>
  <conditionalFormatting sqref="C252">
    <cfRule type="cellIs" dxfId="54" priority="21" operator="greaterThan">
      <formula>60</formula>
    </cfRule>
  </conditionalFormatting>
  <conditionalFormatting sqref="C240">
    <cfRule type="cellIs" dxfId="53" priority="20" operator="greaterThan">
      <formula>60</formula>
    </cfRule>
  </conditionalFormatting>
  <conditionalFormatting sqref="C228">
    <cfRule type="cellIs" dxfId="52" priority="19" operator="greaterThan">
      <formula>60</formula>
    </cfRule>
  </conditionalFormatting>
  <conditionalFormatting sqref="C216">
    <cfRule type="cellIs" dxfId="51" priority="18" operator="greaterThan">
      <formula>60</formula>
    </cfRule>
  </conditionalFormatting>
  <conditionalFormatting sqref="C204">
    <cfRule type="cellIs" dxfId="50" priority="17" operator="greaterThan">
      <formula>60</formula>
    </cfRule>
  </conditionalFormatting>
  <conditionalFormatting sqref="C192">
    <cfRule type="cellIs" dxfId="49" priority="16" operator="greaterThan">
      <formula>60</formula>
    </cfRule>
  </conditionalFormatting>
  <conditionalFormatting sqref="C180">
    <cfRule type="cellIs" dxfId="48" priority="15" operator="greaterThan">
      <formula>60</formula>
    </cfRule>
  </conditionalFormatting>
  <conditionalFormatting sqref="C168">
    <cfRule type="cellIs" dxfId="47" priority="14" operator="greaterThan">
      <formula>60</formula>
    </cfRule>
  </conditionalFormatting>
  <conditionalFormatting sqref="C156">
    <cfRule type="cellIs" dxfId="46" priority="13" operator="greaterThan">
      <formula>60</formula>
    </cfRule>
  </conditionalFormatting>
  <conditionalFormatting sqref="C144">
    <cfRule type="cellIs" dxfId="45" priority="12" operator="greaterThan">
      <formula>60</formula>
    </cfRule>
  </conditionalFormatting>
  <conditionalFormatting sqref="C132">
    <cfRule type="cellIs" dxfId="44" priority="11" operator="greaterThan">
      <formula>60</formula>
    </cfRule>
  </conditionalFormatting>
  <conditionalFormatting sqref="C120">
    <cfRule type="cellIs" dxfId="43" priority="10" operator="greaterThan">
      <formula>60</formula>
    </cfRule>
  </conditionalFormatting>
  <conditionalFormatting sqref="C108">
    <cfRule type="cellIs" dxfId="42" priority="9" operator="greaterThan">
      <formula>60</formula>
    </cfRule>
  </conditionalFormatting>
  <conditionalFormatting sqref="C96">
    <cfRule type="cellIs" dxfId="41" priority="8" operator="greaterThan">
      <formula>60</formula>
    </cfRule>
  </conditionalFormatting>
  <conditionalFormatting sqref="C84">
    <cfRule type="cellIs" dxfId="40" priority="7" operator="greaterThan">
      <formula>60</formula>
    </cfRule>
  </conditionalFormatting>
  <conditionalFormatting sqref="C72">
    <cfRule type="cellIs" dxfId="39" priority="6" operator="greaterThan">
      <formula>60</formula>
    </cfRule>
  </conditionalFormatting>
  <conditionalFormatting sqref="C60">
    <cfRule type="cellIs" dxfId="38" priority="5" operator="greaterThan">
      <formula>60</formula>
    </cfRule>
  </conditionalFormatting>
  <conditionalFormatting sqref="C48">
    <cfRule type="cellIs" dxfId="37" priority="4" operator="greaterThan">
      <formula>60</formula>
    </cfRule>
  </conditionalFormatting>
  <conditionalFormatting sqref="C36">
    <cfRule type="cellIs" dxfId="36" priority="3" operator="greaterThan">
      <formula>60</formula>
    </cfRule>
  </conditionalFormatting>
  <conditionalFormatting sqref="C24">
    <cfRule type="cellIs" dxfId="35" priority="2" operator="greaterThan">
      <formula>60</formula>
    </cfRule>
  </conditionalFormatting>
  <conditionalFormatting sqref="C12">
    <cfRule type="cellIs" dxfId="3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85"/>
  <sheetViews>
    <sheetView showGridLines="0" zoomScale="115" zoomScaleNormal="115"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32</v>
      </c>
      <c r="D2" s="137"/>
      <c r="E2" s="130" t="s">
        <v>37</v>
      </c>
      <c r="F2" s="131">
        <v>46092</v>
      </c>
      <c r="G2" s="132"/>
      <c r="H2" s="151"/>
    </row>
    <row r="3" spans="2:8" s="39" customFormat="1" ht="30" customHeight="1" thickBot="1" x14ac:dyDescent="0.3">
      <c r="B3" s="61" t="s">
        <v>38</v>
      </c>
      <c r="C3" s="134" t="s">
        <v>39</v>
      </c>
      <c r="D3" s="133"/>
      <c r="E3" s="61" t="s">
        <v>40</v>
      </c>
      <c r="F3" s="265" t="s">
        <v>41</v>
      </c>
      <c r="G3" s="266"/>
      <c r="H3" s="151"/>
    </row>
    <row r="4" spans="2:8" s="43" customFormat="1" ht="27" x14ac:dyDescent="0.3">
      <c r="B4" s="40" t="s">
        <v>30</v>
      </c>
      <c r="C4" s="41">
        <v>3</v>
      </c>
      <c r="D4" s="125" t="str">
        <f xml:space="preserve"> IF(C4="","",setValueToTime(C4))</f>
        <v xml:space="preserve"> 15 min</v>
      </c>
      <c r="E4" s="42"/>
      <c r="F4" s="261"/>
      <c r="G4" s="262"/>
      <c r="H4" s="152"/>
    </row>
    <row r="5" spans="2:8" s="43" customFormat="1" x14ac:dyDescent="0.3">
      <c r="B5" s="44" t="s">
        <v>33</v>
      </c>
      <c r="C5" s="45">
        <v>12</v>
      </c>
      <c r="D5" s="126" t="str">
        <f t="shared" ref="D5:D11" si="0" xml:space="preserve"> IF(C5="","",setValueToTime(C5))</f>
        <v>1h</v>
      </c>
      <c r="E5" s="46" t="s">
        <v>274</v>
      </c>
      <c r="F5" s="253"/>
      <c r="G5" s="254"/>
      <c r="H5" s="152"/>
    </row>
    <row r="6" spans="2:8" s="43" customFormat="1" x14ac:dyDescent="0.3">
      <c r="B6" s="44" t="s">
        <v>31</v>
      </c>
      <c r="C6" s="45">
        <v>21</v>
      </c>
      <c r="D6" s="126" t="str">
        <f t="shared" si="0"/>
        <v>1h 45 min</v>
      </c>
      <c r="E6" s="46" t="s">
        <v>273</v>
      </c>
      <c r="F6" s="253"/>
      <c r="G6" s="254"/>
      <c r="H6" s="152"/>
    </row>
    <row r="7" spans="2:8" s="43" customFormat="1" x14ac:dyDescent="0.3">
      <c r="B7" s="44"/>
      <c r="C7" s="45"/>
      <c r="D7" s="126"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x14ac:dyDescent="0.3">
      <c r="B10" s="45"/>
      <c r="C10" s="45"/>
      <c r="D10" s="127" t="str">
        <f t="shared" si="0"/>
        <v/>
      </c>
      <c r="E10" s="46"/>
      <c r="F10" s="253"/>
      <c r="G10" s="254"/>
      <c r="H10" s="152"/>
    </row>
    <row r="11" spans="2:8" s="43" customFormat="1" ht="15" thickBot="1" x14ac:dyDescent="0.35">
      <c r="B11" s="47"/>
      <c r="C11" s="47"/>
      <c r="D11" s="128" t="str">
        <f t="shared" si="0"/>
        <v/>
      </c>
      <c r="E11" s="48"/>
      <c r="F11" s="255"/>
      <c r="G11" s="256"/>
      <c r="H11" s="152"/>
    </row>
    <row r="12" spans="2:8" s="43" customFormat="1" ht="15" thickBot="1" x14ac:dyDescent="0.35">
      <c r="B12" s="135" t="s">
        <v>43</v>
      </c>
      <c r="C12" s="66">
        <f>SUM(C4:C11)</f>
        <v>36</v>
      </c>
      <c r="D12" s="135" t="str">
        <f xml:space="preserve"> setValueToTime(C12)</f>
        <v>3h</v>
      </c>
      <c r="E12" s="96"/>
      <c r="F12" s="263"/>
      <c r="G12" s="264"/>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31</v>
      </c>
      <c r="D14" s="137"/>
      <c r="E14" s="130" t="s">
        <v>37</v>
      </c>
      <c r="F14" s="131">
        <v>46092</v>
      </c>
      <c r="G14" s="132"/>
      <c r="H14" s="151"/>
    </row>
    <row r="15" spans="2:8" s="39" customFormat="1" ht="30" customHeight="1" thickBot="1" x14ac:dyDescent="0.3">
      <c r="B15" s="61" t="s">
        <v>38</v>
      </c>
      <c r="C15" s="134" t="s">
        <v>39</v>
      </c>
      <c r="D15" s="133"/>
      <c r="E15" s="61" t="s">
        <v>40</v>
      </c>
      <c r="F15" s="265" t="s">
        <v>41</v>
      </c>
      <c r="G15" s="266"/>
      <c r="H15" s="151"/>
    </row>
    <row r="16" spans="2:8" s="43" customFormat="1" x14ac:dyDescent="0.3">
      <c r="B16" s="40" t="s">
        <v>33</v>
      </c>
      <c r="C16" s="41">
        <v>12</v>
      </c>
      <c r="D16" s="125" t="str">
        <f xml:space="preserve"> IF(C16="","",setValueToTime(C16))</f>
        <v>1h</v>
      </c>
      <c r="E16" s="42" t="s">
        <v>275</v>
      </c>
      <c r="F16" s="261"/>
      <c r="G16" s="262"/>
      <c r="H16" s="152"/>
    </row>
    <row r="17" spans="2:8" s="43" customFormat="1" ht="27" x14ac:dyDescent="0.3">
      <c r="B17" s="44" t="s">
        <v>30</v>
      </c>
      <c r="C17" s="45">
        <v>3</v>
      </c>
      <c r="D17" s="126" t="str">
        <f t="shared" ref="D17:D23" si="1" xml:space="preserve"> IF(C17="","",setValueToTime(C17))</f>
        <v xml:space="preserve"> 15 min</v>
      </c>
      <c r="E17" s="46"/>
      <c r="F17" s="253"/>
      <c r="G17" s="254"/>
      <c r="H17" s="152"/>
    </row>
    <row r="18" spans="2:8" s="43" customFormat="1" x14ac:dyDescent="0.3">
      <c r="B18" s="44" t="s">
        <v>31</v>
      </c>
      <c r="C18" s="45">
        <v>21</v>
      </c>
      <c r="D18" s="126" t="str">
        <f t="shared" si="1"/>
        <v>1h 45 min</v>
      </c>
      <c r="E18" s="46" t="s">
        <v>272</v>
      </c>
      <c r="F18" s="253"/>
      <c r="G18" s="254"/>
      <c r="H18" s="152"/>
    </row>
    <row r="19" spans="2:8" s="43" customFormat="1" x14ac:dyDescent="0.3">
      <c r="B19" s="44"/>
      <c r="C19" s="45"/>
      <c r="D19" s="126" t="str">
        <f t="shared" si="1"/>
        <v/>
      </c>
      <c r="E19" s="46"/>
      <c r="F19" s="253"/>
      <c r="G19" s="254"/>
      <c r="H19" s="152"/>
    </row>
    <row r="20" spans="2:8" s="43" customFormat="1" x14ac:dyDescent="0.3">
      <c r="B20" s="45"/>
      <c r="C20" s="45"/>
      <c r="D20" s="127" t="str">
        <f t="shared" si="1"/>
        <v/>
      </c>
      <c r="E20" s="46"/>
      <c r="F20" s="253"/>
      <c r="G20" s="254"/>
      <c r="H20" s="152"/>
    </row>
    <row r="21" spans="2:8" s="43" customFormat="1" x14ac:dyDescent="0.3">
      <c r="B21" s="45"/>
      <c r="C21" s="45"/>
      <c r="D21" s="127" t="str">
        <f t="shared" si="1"/>
        <v/>
      </c>
      <c r="E21" s="46"/>
      <c r="F21" s="253"/>
      <c r="G21" s="254"/>
      <c r="H21" s="152"/>
    </row>
    <row r="22" spans="2:8" s="43" customFormat="1" x14ac:dyDescent="0.3">
      <c r="B22" s="45"/>
      <c r="C22" s="45"/>
      <c r="D22" s="127" t="str">
        <f t="shared" si="1"/>
        <v/>
      </c>
      <c r="E22" s="46"/>
      <c r="F22" s="253"/>
      <c r="G22" s="254"/>
      <c r="H22" s="152"/>
    </row>
    <row r="23" spans="2:8" s="43" customFormat="1" ht="15" thickBot="1" x14ac:dyDescent="0.35">
      <c r="B23" s="47"/>
      <c r="C23" s="47"/>
      <c r="D23" s="128" t="str">
        <f t="shared" si="1"/>
        <v/>
      </c>
      <c r="E23" s="48"/>
      <c r="F23" s="255"/>
      <c r="G23" s="256"/>
      <c r="H23" s="152"/>
    </row>
    <row r="24" spans="2:8" s="43" customFormat="1" ht="15" thickBot="1" x14ac:dyDescent="0.35">
      <c r="B24" s="135" t="s">
        <v>43</v>
      </c>
      <c r="C24" s="66">
        <f>SUM(C16:C23)</f>
        <v>36</v>
      </c>
      <c r="D24" s="135" t="str">
        <f xml:space="preserve"> setValueToTime(C24)</f>
        <v>3h</v>
      </c>
      <c r="E24" s="96"/>
      <c r="F24" s="263"/>
      <c r="G24" s="264"/>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30</v>
      </c>
      <c r="D26" s="137"/>
      <c r="E26" s="130" t="s">
        <v>37</v>
      </c>
      <c r="F26" s="131">
        <v>46090</v>
      </c>
      <c r="G26" s="132"/>
      <c r="H26" s="151"/>
    </row>
    <row r="27" spans="2:8" s="39" customFormat="1" ht="30" customHeight="1" thickBot="1" x14ac:dyDescent="0.3">
      <c r="B27" s="61" t="s">
        <v>38</v>
      </c>
      <c r="C27" s="134" t="s">
        <v>39</v>
      </c>
      <c r="D27" s="133"/>
      <c r="E27" s="61" t="s">
        <v>40</v>
      </c>
      <c r="F27" s="265" t="s">
        <v>41</v>
      </c>
      <c r="G27" s="266"/>
      <c r="H27" s="151"/>
    </row>
    <row r="28" spans="2:8" s="43" customFormat="1" ht="27" x14ac:dyDescent="0.3">
      <c r="B28" s="40" t="s">
        <v>30</v>
      </c>
      <c r="C28" s="41">
        <v>3</v>
      </c>
      <c r="D28" s="125" t="str">
        <f xml:space="preserve"> IF(C28="","",setValueToTime(C28))</f>
        <v xml:space="preserve"> 15 min</v>
      </c>
      <c r="E28" s="42"/>
      <c r="F28" s="261"/>
      <c r="G28" s="262"/>
      <c r="H28" s="152"/>
    </row>
    <row r="29" spans="2:8" s="43" customFormat="1" x14ac:dyDescent="0.3">
      <c r="B29" s="44" t="s">
        <v>31</v>
      </c>
      <c r="C29" s="45">
        <v>24</v>
      </c>
      <c r="D29" s="126" t="str">
        <f t="shared" ref="D29:D35" si="2" xml:space="preserve"> IF(C29="","",setValueToTime(C29))</f>
        <v>2h</v>
      </c>
      <c r="E29" s="46" t="s">
        <v>271</v>
      </c>
      <c r="F29" s="253"/>
      <c r="G29" s="254"/>
      <c r="H29" s="152"/>
    </row>
    <row r="30" spans="2:8" s="43" customFormat="1" x14ac:dyDescent="0.3">
      <c r="B30" s="44" t="s">
        <v>167</v>
      </c>
      <c r="C30" s="45">
        <v>6</v>
      </c>
      <c r="D30" s="126" t="str">
        <f t="shared" si="2"/>
        <v xml:space="preserve"> 30 min</v>
      </c>
      <c r="E30" s="46" t="s">
        <v>270</v>
      </c>
      <c r="F30" s="253"/>
      <c r="G30" s="254"/>
      <c r="H30" s="152"/>
    </row>
    <row r="31" spans="2:8" s="43" customFormat="1" x14ac:dyDescent="0.3">
      <c r="B31" s="44"/>
      <c r="C31" s="45"/>
      <c r="D31" s="126" t="str">
        <f t="shared" si="2"/>
        <v/>
      </c>
      <c r="E31" s="46"/>
      <c r="F31" s="253"/>
      <c r="G31" s="254"/>
      <c r="H31" s="152"/>
    </row>
    <row r="32" spans="2:8" s="43" customFormat="1" x14ac:dyDescent="0.3">
      <c r="B32" s="45"/>
      <c r="C32" s="45"/>
      <c r="D32" s="127" t="str">
        <f t="shared" si="2"/>
        <v/>
      </c>
      <c r="E32" s="46"/>
      <c r="F32" s="253"/>
      <c r="G32" s="254"/>
      <c r="H32" s="152"/>
    </row>
    <row r="33" spans="2:8" s="43" customFormat="1" x14ac:dyDescent="0.3">
      <c r="B33" s="45"/>
      <c r="C33" s="45"/>
      <c r="D33" s="127" t="str">
        <f t="shared" si="2"/>
        <v/>
      </c>
      <c r="E33" s="46"/>
      <c r="F33" s="253"/>
      <c r="G33" s="254"/>
      <c r="H33" s="152"/>
    </row>
    <row r="34" spans="2:8" s="43" customFormat="1" x14ac:dyDescent="0.3">
      <c r="B34" s="45"/>
      <c r="C34" s="45"/>
      <c r="D34" s="127" t="str">
        <f t="shared" si="2"/>
        <v/>
      </c>
      <c r="E34" s="46"/>
      <c r="F34" s="253"/>
      <c r="G34" s="254"/>
      <c r="H34" s="152"/>
    </row>
    <row r="35" spans="2:8" s="43" customFormat="1" ht="15" thickBot="1" x14ac:dyDescent="0.35">
      <c r="B35" s="47"/>
      <c r="C35" s="47"/>
      <c r="D35" s="128" t="str">
        <f t="shared" si="2"/>
        <v/>
      </c>
      <c r="E35" s="48"/>
      <c r="F35" s="255"/>
      <c r="G35" s="256"/>
      <c r="H35" s="152"/>
    </row>
    <row r="36" spans="2:8" s="43" customFormat="1" ht="15" thickBot="1" x14ac:dyDescent="0.35">
      <c r="B36" s="135" t="s">
        <v>43</v>
      </c>
      <c r="C36" s="66">
        <f>SUM(C28:C35)</f>
        <v>33</v>
      </c>
      <c r="D36" s="135" t="str">
        <f xml:space="preserve"> setValueToTime(C36)</f>
        <v>2h 45 min</v>
      </c>
      <c r="E36" s="96"/>
      <c r="F36" s="263"/>
      <c r="G36" s="264"/>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29</v>
      </c>
      <c r="D38" s="137"/>
      <c r="E38" s="130" t="s">
        <v>37</v>
      </c>
      <c r="F38" s="131">
        <v>46090</v>
      </c>
      <c r="G38" s="132"/>
      <c r="H38" s="151"/>
    </row>
    <row r="39" spans="2:8" s="39" customFormat="1" ht="30" customHeight="1" thickBot="1" x14ac:dyDescent="0.3">
      <c r="B39" s="61" t="s">
        <v>38</v>
      </c>
      <c r="C39" s="134" t="s">
        <v>39</v>
      </c>
      <c r="D39" s="133"/>
      <c r="E39" s="61" t="s">
        <v>40</v>
      </c>
      <c r="F39" s="265" t="s">
        <v>41</v>
      </c>
      <c r="G39" s="266"/>
      <c r="H39" s="151"/>
    </row>
    <row r="40" spans="2:8" s="43" customFormat="1" ht="27" x14ac:dyDescent="0.3">
      <c r="B40" s="40" t="s">
        <v>30</v>
      </c>
      <c r="C40" s="41">
        <v>4</v>
      </c>
      <c r="D40" s="125" t="str">
        <f xml:space="preserve"> IF(C40="","",setValueToTime(C40))</f>
        <v xml:space="preserve"> 20 min</v>
      </c>
      <c r="E40" s="42"/>
      <c r="F40" s="261"/>
      <c r="G40" s="262"/>
      <c r="H40" s="152"/>
    </row>
    <row r="41" spans="2:8" s="43" customFormat="1" x14ac:dyDescent="0.3">
      <c r="B41" s="44" t="s">
        <v>31</v>
      </c>
      <c r="C41" s="45">
        <v>20</v>
      </c>
      <c r="D41" s="126" t="str">
        <f t="shared" ref="D41:D47" si="3" xml:space="preserve"> IF(C41="","",setValueToTime(C41))</f>
        <v>1h 40 min</v>
      </c>
      <c r="E41" s="46" t="s">
        <v>269</v>
      </c>
      <c r="F41" s="253"/>
      <c r="G41" s="254"/>
      <c r="H41" s="152"/>
    </row>
    <row r="42" spans="2:8" s="43" customFormat="1" x14ac:dyDescent="0.3">
      <c r="B42" s="44" t="s">
        <v>167</v>
      </c>
      <c r="C42" s="45">
        <v>12</v>
      </c>
      <c r="D42" s="126" t="str">
        <f t="shared" si="3"/>
        <v>1h</v>
      </c>
      <c r="E42" s="46" t="s">
        <v>270</v>
      </c>
      <c r="F42" s="253"/>
      <c r="G42" s="254"/>
      <c r="H42" s="152"/>
    </row>
    <row r="43" spans="2:8" s="43" customFormat="1" x14ac:dyDescent="0.3">
      <c r="B43" s="44"/>
      <c r="C43" s="45"/>
      <c r="D43" s="126" t="str">
        <f t="shared" si="3"/>
        <v/>
      </c>
      <c r="E43" s="46"/>
      <c r="F43" s="253"/>
      <c r="G43" s="254"/>
      <c r="H43" s="152"/>
    </row>
    <row r="44" spans="2:8" s="43" customFormat="1" x14ac:dyDescent="0.3">
      <c r="B44" s="45"/>
      <c r="C44" s="45"/>
      <c r="D44" s="127" t="str">
        <f t="shared" si="3"/>
        <v/>
      </c>
      <c r="E44" s="46"/>
      <c r="F44" s="253"/>
      <c r="G44" s="254"/>
      <c r="H44" s="152"/>
    </row>
    <row r="45" spans="2:8" s="43" customFormat="1" x14ac:dyDescent="0.3">
      <c r="B45" s="45"/>
      <c r="C45" s="45"/>
      <c r="D45" s="127" t="str">
        <f t="shared" si="3"/>
        <v/>
      </c>
      <c r="E45" s="46"/>
      <c r="F45" s="253"/>
      <c r="G45" s="254"/>
      <c r="H45" s="152"/>
    </row>
    <row r="46" spans="2:8" s="43" customFormat="1" x14ac:dyDescent="0.3">
      <c r="B46" s="45"/>
      <c r="C46" s="45"/>
      <c r="D46" s="127" t="str">
        <f t="shared" si="3"/>
        <v/>
      </c>
      <c r="E46" s="46"/>
      <c r="F46" s="253"/>
      <c r="G46" s="254"/>
      <c r="H46" s="152"/>
    </row>
    <row r="47" spans="2:8" s="43" customFormat="1" ht="15" thickBot="1" x14ac:dyDescent="0.35">
      <c r="B47" s="47"/>
      <c r="C47" s="47"/>
      <c r="D47" s="128" t="str">
        <f t="shared" si="3"/>
        <v/>
      </c>
      <c r="E47" s="48"/>
      <c r="F47" s="255"/>
      <c r="G47" s="256"/>
      <c r="H47" s="152"/>
    </row>
    <row r="48" spans="2:8" s="43" customFormat="1" ht="15" thickBot="1" x14ac:dyDescent="0.35">
      <c r="B48" s="135" t="s">
        <v>43</v>
      </c>
      <c r="C48" s="66">
        <f>SUM(C40:C47)</f>
        <v>36</v>
      </c>
      <c r="D48" s="135" t="str">
        <f xml:space="preserve"> setValueToTime(C48)</f>
        <v>3h</v>
      </c>
      <c r="E48" s="96"/>
      <c r="F48" s="263"/>
      <c r="G48" s="264"/>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28</v>
      </c>
      <c r="D50" s="137"/>
      <c r="E50" s="130" t="s">
        <v>37</v>
      </c>
      <c r="F50" s="131" t="s">
        <v>58</v>
      </c>
      <c r="G50" s="132" t="s">
        <v>55</v>
      </c>
      <c r="H50" s="151"/>
    </row>
    <row r="51" spans="2:8" s="39" customFormat="1" ht="30" customHeight="1" thickBot="1" x14ac:dyDescent="0.3">
      <c r="B51" s="61" t="s">
        <v>38</v>
      </c>
      <c r="C51" s="134" t="s">
        <v>39</v>
      </c>
      <c r="D51" s="133"/>
      <c r="E51" s="61" t="s">
        <v>40</v>
      </c>
      <c r="F51" s="265" t="s">
        <v>41</v>
      </c>
      <c r="G51" s="266"/>
      <c r="H51" s="151"/>
    </row>
    <row r="52" spans="2:8" s="43" customFormat="1" x14ac:dyDescent="0.3">
      <c r="B52" s="40" t="s">
        <v>33</v>
      </c>
      <c r="C52" s="41">
        <v>9</v>
      </c>
      <c r="D52" s="125" t="str">
        <f xml:space="preserve"> IF(C52="","",setValueToTime(C52))</f>
        <v xml:space="preserve"> 45 min</v>
      </c>
      <c r="E52" s="42" t="s">
        <v>260</v>
      </c>
      <c r="F52" s="261"/>
      <c r="G52" s="262"/>
      <c r="H52" s="152"/>
    </row>
    <row r="53" spans="2:8" s="43" customFormat="1" ht="27" x14ac:dyDescent="0.3">
      <c r="B53" s="44" t="s">
        <v>30</v>
      </c>
      <c r="C53" s="45">
        <v>3</v>
      </c>
      <c r="D53" s="126" t="str">
        <f t="shared" ref="D53:D59" si="4" xml:space="preserve"> IF(C53="","",setValueToTime(C53))</f>
        <v xml:space="preserve"> 15 min</v>
      </c>
      <c r="E53" s="46"/>
      <c r="F53" s="253"/>
      <c r="G53" s="254"/>
      <c r="H53" s="152"/>
    </row>
    <row r="54" spans="2:8" s="43" customFormat="1" ht="40.5" x14ac:dyDescent="0.3">
      <c r="B54" s="44" t="s">
        <v>31</v>
      </c>
      <c r="C54" s="45">
        <v>24</v>
      </c>
      <c r="D54" s="126" t="str">
        <f t="shared" si="4"/>
        <v>2h</v>
      </c>
      <c r="E54" s="46" t="s">
        <v>261</v>
      </c>
      <c r="F54" s="253"/>
      <c r="G54" s="254"/>
      <c r="H54" s="152"/>
    </row>
    <row r="55" spans="2:8" s="43" customFormat="1" x14ac:dyDescent="0.3">
      <c r="B55" s="44"/>
      <c r="C55" s="45"/>
      <c r="D55" s="126" t="str">
        <f t="shared" si="4"/>
        <v/>
      </c>
      <c r="E55" s="46"/>
      <c r="F55" s="253"/>
      <c r="G55" s="254"/>
      <c r="H55" s="152"/>
    </row>
    <row r="56" spans="2:8" s="43" customFormat="1" x14ac:dyDescent="0.3">
      <c r="B56" s="45"/>
      <c r="C56" s="45"/>
      <c r="D56" s="127" t="str">
        <f t="shared" si="4"/>
        <v/>
      </c>
      <c r="E56" s="46"/>
      <c r="F56" s="253"/>
      <c r="G56" s="254"/>
      <c r="H56" s="152"/>
    </row>
    <row r="57" spans="2:8" s="43" customFormat="1" x14ac:dyDescent="0.3">
      <c r="B57" s="45"/>
      <c r="C57" s="45"/>
      <c r="D57" s="127" t="str">
        <f t="shared" si="4"/>
        <v/>
      </c>
      <c r="E57" s="46"/>
      <c r="F57" s="253"/>
      <c r="G57" s="254"/>
      <c r="H57" s="152"/>
    </row>
    <row r="58" spans="2:8" s="43" customFormat="1" x14ac:dyDescent="0.3">
      <c r="B58" s="45"/>
      <c r="C58" s="45"/>
      <c r="D58" s="127" t="str">
        <f t="shared" si="4"/>
        <v/>
      </c>
      <c r="E58" s="46"/>
      <c r="F58" s="253"/>
      <c r="G58" s="254"/>
      <c r="H58" s="152"/>
    </row>
    <row r="59" spans="2:8" s="43" customFormat="1" ht="15" thickBot="1" x14ac:dyDescent="0.35">
      <c r="B59" s="47"/>
      <c r="C59" s="47"/>
      <c r="D59" s="128" t="str">
        <f t="shared" si="4"/>
        <v/>
      </c>
      <c r="E59" s="48"/>
      <c r="F59" s="255"/>
      <c r="G59" s="256"/>
      <c r="H59" s="152"/>
    </row>
    <row r="60" spans="2:8" s="43" customFormat="1" ht="15" thickBot="1" x14ac:dyDescent="0.35">
      <c r="B60" s="135" t="s">
        <v>43</v>
      </c>
      <c r="C60" s="66">
        <f>SUM(C52:C59)</f>
        <v>36</v>
      </c>
      <c r="D60" s="135" t="str">
        <f xml:space="preserve"> setValueToTime(C60)</f>
        <v>3h</v>
      </c>
      <c r="E60" s="96"/>
      <c r="F60" s="263"/>
      <c r="G60" s="264"/>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27</v>
      </c>
      <c r="D62" s="137"/>
      <c r="E62" s="130" t="s">
        <v>37</v>
      </c>
      <c r="F62" s="131" t="s">
        <v>58</v>
      </c>
      <c r="G62" s="132" t="s">
        <v>56</v>
      </c>
      <c r="H62" s="151"/>
    </row>
    <row r="63" spans="2:8" s="39" customFormat="1" ht="30" customHeight="1" thickBot="1" x14ac:dyDescent="0.3">
      <c r="B63" s="61" t="s">
        <v>38</v>
      </c>
      <c r="C63" s="134" t="s">
        <v>39</v>
      </c>
      <c r="D63" s="133"/>
      <c r="E63" s="61" t="s">
        <v>40</v>
      </c>
      <c r="F63" s="265" t="s">
        <v>41</v>
      </c>
      <c r="G63" s="266"/>
      <c r="H63" s="151"/>
    </row>
    <row r="64" spans="2:8" s="43" customFormat="1" x14ac:dyDescent="0.3">
      <c r="B64" s="40" t="s">
        <v>33</v>
      </c>
      <c r="C64" s="41">
        <v>8</v>
      </c>
      <c r="D64" s="125" t="str">
        <f xml:space="preserve"> IF(C64="","",setValueToTime(C64))</f>
        <v xml:space="preserve"> 40 min</v>
      </c>
      <c r="E64" s="42" t="s">
        <v>259</v>
      </c>
      <c r="F64" s="261"/>
      <c r="G64" s="262"/>
      <c r="H64" s="152"/>
    </row>
    <row r="65" spans="2:8" s="43" customFormat="1" x14ac:dyDescent="0.3">
      <c r="B65" s="44" t="s">
        <v>165</v>
      </c>
      <c r="C65" s="45">
        <v>6</v>
      </c>
      <c r="D65" s="126" t="str">
        <f t="shared" ref="D65:D71" si="5" xml:space="preserve"> IF(C65="","",setValueToTime(C65))</f>
        <v xml:space="preserve"> 30 min</v>
      </c>
      <c r="E65" s="46" t="s">
        <v>262</v>
      </c>
      <c r="F65" s="253"/>
      <c r="G65" s="254"/>
      <c r="H65" s="152"/>
    </row>
    <row r="66" spans="2:8" s="43" customFormat="1" ht="27" x14ac:dyDescent="0.3">
      <c r="B66" s="44" t="s">
        <v>30</v>
      </c>
      <c r="C66" s="45">
        <v>3</v>
      </c>
      <c r="D66" s="126" t="str">
        <f t="shared" si="5"/>
        <v xml:space="preserve"> 15 min</v>
      </c>
      <c r="E66" s="46"/>
      <c r="F66" s="253"/>
      <c r="G66" s="254"/>
      <c r="H66" s="152"/>
    </row>
    <row r="67" spans="2:8" s="43" customFormat="1" x14ac:dyDescent="0.3">
      <c r="B67" s="44" t="s">
        <v>31</v>
      </c>
      <c r="C67" s="45">
        <v>19</v>
      </c>
      <c r="D67" s="126" t="str">
        <f t="shared" si="5"/>
        <v>1h 35 min</v>
      </c>
      <c r="E67" s="46" t="s">
        <v>258</v>
      </c>
      <c r="F67" s="253"/>
      <c r="G67" s="254"/>
      <c r="H67" s="152"/>
    </row>
    <row r="68" spans="2:8" s="43" customFormat="1" x14ac:dyDescent="0.3">
      <c r="B68" s="45" t="s">
        <v>27</v>
      </c>
      <c r="C68" s="45">
        <v>6</v>
      </c>
      <c r="D68" s="127" t="str">
        <f t="shared" si="5"/>
        <v xml:space="preserve"> 30 min</v>
      </c>
      <c r="E68" s="46" t="s">
        <v>257</v>
      </c>
      <c r="F68" s="253"/>
      <c r="G68" s="254"/>
      <c r="H68" s="152"/>
    </row>
    <row r="69" spans="2:8" s="43" customFormat="1" x14ac:dyDescent="0.3">
      <c r="B69" s="45"/>
      <c r="C69" s="45"/>
      <c r="D69" s="127" t="str">
        <f t="shared" si="5"/>
        <v/>
      </c>
      <c r="E69" s="46"/>
      <c r="F69" s="253"/>
      <c r="G69" s="254"/>
      <c r="H69" s="152"/>
    </row>
    <row r="70" spans="2:8" s="43" customFormat="1" x14ac:dyDescent="0.3">
      <c r="B70" s="45"/>
      <c r="C70" s="45"/>
      <c r="D70" s="127" t="str">
        <f t="shared" si="5"/>
        <v/>
      </c>
      <c r="E70" s="46"/>
      <c r="F70" s="253"/>
      <c r="G70" s="254"/>
      <c r="H70" s="152"/>
    </row>
    <row r="71" spans="2:8" s="43" customFormat="1" ht="15" thickBot="1" x14ac:dyDescent="0.35">
      <c r="B71" s="47"/>
      <c r="C71" s="47"/>
      <c r="D71" s="128" t="str">
        <f t="shared" si="5"/>
        <v/>
      </c>
      <c r="E71" s="48"/>
      <c r="F71" s="255"/>
      <c r="G71" s="256"/>
      <c r="H71" s="152"/>
    </row>
    <row r="72" spans="2:8" s="43" customFormat="1" ht="15" thickBot="1" x14ac:dyDescent="0.35">
      <c r="B72" s="135" t="s">
        <v>43</v>
      </c>
      <c r="C72" s="66">
        <f>SUM(C64:C71)</f>
        <v>42</v>
      </c>
      <c r="D72" s="135" t="str">
        <f xml:space="preserve"> setValueToTime(C72)</f>
        <v>3h 30 min</v>
      </c>
      <c r="E72" s="96"/>
      <c r="F72" s="263"/>
      <c r="G72" s="264"/>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26</v>
      </c>
      <c r="D74" s="137"/>
      <c r="E74" s="130" t="s">
        <v>37</v>
      </c>
      <c r="F74" s="131" t="s">
        <v>61</v>
      </c>
      <c r="G74" s="132" t="s">
        <v>55</v>
      </c>
      <c r="H74" s="151"/>
    </row>
    <row r="75" spans="2:8" s="39" customFormat="1" ht="30" customHeight="1" thickBot="1" x14ac:dyDescent="0.3">
      <c r="B75" s="61" t="s">
        <v>38</v>
      </c>
      <c r="C75" s="134" t="s">
        <v>39</v>
      </c>
      <c r="D75" s="133"/>
      <c r="E75" s="61" t="s">
        <v>40</v>
      </c>
      <c r="F75" s="265" t="s">
        <v>41</v>
      </c>
      <c r="G75" s="266"/>
      <c r="H75" s="151"/>
    </row>
    <row r="76" spans="2:8" s="43" customFormat="1" ht="27" x14ac:dyDescent="0.3">
      <c r="B76" s="40" t="s">
        <v>30</v>
      </c>
      <c r="C76" s="41">
        <v>3</v>
      </c>
      <c r="D76" s="125" t="str">
        <f xml:space="preserve"> IF(C76="","",setValueToTime(C76))</f>
        <v xml:space="preserve"> 15 min</v>
      </c>
      <c r="E76" s="42"/>
      <c r="F76" s="261"/>
      <c r="G76" s="262"/>
      <c r="H76" s="152"/>
    </row>
    <row r="77" spans="2:8" s="43" customFormat="1" ht="27" x14ac:dyDescent="0.3">
      <c r="B77" s="44" t="s">
        <v>49</v>
      </c>
      <c r="C77" s="45">
        <v>7</v>
      </c>
      <c r="D77" s="126" t="str">
        <f t="shared" ref="D77:D83" si="6" xml:space="preserve"> IF(C77="","",setValueToTime(C77))</f>
        <v xml:space="preserve"> 35 min</v>
      </c>
      <c r="E77" s="46" t="s">
        <v>255</v>
      </c>
      <c r="F77" s="253"/>
      <c r="G77" s="254"/>
      <c r="H77" s="152"/>
    </row>
    <row r="78" spans="2:8" s="43" customFormat="1" x14ac:dyDescent="0.3">
      <c r="B78" s="44" t="s">
        <v>31</v>
      </c>
      <c r="C78" s="45">
        <v>16</v>
      </c>
      <c r="D78" s="126" t="str">
        <f t="shared" si="6"/>
        <v>1h 20 min</v>
      </c>
      <c r="E78" s="46" t="s">
        <v>263</v>
      </c>
      <c r="F78" s="253"/>
      <c r="G78" s="254"/>
      <c r="H78" s="152"/>
    </row>
    <row r="79" spans="2:8" s="43" customFormat="1" x14ac:dyDescent="0.3">
      <c r="B79" s="44" t="s">
        <v>165</v>
      </c>
      <c r="C79" s="45">
        <v>10</v>
      </c>
      <c r="D79" s="126" t="str">
        <f t="shared" si="6"/>
        <v xml:space="preserve"> 50 min</v>
      </c>
      <c r="E79" s="46" t="s">
        <v>256</v>
      </c>
      <c r="F79" s="253"/>
      <c r="G79" s="254"/>
      <c r="H79" s="152"/>
    </row>
    <row r="80" spans="2:8" s="43" customFormat="1" x14ac:dyDescent="0.3">
      <c r="B80" s="45"/>
      <c r="C80" s="45"/>
      <c r="D80" s="127" t="str">
        <f t="shared" si="6"/>
        <v/>
      </c>
      <c r="E80" s="46"/>
      <c r="F80" s="253"/>
      <c r="G80" s="254"/>
      <c r="H80" s="152"/>
    </row>
    <row r="81" spans="2:8" s="43" customFormat="1" x14ac:dyDescent="0.3">
      <c r="B81" s="45"/>
      <c r="C81" s="45"/>
      <c r="D81" s="127" t="str">
        <f t="shared" si="6"/>
        <v/>
      </c>
      <c r="E81" s="46"/>
      <c r="F81" s="253"/>
      <c r="G81" s="254"/>
      <c r="H81" s="152"/>
    </row>
    <row r="82" spans="2:8" s="43" customFormat="1" x14ac:dyDescent="0.3">
      <c r="B82" s="45"/>
      <c r="C82" s="45"/>
      <c r="D82" s="127" t="str">
        <f t="shared" si="6"/>
        <v/>
      </c>
      <c r="E82" s="46"/>
      <c r="F82" s="253"/>
      <c r="G82" s="254"/>
      <c r="H82" s="152"/>
    </row>
    <row r="83" spans="2:8" s="43" customFormat="1" ht="15" thickBot="1" x14ac:dyDescent="0.35">
      <c r="B83" s="47"/>
      <c r="C83" s="47"/>
      <c r="D83" s="128" t="str">
        <f t="shared" si="6"/>
        <v/>
      </c>
      <c r="E83" s="48"/>
      <c r="F83" s="255"/>
      <c r="G83" s="256"/>
      <c r="H83" s="152"/>
    </row>
    <row r="84" spans="2:8" s="43" customFormat="1" ht="15" thickBot="1" x14ac:dyDescent="0.35">
      <c r="B84" s="135" t="s">
        <v>43</v>
      </c>
      <c r="C84" s="66">
        <f>SUM(C76:C83)</f>
        <v>36</v>
      </c>
      <c r="D84" s="135" t="str">
        <f xml:space="preserve"> setValueToTime(C84)</f>
        <v>3h</v>
      </c>
      <c r="E84" s="96"/>
      <c r="F84" s="263"/>
      <c r="G84" s="264"/>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25</v>
      </c>
      <c r="D86" s="137"/>
      <c r="E86" s="130" t="s">
        <v>37</v>
      </c>
      <c r="F86" s="131" t="s">
        <v>61</v>
      </c>
      <c r="G86" s="132" t="s">
        <v>56</v>
      </c>
      <c r="H86" s="151"/>
    </row>
    <row r="87" spans="2:8" s="39" customFormat="1" ht="30" customHeight="1" thickBot="1" x14ac:dyDescent="0.3">
      <c r="B87" s="61" t="s">
        <v>38</v>
      </c>
      <c r="C87" s="134" t="s">
        <v>39</v>
      </c>
      <c r="D87" s="133"/>
      <c r="E87" s="61" t="s">
        <v>40</v>
      </c>
      <c r="F87" s="265" t="s">
        <v>41</v>
      </c>
      <c r="G87" s="266"/>
      <c r="H87" s="151"/>
    </row>
    <row r="88" spans="2:8" s="43" customFormat="1" ht="27.75" thickBot="1" x14ac:dyDescent="0.35">
      <c r="B88" s="40" t="s">
        <v>30</v>
      </c>
      <c r="C88" s="41">
        <v>3</v>
      </c>
      <c r="D88" s="125" t="str">
        <f xml:space="preserve"> IF(C88="","",setValueToTime(C88))</f>
        <v xml:space="preserve"> 15 min</v>
      </c>
      <c r="E88" s="42"/>
      <c r="F88" s="261"/>
      <c r="G88" s="262"/>
      <c r="H88" s="152"/>
    </row>
    <row r="89" spans="2:8" s="43" customFormat="1" ht="27" x14ac:dyDescent="0.3">
      <c r="B89" s="44" t="s">
        <v>31</v>
      </c>
      <c r="C89" s="45">
        <v>30</v>
      </c>
      <c r="D89" s="126" t="str">
        <f t="shared" ref="D89:D95" si="7" xml:space="preserve"> IF(C89="","",setValueToTime(C89))</f>
        <v>2h 30 min</v>
      </c>
      <c r="E89" s="42" t="s">
        <v>253</v>
      </c>
      <c r="F89" s="253"/>
      <c r="G89" s="254"/>
      <c r="H89" s="152"/>
    </row>
    <row r="90" spans="2:8" s="43" customFormat="1" x14ac:dyDescent="0.3">
      <c r="B90" s="44" t="s">
        <v>165</v>
      </c>
      <c r="C90" s="45">
        <v>9</v>
      </c>
      <c r="D90" s="126" t="str">
        <f t="shared" si="7"/>
        <v xml:space="preserve"> 45 min</v>
      </c>
      <c r="E90" s="46" t="s">
        <v>254</v>
      </c>
      <c r="F90" s="253"/>
      <c r="G90" s="254"/>
      <c r="H90" s="152"/>
    </row>
    <row r="91" spans="2:8" s="43" customFormat="1" x14ac:dyDescent="0.3">
      <c r="B91" s="44"/>
      <c r="C91" s="45"/>
      <c r="D91" s="126" t="str">
        <f t="shared" si="7"/>
        <v/>
      </c>
      <c r="E91" s="46"/>
      <c r="F91" s="253"/>
      <c r="G91" s="254"/>
      <c r="H91" s="152"/>
    </row>
    <row r="92" spans="2:8" s="43" customFormat="1" x14ac:dyDescent="0.3">
      <c r="B92" s="45"/>
      <c r="C92" s="45"/>
      <c r="D92" s="127" t="str">
        <f t="shared" si="7"/>
        <v/>
      </c>
      <c r="E92" s="46"/>
      <c r="F92" s="253"/>
      <c r="G92" s="254"/>
      <c r="H92" s="152"/>
    </row>
    <row r="93" spans="2:8" s="43" customFormat="1" x14ac:dyDescent="0.3">
      <c r="B93" s="45"/>
      <c r="C93" s="45"/>
      <c r="D93" s="127" t="str">
        <f t="shared" si="7"/>
        <v/>
      </c>
      <c r="E93" s="46"/>
      <c r="F93" s="253"/>
      <c r="G93" s="254"/>
      <c r="H93" s="152"/>
    </row>
    <row r="94" spans="2:8" s="43" customFormat="1" x14ac:dyDescent="0.3">
      <c r="B94" s="45"/>
      <c r="C94" s="45"/>
      <c r="D94" s="127" t="str">
        <f t="shared" si="7"/>
        <v/>
      </c>
      <c r="E94" s="46"/>
      <c r="F94" s="253"/>
      <c r="G94" s="254"/>
      <c r="H94" s="152"/>
    </row>
    <row r="95" spans="2:8" s="43" customFormat="1" ht="15" thickBot="1" x14ac:dyDescent="0.35">
      <c r="B95" s="47"/>
      <c r="C95" s="47"/>
      <c r="D95" s="128" t="str">
        <f t="shared" si="7"/>
        <v/>
      </c>
      <c r="E95" s="48"/>
      <c r="F95" s="255"/>
      <c r="G95" s="256"/>
      <c r="H95" s="152"/>
    </row>
    <row r="96" spans="2:8" s="43" customFormat="1" ht="15" thickBot="1" x14ac:dyDescent="0.35">
      <c r="B96" s="135" t="s">
        <v>43</v>
      </c>
      <c r="C96" s="66">
        <f>SUM(C88:C95)</f>
        <v>42</v>
      </c>
      <c r="D96" s="135" t="str">
        <f xml:space="preserve"> setValueToTime(C96)</f>
        <v>3h 30 min</v>
      </c>
      <c r="E96" s="96"/>
      <c r="F96" s="263"/>
      <c r="G96" s="264"/>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24</v>
      </c>
      <c r="D98" s="137"/>
      <c r="E98" s="130" t="s">
        <v>37</v>
      </c>
      <c r="F98" s="131" t="s">
        <v>64</v>
      </c>
      <c r="G98" s="132" t="s">
        <v>55</v>
      </c>
      <c r="H98" s="151"/>
    </row>
    <row r="99" spans="2:8" s="39" customFormat="1" ht="30" customHeight="1" thickBot="1" x14ac:dyDescent="0.3">
      <c r="B99" s="61" t="s">
        <v>38</v>
      </c>
      <c r="C99" s="134" t="s">
        <v>39</v>
      </c>
      <c r="D99" s="133"/>
      <c r="E99" s="61" t="s">
        <v>40</v>
      </c>
      <c r="F99" s="265" t="s">
        <v>41</v>
      </c>
      <c r="G99" s="266"/>
      <c r="H99" s="151"/>
    </row>
    <row r="100" spans="2:8" s="43" customFormat="1" ht="27" x14ac:dyDescent="0.3">
      <c r="B100" s="40" t="s">
        <v>31</v>
      </c>
      <c r="C100" s="41">
        <v>18</v>
      </c>
      <c r="D100" s="125" t="str">
        <f xml:space="preserve"> IF(C100="","",setValueToTime(C100))</f>
        <v>1h 30 min</v>
      </c>
      <c r="E100" s="46" t="s">
        <v>264</v>
      </c>
      <c r="F100" s="261"/>
      <c r="G100" s="262"/>
      <c r="H100" s="152"/>
    </row>
    <row r="101" spans="2:8" s="43" customFormat="1" ht="27" x14ac:dyDescent="0.3">
      <c r="B101" s="44" t="s">
        <v>30</v>
      </c>
      <c r="C101" s="45">
        <v>3</v>
      </c>
      <c r="D101" s="126" t="str">
        <f t="shared" ref="D101:D107" si="8" xml:space="preserve"> IF(C101="","",setValueToTime(C101))</f>
        <v xml:space="preserve"> 15 min</v>
      </c>
      <c r="E101" s="46"/>
      <c r="F101" s="253"/>
      <c r="G101" s="254"/>
      <c r="H101" s="152"/>
    </row>
    <row r="102" spans="2:8" s="43" customFormat="1" x14ac:dyDescent="0.3">
      <c r="B102" s="44" t="s">
        <v>109</v>
      </c>
      <c r="C102" s="45">
        <v>6</v>
      </c>
      <c r="D102" s="126" t="str">
        <f t="shared" si="8"/>
        <v xml:space="preserve"> 30 min</v>
      </c>
      <c r="E102" s="46" t="s">
        <v>251</v>
      </c>
      <c r="F102" s="253"/>
      <c r="G102" s="254"/>
      <c r="H102" s="152"/>
    </row>
    <row r="103" spans="2:8" s="43" customFormat="1" x14ac:dyDescent="0.3">
      <c r="B103" s="44" t="s">
        <v>33</v>
      </c>
      <c r="C103" s="45">
        <v>9</v>
      </c>
      <c r="D103" s="126" t="str">
        <f t="shared" si="8"/>
        <v xml:space="preserve"> 45 min</v>
      </c>
      <c r="E103" s="46" t="s">
        <v>265</v>
      </c>
      <c r="F103" s="253"/>
      <c r="G103" s="254"/>
      <c r="H103" s="152"/>
    </row>
    <row r="104" spans="2:8" s="43" customFormat="1" x14ac:dyDescent="0.3">
      <c r="B104" s="45"/>
      <c r="C104" s="45"/>
      <c r="D104" s="127" t="str">
        <f t="shared" si="8"/>
        <v/>
      </c>
      <c r="E104" s="46"/>
      <c r="F104" s="253"/>
      <c r="G104" s="254"/>
      <c r="H104" s="152"/>
    </row>
    <row r="105" spans="2:8" s="43" customFormat="1" x14ac:dyDescent="0.3">
      <c r="B105" s="45"/>
      <c r="C105" s="45"/>
      <c r="D105" s="127" t="str">
        <f t="shared" si="8"/>
        <v/>
      </c>
      <c r="E105" s="46"/>
      <c r="F105" s="253"/>
      <c r="G105" s="254"/>
      <c r="H105" s="152"/>
    </row>
    <row r="106" spans="2:8" s="43" customFormat="1" x14ac:dyDescent="0.3">
      <c r="B106" s="45"/>
      <c r="C106" s="45"/>
      <c r="D106" s="127" t="str">
        <f t="shared" si="8"/>
        <v/>
      </c>
      <c r="E106" s="46"/>
      <c r="F106" s="253"/>
      <c r="G106" s="254"/>
      <c r="H106" s="152"/>
    </row>
    <row r="107" spans="2:8" s="43" customFormat="1" ht="15" thickBot="1" x14ac:dyDescent="0.35">
      <c r="B107" s="47"/>
      <c r="C107" s="47"/>
      <c r="D107" s="128" t="str">
        <f t="shared" si="8"/>
        <v/>
      </c>
      <c r="E107" s="48"/>
      <c r="F107" s="255"/>
      <c r="G107" s="256"/>
      <c r="H107" s="152"/>
    </row>
    <row r="108" spans="2:8" s="43" customFormat="1" ht="15" thickBot="1" x14ac:dyDescent="0.35">
      <c r="B108" s="135" t="s">
        <v>43</v>
      </c>
      <c r="C108" s="66">
        <f>SUM(C100:C107)</f>
        <v>36</v>
      </c>
      <c r="D108" s="135" t="str">
        <f xml:space="preserve"> setValueToTime(C108)</f>
        <v>3h</v>
      </c>
      <c r="E108" s="96"/>
      <c r="F108" s="263"/>
      <c r="G108" s="264"/>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23</v>
      </c>
      <c r="D110" s="137"/>
      <c r="E110" s="130" t="s">
        <v>37</v>
      </c>
      <c r="F110" s="131" t="s">
        <v>64</v>
      </c>
      <c r="G110" s="132" t="s">
        <v>56</v>
      </c>
      <c r="H110" s="151"/>
    </row>
    <row r="111" spans="2:8" s="39" customFormat="1" ht="30" customHeight="1" thickBot="1" x14ac:dyDescent="0.3">
      <c r="B111" s="61" t="s">
        <v>38</v>
      </c>
      <c r="C111" s="134" t="s">
        <v>39</v>
      </c>
      <c r="D111" s="133"/>
      <c r="E111" s="61" t="s">
        <v>40</v>
      </c>
      <c r="F111" s="265" t="s">
        <v>41</v>
      </c>
      <c r="G111" s="266"/>
      <c r="H111" s="151"/>
    </row>
    <row r="112" spans="2:8" s="43" customFormat="1" ht="27" x14ac:dyDescent="0.3">
      <c r="B112" s="40" t="s">
        <v>30</v>
      </c>
      <c r="C112" s="41">
        <v>3</v>
      </c>
      <c r="D112" s="125" t="str">
        <f xml:space="preserve"> IF(C112="","",setValueToTime(C112))</f>
        <v xml:space="preserve"> 15 min</v>
      </c>
      <c r="E112" s="42"/>
      <c r="F112" s="261"/>
      <c r="G112" s="262"/>
      <c r="H112" s="152"/>
    </row>
    <row r="113" spans="2:8" s="43" customFormat="1" ht="27" x14ac:dyDescent="0.3">
      <c r="B113" s="44" t="s">
        <v>31</v>
      </c>
      <c r="C113" s="45">
        <v>27</v>
      </c>
      <c r="D113" s="126" t="str">
        <f t="shared" ref="D113:D119" si="9" xml:space="preserve"> IF(C113="","",setValueToTime(C113))</f>
        <v>2h 15 min</v>
      </c>
      <c r="E113" s="46" t="s">
        <v>250</v>
      </c>
      <c r="F113" s="253"/>
      <c r="G113" s="254"/>
      <c r="H113" s="152"/>
    </row>
    <row r="114" spans="2:8" s="43" customFormat="1" ht="40.5" x14ac:dyDescent="0.3">
      <c r="B114" s="44" t="s">
        <v>164</v>
      </c>
      <c r="C114" s="45">
        <v>12</v>
      </c>
      <c r="D114" s="126" t="str">
        <f t="shared" si="9"/>
        <v>1h</v>
      </c>
      <c r="E114" s="46" t="s">
        <v>247</v>
      </c>
      <c r="F114" s="253"/>
      <c r="G114" s="254"/>
      <c r="H114" s="152"/>
    </row>
    <row r="115" spans="2:8" s="43" customFormat="1" x14ac:dyDescent="0.3">
      <c r="B115" s="44"/>
      <c r="C115" s="45"/>
      <c r="D115" s="126" t="str">
        <f t="shared" si="9"/>
        <v/>
      </c>
      <c r="E115" s="46"/>
      <c r="F115" s="253"/>
      <c r="G115" s="254"/>
      <c r="H115" s="152"/>
    </row>
    <row r="116" spans="2:8" s="43" customFormat="1" x14ac:dyDescent="0.3">
      <c r="B116" s="45"/>
      <c r="C116" s="45"/>
      <c r="D116" s="127" t="str">
        <f t="shared" si="9"/>
        <v/>
      </c>
      <c r="E116" s="46"/>
      <c r="F116" s="253"/>
      <c r="G116" s="254"/>
      <c r="H116" s="152"/>
    </row>
    <row r="117" spans="2:8" s="43" customFormat="1" x14ac:dyDescent="0.3">
      <c r="B117" s="45"/>
      <c r="C117" s="45"/>
      <c r="D117" s="127" t="str">
        <f t="shared" si="9"/>
        <v/>
      </c>
      <c r="E117" s="46"/>
      <c r="F117" s="253"/>
      <c r="G117" s="254"/>
      <c r="H117" s="152"/>
    </row>
    <row r="118" spans="2:8" s="43" customFormat="1" x14ac:dyDescent="0.3">
      <c r="B118" s="45"/>
      <c r="C118" s="45"/>
      <c r="D118" s="127" t="str">
        <f t="shared" si="9"/>
        <v/>
      </c>
      <c r="E118" s="46"/>
      <c r="F118" s="253"/>
      <c r="G118" s="254"/>
      <c r="H118" s="152"/>
    </row>
    <row r="119" spans="2:8" s="43" customFormat="1" ht="15" thickBot="1" x14ac:dyDescent="0.35">
      <c r="B119" s="47"/>
      <c r="C119" s="47"/>
      <c r="D119" s="128" t="str">
        <f t="shared" si="9"/>
        <v/>
      </c>
      <c r="E119" s="48"/>
      <c r="F119" s="255"/>
      <c r="G119" s="256"/>
      <c r="H119" s="152"/>
    </row>
    <row r="120" spans="2:8" s="43" customFormat="1" ht="15" thickBot="1" x14ac:dyDescent="0.35">
      <c r="B120" s="135" t="s">
        <v>43</v>
      </c>
      <c r="C120" s="66">
        <f>SUM(C112:C119)</f>
        <v>42</v>
      </c>
      <c r="D120" s="135" t="str">
        <f xml:space="preserve"> setValueToTime(C120)</f>
        <v>3h 30 min</v>
      </c>
      <c r="E120" s="96"/>
      <c r="F120" s="263"/>
      <c r="G120" s="264"/>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22</v>
      </c>
      <c r="D122" s="137"/>
      <c r="E122" s="130" t="s">
        <v>37</v>
      </c>
      <c r="F122" s="131" t="s">
        <v>133</v>
      </c>
      <c r="G122" s="132" t="s">
        <v>55</v>
      </c>
      <c r="H122" s="151"/>
    </row>
    <row r="123" spans="2:8" s="39" customFormat="1" ht="30" customHeight="1" thickBot="1" x14ac:dyDescent="0.3">
      <c r="B123" s="61" t="s">
        <v>38</v>
      </c>
      <c r="C123" s="134" t="s">
        <v>39</v>
      </c>
      <c r="D123" s="133"/>
      <c r="E123" s="61" t="s">
        <v>40</v>
      </c>
      <c r="F123" s="265" t="s">
        <v>41</v>
      </c>
      <c r="G123" s="266"/>
      <c r="H123" s="151"/>
    </row>
    <row r="124" spans="2:8" s="43" customFormat="1" x14ac:dyDescent="0.3">
      <c r="B124" s="40" t="s">
        <v>47</v>
      </c>
      <c r="C124" s="41">
        <v>3</v>
      </c>
      <c r="D124" s="125" t="str">
        <f xml:space="preserve"> IF(C124="","",setValueToTime(C124))</f>
        <v xml:space="preserve"> 15 min</v>
      </c>
      <c r="E124" s="42" t="s">
        <v>249</v>
      </c>
      <c r="F124" s="261"/>
      <c r="G124" s="262"/>
      <c r="H124" s="152"/>
    </row>
    <row r="125" spans="2:8" s="43" customFormat="1" ht="27" x14ac:dyDescent="0.3">
      <c r="B125" s="44" t="s">
        <v>30</v>
      </c>
      <c r="C125" s="45">
        <v>3</v>
      </c>
      <c r="D125" s="126" t="str">
        <f t="shared" ref="D125:D131" si="10" xml:space="preserve"> IF(C125="","",setValueToTime(C125))</f>
        <v xml:space="preserve"> 15 min</v>
      </c>
      <c r="E125" s="46"/>
      <c r="F125" s="253"/>
      <c r="G125" s="254"/>
      <c r="H125" s="152"/>
    </row>
    <row r="126" spans="2:8" s="43" customFormat="1" x14ac:dyDescent="0.3">
      <c r="B126" s="44" t="s">
        <v>31</v>
      </c>
      <c r="C126" s="45">
        <v>8</v>
      </c>
      <c r="D126" s="126" t="str">
        <f t="shared" si="10"/>
        <v xml:space="preserve"> 40 min</v>
      </c>
      <c r="E126" s="46" t="s">
        <v>266</v>
      </c>
      <c r="F126" s="253"/>
      <c r="G126" s="254"/>
      <c r="H126" s="152"/>
    </row>
    <row r="127" spans="2:8" s="43" customFormat="1" ht="40.5" x14ac:dyDescent="0.3">
      <c r="B127" s="44" t="s">
        <v>164</v>
      </c>
      <c r="C127" s="45">
        <v>9</v>
      </c>
      <c r="D127" s="126" t="str">
        <f t="shared" si="10"/>
        <v xml:space="preserve"> 45 min</v>
      </c>
      <c r="E127" s="46" t="s">
        <v>267</v>
      </c>
      <c r="F127" s="253"/>
      <c r="G127" s="254"/>
      <c r="H127" s="152"/>
    </row>
    <row r="128" spans="2:8" s="43" customFormat="1" x14ac:dyDescent="0.3">
      <c r="B128" s="45" t="s">
        <v>49</v>
      </c>
      <c r="C128" s="45">
        <v>4</v>
      </c>
      <c r="D128" s="127" t="str">
        <f t="shared" si="10"/>
        <v xml:space="preserve"> 20 min</v>
      </c>
      <c r="E128" s="46" t="s">
        <v>268</v>
      </c>
      <c r="F128" s="253"/>
      <c r="G128" s="254"/>
      <c r="H128" s="152"/>
    </row>
    <row r="129" spans="2:8" s="43" customFormat="1" x14ac:dyDescent="0.3">
      <c r="B129" s="45"/>
      <c r="C129" s="45"/>
      <c r="D129" s="127" t="str">
        <f t="shared" si="10"/>
        <v/>
      </c>
      <c r="E129" s="46"/>
      <c r="F129" s="253"/>
      <c r="G129" s="254"/>
      <c r="H129" s="152"/>
    </row>
    <row r="130" spans="2:8" s="43" customFormat="1" x14ac:dyDescent="0.3">
      <c r="B130" s="45"/>
      <c r="C130" s="45"/>
      <c r="D130" s="127" t="str">
        <f t="shared" si="10"/>
        <v/>
      </c>
      <c r="E130" s="46"/>
      <c r="F130" s="253"/>
      <c r="G130" s="254"/>
      <c r="H130" s="152"/>
    </row>
    <row r="131" spans="2:8" s="43" customFormat="1" ht="15" thickBot="1" x14ac:dyDescent="0.35">
      <c r="B131" s="47"/>
      <c r="C131" s="47"/>
      <c r="D131" s="128" t="str">
        <f t="shared" si="10"/>
        <v/>
      </c>
      <c r="E131" s="48"/>
      <c r="F131" s="255"/>
      <c r="G131" s="256"/>
      <c r="H131" s="152"/>
    </row>
    <row r="132" spans="2:8" s="43" customFormat="1" ht="15" thickBot="1" x14ac:dyDescent="0.35">
      <c r="B132" s="135" t="s">
        <v>43</v>
      </c>
      <c r="C132" s="66">
        <f>SUM(C124:C131)</f>
        <v>27</v>
      </c>
      <c r="D132" s="135" t="str">
        <f xml:space="preserve"> setValueToTime(C132)</f>
        <v>2h 15 min</v>
      </c>
      <c r="E132" s="96"/>
      <c r="F132" s="263"/>
      <c r="G132" s="264"/>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21</v>
      </c>
      <c r="D134" s="137"/>
      <c r="E134" s="130" t="s">
        <v>37</v>
      </c>
      <c r="F134" s="131" t="s">
        <v>133</v>
      </c>
      <c r="G134" s="132" t="s">
        <v>56</v>
      </c>
      <c r="H134" s="151"/>
    </row>
    <row r="135" spans="2:8" s="39" customFormat="1" ht="30" customHeight="1" thickBot="1" x14ac:dyDescent="0.3">
      <c r="B135" s="61" t="s">
        <v>38</v>
      </c>
      <c r="C135" s="134" t="s">
        <v>39</v>
      </c>
      <c r="D135" s="133"/>
      <c r="E135" s="61" t="s">
        <v>40</v>
      </c>
      <c r="F135" s="265" t="s">
        <v>41</v>
      </c>
      <c r="G135" s="266"/>
      <c r="H135" s="151"/>
    </row>
    <row r="136" spans="2:8" s="43" customFormat="1" ht="27" x14ac:dyDescent="0.3">
      <c r="B136" s="40" t="s">
        <v>30</v>
      </c>
      <c r="C136" s="41">
        <v>3</v>
      </c>
      <c r="D136" s="125" t="str">
        <f xml:space="preserve"> IF(C136="","",setValueToTime(C136))</f>
        <v xml:space="preserve"> 15 min</v>
      </c>
      <c r="E136" s="42"/>
      <c r="F136" s="261"/>
      <c r="G136" s="262"/>
      <c r="H136" s="152"/>
    </row>
    <row r="137" spans="2:8" s="43" customFormat="1" x14ac:dyDescent="0.3">
      <c r="B137" s="44" t="s">
        <v>31</v>
      </c>
      <c r="C137" s="45">
        <v>8</v>
      </c>
      <c r="D137" s="126" t="str">
        <f t="shared" ref="D137:D143" si="11" xml:space="preserve"> IF(C137="","",setValueToTime(C137))</f>
        <v xml:space="preserve"> 40 min</v>
      </c>
      <c r="E137" s="46" t="s">
        <v>246</v>
      </c>
      <c r="F137" s="268" t="s">
        <v>248</v>
      </c>
      <c r="G137" s="254"/>
      <c r="H137" s="152"/>
    </row>
    <row r="138" spans="2:8" s="43" customFormat="1" ht="40.5" x14ac:dyDescent="0.3">
      <c r="B138" s="44" t="s">
        <v>164</v>
      </c>
      <c r="C138" s="45">
        <v>18</v>
      </c>
      <c r="D138" s="126" t="str">
        <f t="shared" si="11"/>
        <v>1h 30 min</v>
      </c>
      <c r="E138" s="46" t="s">
        <v>244</v>
      </c>
      <c r="F138" s="253"/>
      <c r="G138" s="254"/>
      <c r="H138" s="152"/>
    </row>
    <row r="139" spans="2:8" s="43" customFormat="1" ht="27" x14ac:dyDescent="0.3">
      <c r="B139" s="44" t="s">
        <v>161</v>
      </c>
      <c r="C139" s="45">
        <v>18</v>
      </c>
      <c r="D139" s="126" t="str">
        <f t="shared" si="11"/>
        <v>1h 30 min</v>
      </c>
      <c r="E139" s="46" t="s">
        <v>245</v>
      </c>
      <c r="F139" s="253"/>
      <c r="G139" s="254"/>
      <c r="H139" s="152"/>
    </row>
    <row r="140" spans="2:8" s="43" customFormat="1" x14ac:dyDescent="0.3">
      <c r="B140" s="45"/>
      <c r="C140" s="45"/>
      <c r="D140" s="127" t="str">
        <f t="shared" si="11"/>
        <v/>
      </c>
      <c r="E140" s="46"/>
      <c r="F140" s="253"/>
      <c r="G140" s="254"/>
      <c r="H140" s="152"/>
    </row>
    <row r="141" spans="2:8" s="43" customFormat="1" x14ac:dyDescent="0.3">
      <c r="B141" s="45"/>
      <c r="C141" s="45"/>
      <c r="D141" s="127" t="str">
        <f t="shared" si="11"/>
        <v/>
      </c>
      <c r="E141" s="46"/>
      <c r="F141" s="253"/>
      <c r="G141" s="254"/>
      <c r="H141" s="152"/>
    </row>
    <row r="142" spans="2:8" s="43" customFormat="1" x14ac:dyDescent="0.3">
      <c r="B142" s="45"/>
      <c r="C142" s="45"/>
      <c r="D142" s="127" t="str">
        <f t="shared" si="11"/>
        <v/>
      </c>
      <c r="E142" s="46"/>
      <c r="F142" s="253"/>
      <c r="G142" s="254"/>
      <c r="H142" s="152"/>
    </row>
    <row r="143" spans="2:8" s="43" customFormat="1" ht="15" thickBot="1" x14ac:dyDescent="0.35">
      <c r="B143" s="47"/>
      <c r="C143" s="47"/>
      <c r="D143" s="128" t="str">
        <f t="shared" si="11"/>
        <v/>
      </c>
      <c r="E143" s="48"/>
      <c r="F143" s="255"/>
      <c r="G143" s="256"/>
      <c r="H143" s="152"/>
    </row>
    <row r="144" spans="2:8" s="43" customFormat="1" ht="15" thickBot="1" x14ac:dyDescent="0.35">
      <c r="B144" s="135" t="s">
        <v>43</v>
      </c>
      <c r="C144" s="66">
        <f>SUM(C136:C143)</f>
        <v>47</v>
      </c>
      <c r="D144" s="135" t="str">
        <f xml:space="preserve"> setValueToTime(C144)</f>
        <v>3h 55 min</v>
      </c>
      <c r="E144" s="96"/>
      <c r="F144" s="263"/>
      <c r="G144" s="264"/>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20</v>
      </c>
      <c r="D146" s="137"/>
      <c r="E146" s="130" t="s">
        <v>37</v>
      </c>
      <c r="F146" s="131" t="s">
        <v>136</v>
      </c>
      <c r="G146" s="132" t="s">
        <v>55</v>
      </c>
      <c r="H146" s="151"/>
    </row>
    <row r="147" spans="2:8" s="39" customFormat="1" ht="30" customHeight="1" thickBot="1" x14ac:dyDescent="0.3">
      <c r="B147" s="61" t="s">
        <v>38</v>
      </c>
      <c r="C147" s="134" t="s">
        <v>39</v>
      </c>
      <c r="D147" s="133"/>
      <c r="E147" s="61" t="s">
        <v>40</v>
      </c>
      <c r="F147" s="265" t="s">
        <v>41</v>
      </c>
      <c r="G147" s="266"/>
      <c r="H147" s="151"/>
    </row>
    <row r="148" spans="2:8" s="43" customFormat="1" ht="27" x14ac:dyDescent="0.3">
      <c r="B148" s="40" t="s">
        <v>160</v>
      </c>
      <c r="C148" s="41">
        <v>7</v>
      </c>
      <c r="D148" s="125" t="str">
        <f xml:space="preserve"> IF(C148="","",setValueToTime(C148))</f>
        <v xml:space="preserve"> 35 min</v>
      </c>
      <c r="E148" s="42" t="s">
        <v>242</v>
      </c>
      <c r="F148" s="261"/>
      <c r="G148" s="262"/>
      <c r="H148" s="152"/>
    </row>
    <row r="149" spans="2:8" s="43" customFormat="1" x14ac:dyDescent="0.3">
      <c r="B149" s="44" t="s">
        <v>162</v>
      </c>
      <c r="C149" s="45">
        <v>7</v>
      </c>
      <c r="D149" s="126" t="str">
        <f t="shared" ref="D149:D155" si="12" xml:space="preserve"> IF(C149="","",setValueToTime(C149))</f>
        <v xml:space="preserve"> 35 min</v>
      </c>
      <c r="E149" s="46" t="s">
        <v>241</v>
      </c>
      <c r="F149" s="253"/>
      <c r="G149" s="254"/>
      <c r="H149" s="152"/>
    </row>
    <row r="150" spans="2:8" s="43" customFormat="1" ht="40.5" x14ac:dyDescent="0.3">
      <c r="B150" s="44" t="s">
        <v>164</v>
      </c>
      <c r="C150" s="45">
        <v>20</v>
      </c>
      <c r="D150" s="126" t="str">
        <f t="shared" si="12"/>
        <v>1h 40 min</v>
      </c>
      <c r="E150" s="46" t="s">
        <v>243</v>
      </c>
      <c r="F150" s="253"/>
      <c r="G150" s="254"/>
      <c r="H150" s="152"/>
    </row>
    <row r="151" spans="2:8" s="43" customFormat="1" ht="27" x14ac:dyDescent="0.3">
      <c r="B151" s="44" t="s">
        <v>30</v>
      </c>
      <c r="C151" s="45">
        <v>2</v>
      </c>
      <c r="D151" s="126" t="str">
        <f t="shared" si="12"/>
        <v xml:space="preserve"> 10 min</v>
      </c>
      <c r="E151" s="46"/>
      <c r="F151" s="253"/>
      <c r="G151" s="254"/>
      <c r="H151" s="152"/>
    </row>
    <row r="152" spans="2:8" s="43" customFormat="1" x14ac:dyDescent="0.3">
      <c r="B152" s="45"/>
      <c r="C152" s="45"/>
      <c r="D152" s="127" t="str">
        <f t="shared" si="12"/>
        <v/>
      </c>
      <c r="E152" s="46"/>
      <c r="F152" s="253"/>
      <c r="G152" s="254"/>
      <c r="H152" s="152"/>
    </row>
    <row r="153" spans="2:8" s="43" customFormat="1" x14ac:dyDescent="0.3">
      <c r="B153" s="45"/>
      <c r="C153" s="45"/>
      <c r="D153" s="127" t="str">
        <f t="shared" si="12"/>
        <v/>
      </c>
      <c r="E153" s="46"/>
      <c r="F153" s="253"/>
      <c r="G153" s="254"/>
      <c r="H153" s="152"/>
    </row>
    <row r="154" spans="2:8" s="43" customFormat="1" x14ac:dyDescent="0.3">
      <c r="B154" s="45"/>
      <c r="C154" s="45"/>
      <c r="D154" s="127" t="str">
        <f t="shared" si="12"/>
        <v/>
      </c>
      <c r="E154" s="46"/>
      <c r="F154" s="253"/>
      <c r="G154" s="254"/>
      <c r="H154" s="152"/>
    </row>
    <row r="155" spans="2:8" s="43" customFormat="1" ht="15" thickBot="1" x14ac:dyDescent="0.35">
      <c r="B155" s="47"/>
      <c r="C155" s="47"/>
      <c r="D155" s="128" t="str">
        <f t="shared" si="12"/>
        <v/>
      </c>
      <c r="E155" s="48"/>
      <c r="F155" s="255"/>
      <c r="G155" s="256"/>
      <c r="H155" s="152"/>
    </row>
    <row r="156" spans="2:8" s="43" customFormat="1" ht="15" thickBot="1" x14ac:dyDescent="0.35">
      <c r="B156" s="135" t="s">
        <v>43</v>
      </c>
      <c r="C156" s="66">
        <f>SUM(C148:C155)</f>
        <v>36</v>
      </c>
      <c r="D156" s="135" t="str">
        <f xml:space="preserve"> setValueToTime(C156)</f>
        <v>3h</v>
      </c>
      <c r="E156" s="96"/>
      <c r="F156" s="263"/>
      <c r="G156" s="264"/>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19</v>
      </c>
      <c r="D158" s="137"/>
      <c r="E158" s="130" t="s">
        <v>37</v>
      </c>
      <c r="F158" s="131" t="s">
        <v>136</v>
      </c>
      <c r="G158" s="132" t="s">
        <v>56</v>
      </c>
      <c r="H158" s="151"/>
    </row>
    <row r="159" spans="2:8" s="39" customFormat="1" ht="30" customHeight="1" thickBot="1" x14ac:dyDescent="0.3">
      <c r="B159" s="61" t="s">
        <v>38</v>
      </c>
      <c r="C159" s="134" t="s">
        <v>39</v>
      </c>
      <c r="D159" s="133"/>
      <c r="E159" s="61" t="s">
        <v>40</v>
      </c>
      <c r="F159" s="265" t="s">
        <v>41</v>
      </c>
      <c r="G159" s="266"/>
      <c r="H159" s="151"/>
    </row>
    <row r="160" spans="2:8" s="43" customFormat="1" ht="27" x14ac:dyDescent="0.3">
      <c r="B160" s="40" t="s">
        <v>32</v>
      </c>
      <c r="C160" s="41">
        <v>9</v>
      </c>
      <c r="D160" s="125" t="str">
        <f xml:space="preserve"> IF(C160="","",setValueToTime(C160))</f>
        <v xml:space="preserve"> 45 min</v>
      </c>
      <c r="E160" s="42" t="s">
        <v>238</v>
      </c>
      <c r="F160" s="261"/>
      <c r="G160" s="262"/>
      <c r="H160" s="152"/>
    </row>
    <row r="161" spans="2:8" s="43" customFormat="1" ht="27" x14ac:dyDescent="0.3">
      <c r="B161" s="44" t="s">
        <v>160</v>
      </c>
      <c r="C161" s="45">
        <v>9</v>
      </c>
      <c r="D161" s="126" t="str">
        <f t="shared" ref="D161:D167" si="13" xml:space="preserve"> IF(C161="","",setValueToTime(C161))</f>
        <v xml:space="preserve"> 45 min</v>
      </c>
      <c r="E161" s="46" t="s">
        <v>239</v>
      </c>
      <c r="F161" s="253"/>
      <c r="G161" s="254"/>
      <c r="H161" s="152"/>
    </row>
    <row r="162" spans="2:8" s="43" customFormat="1" ht="27" x14ac:dyDescent="0.3">
      <c r="B162" s="44" t="s">
        <v>30</v>
      </c>
      <c r="C162" s="45">
        <v>3</v>
      </c>
      <c r="D162" s="126" t="str">
        <f t="shared" si="13"/>
        <v xml:space="preserve"> 15 min</v>
      </c>
      <c r="E162" s="46"/>
      <c r="F162" s="253"/>
      <c r="G162" s="254"/>
      <c r="H162" s="152"/>
    </row>
    <row r="163" spans="2:8" s="43" customFormat="1" ht="40.5" x14ac:dyDescent="0.3">
      <c r="B163" s="44" t="s">
        <v>164</v>
      </c>
      <c r="C163" s="45">
        <v>21</v>
      </c>
      <c r="D163" s="126" t="str">
        <f t="shared" si="13"/>
        <v>1h 45 min</v>
      </c>
      <c r="E163" s="46" t="s">
        <v>240</v>
      </c>
      <c r="F163" s="253"/>
      <c r="G163" s="254"/>
      <c r="H163" s="152"/>
    </row>
    <row r="164" spans="2:8" s="43" customFormat="1" x14ac:dyDescent="0.3">
      <c r="B164" s="45"/>
      <c r="C164" s="45"/>
      <c r="D164" s="127" t="str">
        <f t="shared" si="13"/>
        <v/>
      </c>
      <c r="E164" s="46"/>
      <c r="F164" s="253"/>
      <c r="G164" s="254"/>
      <c r="H164" s="152"/>
    </row>
    <row r="165" spans="2:8" s="43" customFormat="1" x14ac:dyDescent="0.3">
      <c r="B165" s="45"/>
      <c r="C165" s="45"/>
      <c r="D165" s="127" t="str">
        <f t="shared" si="13"/>
        <v/>
      </c>
      <c r="E165" s="46"/>
      <c r="F165" s="253"/>
      <c r="G165" s="254"/>
      <c r="H165" s="152"/>
    </row>
    <row r="166" spans="2:8" s="43" customFormat="1" x14ac:dyDescent="0.3">
      <c r="B166" s="45"/>
      <c r="C166" s="45"/>
      <c r="D166" s="127" t="str">
        <f t="shared" si="13"/>
        <v/>
      </c>
      <c r="E166" s="46"/>
      <c r="F166" s="253"/>
      <c r="G166" s="254"/>
      <c r="H166" s="152"/>
    </row>
    <row r="167" spans="2:8" s="43" customFormat="1" ht="15" thickBot="1" x14ac:dyDescent="0.35">
      <c r="B167" s="47"/>
      <c r="C167" s="47"/>
      <c r="D167" s="128" t="str">
        <f t="shared" si="13"/>
        <v/>
      </c>
      <c r="E167" s="48"/>
      <c r="F167" s="255"/>
      <c r="G167" s="256"/>
      <c r="H167" s="152"/>
    </row>
    <row r="168" spans="2:8" s="43" customFormat="1" ht="15" thickBot="1" x14ac:dyDescent="0.35">
      <c r="B168" s="135" t="s">
        <v>43</v>
      </c>
      <c r="C168" s="66">
        <f>SUM(C160:C167)</f>
        <v>42</v>
      </c>
      <c r="D168" s="135" t="str">
        <f xml:space="preserve"> setValueToTime(C168)</f>
        <v>3h 30 min</v>
      </c>
      <c r="E168" s="96"/>
      <c r="F168" s="263"/>
      <c r="G168" s="264"/>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18</v>
      </c>
      <c r="D170" s="137"/>
      <c r="E170" s="130" t="s">
        <v>37</v>
      </c>
      <c r="F170" s="131" t="s">
        <v>139</v>
      </c>
      <c r="G170" s="132" t="s">
        <v>55</v>
      </c>
      <c r="H170" s="151"/>
    </row>
    <row r="171" spans="2:8" s="39" customFormat="1" ht="30" customHeight="1" thickBot="1" x14ac:dyDescent="0.3">
      <c r="B171" s="61" t="s">
        <v>38</v>
      </c>
      <c r="C171" s="134" t="s">
        <v>39</v>
      </c>
      <c r="D171" s="133"/>
      <c r="E171" s="61" t="s">
        <v>40</v>
      </c>
      <c r="F171" s="265" t="s">
        <v>41</v>
      </c>
      <c r="G171" s="266"/>
      <c r="H171" s="151"/>
    </row>
    <row r="172" spans="2:8" s="43" customFormat="1" ht="27" x14ac:dyDescent="0.3">
      <c r="B172" s="40" t="s">
        <v>30</v>
      </c>
      <c r="C172" s="41">
        <v>2</v>
      </c>
      <c r="D172" s="125" t="str">
        <f xml:space="preserve"> IF(C172="","",setValueToTime(C172))</f>
        <v xml:space="preserve"> 10 min</v>
      </c>
      <c r="E172" s="42"/>
      <c r="F172" s="261"/>
      <c r="G172" s="262"/>
      <c r="H172" s="152"/>
    </row>
    <row r="173" spans="2:8" s="43" customFormat="1" ht="27" x14ac:dyDescent="0.3">
      <c r="B173" s="44" t="s">
        <v>163</v>
      </c>
      <c r="C173" s="45">
        <v>10</v>
      </c>
      <c r="D173" s="126" t="str">
        <f t="shared" ref="D173:D179" si="14" xml:space="preserve"> IF(C173="","",setValueToTime(C173))</f>
        <v xml:space="preserve"> 50 min</v>
      </c>
      <c r="E173" s="46" t="s">
        <v>237</v>
      </c>
      <c r="F173" s="253"/>
      <c r="G173" s="254"/>
      <c r="H173" s="152"/>
    </row>
    <row r="174" spans="2:8" s="43" customFormat="1" ht="27" x14ac:dyDescent="0.3">
      <c r="B174" s="44" t="s">
        <v>160</v>
      </c>
      <c r="C174" s="45">
        <v>30</v>
      </c>
      <c r="D174" s="126" t="str">
        <f t="shared" si="14"/>
        <v>2h 30 min</v>
      </c>
      <c r="E174" s="46" t="s">
        <v>236</v>
      </c>
      <c r="F174" s="253"/>
      <c r="G174" s="254"/>
      <c r="H174" s="152"/>
    </row>
    <row r="175" spans="2:8" s="43" customFormat="1" x14ac:dyDescent="0.3">
      <c r="B175" s="44"/>
      <c r="C175" s="45"/>
      <c r="D175" s="126" t="str">
        <f t="shared" si="14"/>
        <v/>
      </c>
      <c r="E175" s="46"/>
      <c r="F175" s="253"/>
      <c r="G175" s="254"/>
      <c r="H175" s="152"/>
    </row>
    <row r="176" spans="2:8" s="43" customFormat="1" x14ac:dyDescent="0.3">
      <c r="B176" s="45"/>
      <c r="C176" s="45"/>
      <c r="D176" s="127" t="str">
        <f t="shared" si="14"/>
        <v/>
      </c>
      <c r="E176" s="46"/>
      <c r="F176" s="253"/>
      <c r="G176" s="254"/>
      <c r="H176" s="152"/>
    </row>
    <row r="177" spans="2:8" s="43" customFormat="1" x14ac:dyDescent="0.3">
      <c r="B177" s="45"/>
      <c r="C177" s="45"/>
      <c r="D177" s="127" t="str">
        <f t="shared" si="14"/>
        <v/>
      </c>
      <c r="E177" s="46"/>
      <c r="F177" s="253"/>
      <c r="G177" s="254"/>
      <c r="H177" s="152"/>
    </row>
    <row r="178" spans="2:8" s="43" customFormat="1" x14ac:dyDescent="0.3">
      <c r="B178" s="45"/>
      <c r="C178" s="45"/>
      <c r="D178" s="127" t="str">
        <f t="shared" si="14"/>
        <v/>
      </c>
      <c r="E178" s="46"/>
      <c r="F178" s="253"/>
      <c r="G178" s="254"/>
      <c r="H178" s="152"/>
    </row>
    <row r="179" spans="2:8" s="43" customFormat="1" ht="15" thickBot="1" x14ac:dyDescent="0.35">
      <c r="B179" s="47"/>
      <c r="C179" s="47"/>
      <c r="D179" s="128" t="str">
        <f t="shared" si="14"/>
        <v/>
      </c>
      <c r="E179" s="48"/>
      <c r="F179" s="255"/>
      <c r="G179" s="256"/>
      <c r="H179" s="152"/>
    </row>
    <row r="180" spans="2:8" s="43" customFormat="1" ht="15" thickBot="1" x14ac:dyDescent="0.35">
      <c r="B180" s="135" t="s">
        <v>43</v>
      </c>
      <c r="C180" s="66">
        <f>SUM(C172:C179)</f>
        <v>42</v>
      </c>
      <c r="D180" s="135" t="str">
        <f xml:space="preserve"> setValueToTime(C180)</f>
        <v>3h 30 min</v>
      </c>
      <c r="E180" s="96"/>
      <c r="F180" s="263"/>
      <c r="G180" s="264"/>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17</v>
      </c>
      <c r="D182" s="137"/>
      <c r="E182" s="130" t="s">
        <v>37</v>
      </c>
      <c r="F182" s="131" t="s">
        <v>139</v>
      </c>
      <c r="G182" s="132" t="s">
        <v>56</v>
      </c>
      <c r="H182" s="151"/>
    </row>
    <row r="183" spans="2:8" s="39" customFormat="1" ht="30" customHeight="1" thickBot="1" x14ac:dyDescent="0.3">
      <c r="B183" s="61" t="s">
        <v>38</v>
      </c>
      <c r="C183" s="134" t="s">
        <v>39</v>
      </c>
      <c r="D183" s="133"/>
      <c r="E183" s="61" t="s">
        <v>40</v>
      </c>
      <c r="F183" s="265" t="s">
        <v>41</v>
      </c>
      <c r="G183" s="266"/>
      <c r="H183" s="151"/>
    </row>
    <row r="184" spans="2:8" s="43" customFormat="1" ht="27" x14ac:dyDescent="0.3">
      <c r="B184" s="40" t="s">
        <v>30</v>
      </c>
      <c r="C184" s="41">
        <v>3</v>
      </c>
      <c r="D184" s="125" t="str">
        <f xml:space="preserve"> IF(C184="","",setValueToTime(C184))</f>
        <v xml:space="preserve"> 15 min</v>
      </c>
      <c r="E184" s="42"/>
      <c r="F184" s="261"/>
      <c r="G184" s="262"/>
      <c r="H184" s="152"/>
    </row>
    <row r="185" spans="2:8" s="43" customFormat="1" x14ac:dyDescent="0.3">
      <c r="B185" s="44" t="s">
        <v>109</v>
      </c>
      <c r="C185" s="45">
        <v>6</v>
      </c>
      <c r="D185" s="126" t="str">
        <f t="shared" ref="D185:D191" si="15" xml:space="preserve"> IF(C185="","",setValueToTime(C185))</f>
        <v xml:space="preserve"> 30 min</v>
      </c>
      <c r="E185" s="46" t="s">
        <v>235</v>
      </c>
      <c r="F185" s="253"/>
      <c r="G185" s="254"/>
      <c r="H185" s="152"/>
    </row>
    <row r="186" spans="2:8" s="43" customFormat="1" ht="27" x14ac:dyDescent="0.3">
      <c r="B186" s="44" t="s">
        <v>160</v>
      </c>
      <c r="C186" s="45">
        <v>20</v>
      </c>
      <c r="D186" s="126" t="str">
        <f t="shared" si="15"/>
        <v>1h 40 min</v>
      </c>
      <c r="E186" s="46" t="s">
        <v>234</v>
      </c>
      <c r="F186" s="253"/>
      <c r="G186" s="254"/>
      <c r="H186" s="152"/>
    </row>
    <row r="187" spans="2:8" s="43" customFormat="1" x14ac:dyDescent="0.3">
      <c r="B187" s="44" t="s">
        <v>162</v>
      </c>
      <c r="C187" s="45">
        <v>10</v>
      </c>
      <c r="D187" s="126" t="str">
        <f t="shared" si="15"/>
        <v xml:space="preserve"> 50 min</v>
      </c>
      <c r="E187" t="s">
        <v>233</v>
      </c>
      <c r="F187" s="253"/>
      <c r="G187" s="254"/>
      <c r="H187" s="152"/>
    </row>
    <row r="188" spans="2:8" s="43" customFormat="1" x14ac:dyDescent="0.3">
      <c r="B188" s="45"/>
      <c r="C188" s="45"/>
      <c r="D188" s="127" t="str">
        <f t="shared" si="15"/>
        <v/>
      </c>
      <c r="E188" s="46"/>
      <c r="F188" s="253"/>
      <c r="G188" s="254"/>
      <c r="H188" s="152"/>
    </row>
    <row r="189" spans="2:8" s="43" customFormat="1" x14ac:dyDescent="0.3">
      <c r="B189" s="45"/>
      <c r="C189" s="45"/>
      <c r="D189" s="127" t="str">
        <f t="shared" si="15"/>
        <v/>
      </c>
      <c r="E189" s="46"/>
      <c r="F189" s="253"/>
      <c r="G189" s="254"/>
      <c r="H189" s="152"/>
    </row>
    <row r="190" spans="2:8" s="43" customFormat="1" x14ac:dyDescent="0.3">
      <c r="B190" s="45"/>
      <c r="C190" s="45"/>
      <c r="D190" s="127" t="str">
        <f t="shared" si="15"/>
        <v/>
      </c>
      <c r="E190" s="46"/>
      <c r="F190" s="253"/>
      <c r="G190" s="254"/>
      <c r="H190" s="152"/>
    </row>
    <row r="191" spans="2:8" s="43" customFormat="1" ht="15" thickBot="1" x14ac:dyDescent="0.35">
      <c r="B191" s="47"/>
      <c r="C191" s="47"/>
      <c r="D191" s="128" t="str">
        <f t="shared" si="15"/>
        <v/>
      </c>
      <c r="E191" s="48"/>
      <c r="F191" s="255"/>
      <c r="G191" s="256"/>
      <c r="H191" s="152"/>
    </row>
    <row r="192" spans="2:8" s="43" customFormat="1" ht="15" thickBot="1" x14ac:dyDescent="0.35">
      <c r="B192" s="135" t="s">
        <v>43</v>
      </c>
      <c r="C192" s="66">
        <f>SUM(C184:C191)</f>
        <v>39</v>
      </c>
      <c r="D192" s="135" t="str">
        <f xml:space="preserve"> setValueToTime(C192)</f>
        <v>3h 15 min</v>
      </c>
      <c r="E192" s="96"/>
      <c r="F192" s="263"/>
      <c r="G192" s="264"/>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16</v>
      </c>
      <c r="D194" s="137"/>
      <c r="E194" s="130" t="s">
        <v>37</v>
      </c>
      <c r="F194" s="131" t="s">
        <v>142</v>
      </c>
      <c r="G194" s="132" t="s">
        <v>55</v>
      </c>
      <c r="H194" s="151"/>
    </row>
    <row r="195" spans="2:8" s="39" customFormat="1" ht="30" customHeight="1" thickBot="1" x14ac:dyDescent="0.3">
      <c r="B195" s="61" t="s">
        <v>38</v>
      </c>
      <c r="C195" s="134" t="s">
        <v>39</v>
      </c>
      <c r="D195" s="133"/>
      <c r="E195" s="61" t="s">
        <v>40</v>
      </c>
      <c r="F195" s="265" t="s">
        <v>41</v>
      </c>
      <c r="G195" s="266"/>
      <c r="H195" s="151"/>
    </row>
    <row r="196" spans="2:8" s="43" customFormat="1" x14ac:dyDescent="0.3">
      <c r="B196" s="40" t="s">
        <v>162</v>
      </c>
      <c r="C196" s="41">
        <v>5</v>
      </c>
      <c r="D196" s="125" t="str">
        <f xml:space="preserve"> IF(C196="","",setValueToTime(C196))</f>
        <v xml:space="preserve"> 25 min</v>
      </c>
      <c r="E196" t="s">
        <v>214</v>
      </c>
      <c r="F196" s="261"/>
      <c r="G196" s="262"/>
      <c r="H196" s="152"/>
    </row>
    <row r="197" spans="2:8" s="43" customFormat="1" ht="27" x14ac:dyDescent="0.3">
      <c r="B197" s="44" t="s">
        <v>32</v>
      </c>
      <c r="C197" s="45">
        <v>7</v>
      </c>
      <c r="D197" s="126" t="str">
        <f t="shared" ref="D197:D203" si="16" xml:space="preserve"> IF(C197="","",setValueToTime(C197))</f>
        <v xml:space="preserve"> 35 min</v>
      </c>
      <c r="E197" s="46" t="s">
        <v>232</v>
      </c>
      <c r="F197" s="253"/>
      <c r="G197" s="254"/>
      <c r="H197" s="152"/>
    </row>
    <row r="198" spans="2:8" s="43" customFormat="1" ht="27" x14ac:dyDescent="0.3">
      <c r="B198" s="44" t="s">
        <v>30</v>
      </c>
      <c r="C198" s="45">
        <v>2</v>
      </c>
      <c r="D198" s="126" t="str">
        <f t="shared" si="16"/>
        <v xml:space="preserve"> 10 min</v>
      </c>
      <c r="E198" s="46"/>
      <c r="F198" s="253"/>
      <c r="G198" s="254"/>
      <c r="H198" s="152"/>
    </row>
    <row r="199" spans="2:8" s="43" customFormat="1" ht="27" x14ac:dyDescent="0.3">
      <c r="B199" s="44" t="s">
        <v>163</v>
      </c>
      <c r="C199" s="45">
        <v>4</v>
      </c>
      <c r="D199" s="126" t="str">
        <f t="shared" si="16"/>
        <v xml:space="preserve"> 20 min</v>
      </c>
      <c r="E199" s="46" t="s">
        <v>215</v>
      </c>
      <c r="F199" s="253"/>
      <c r="G199" s="254"/>
      <c r="H199" s="152"/>
    </row>
    <row r="200" spans="2:8" s="43" customFormat="1" x14ac:dyDescent="0.3">
      <c r="B200" s="45" t="s">
        <v>27</v>
      </c>
      <c r="C200" s="45">
        <v>18</v>
      </c>
      <c r="D200" s="127" t="str">
        <f t="shared" si="16"/>
        <v>1h 30 min</v>
      </c>
      <c r="E200" s="46"/>
      <c r="F200" s="253"/>
      <c r="G200" s="254"/>
      <c r="H200" s="152"/>
    </row>
    <row r="201" spans="2:8" s="43" customFormat="1" x14ac:dyDescent="0.3">
      <c r="B201" s="45"/>
      <c r="C201" s="45"/>
      <c r="D201" s="127" t="str">
        <f t="shared" si="16"/>
        <v/>
      </c>
      <c r="E201" s="46"/>
      <c r="F201" s="253"/>
      <c r="G201" s="254"/>
      <c r="H201" s="152"/>
    </row>
    <row r="202" spans="2:8" s="43" customFormat="1" x14ac:dyDescent="0.3">
      <c r="B202" s="45"/>
      <c r="C202" s="45"/>
      <c r="D202" s="127" t="str">
        <f t="shared" si="16"/>
        <v/>
      </c>
      <c r="E202" s="46"/>
      <c r="F202" s="253"/>
      <c r="G202" s="254"/>
      <c r="H202" s="152"/>
    </row>
    <row r="203" spans="2:8" s="43" customFormat="1" ht="15" thickBot="1" x14ac:dyDescent="0.35">
      <c r="B203" s="47"/>
      <c r="C203" s="47"/>
      <c r="D203" s="128" t="str">
        <f t="shared" si="16"/>
        <v/>
      </c>
      <c r="E203" s="48"/>
      <c r="F203" s="255"/>
      <c r="G203" s="256"/>
      <c r="H203" s="152"/>
    </row>
    <row r="204" spans="2:8" s="43" customFormat="1" ht="15" thickBot="1" x14ac:dyDescent="0.35">
      <c r="B204" s="135" t="s">
        <v>43</v>
      </c>
      <c r="C204" s="66">
        <f>SUM(C196:C203)</f>
        <v>36</v>
      </c>
      <c r="D204" s="135" t="str">
        <f xml:space="preserve"> setValueToTime(C204)</f>
        <v>3h</v>
      </c>
      <c r="E204" s="96"/>
      <c r="F204" s="263"/>
      <c r="G204" s="264"/>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15</v>
      </c>
      <c r="D206" s="137"/>
      <c r="E206" s="130" t="s">
        <v>37</v>
      </c>
      <c r="F206" s="131" t="s">
        <v>142</v>
      </c>
      <c r="G206" s="132" t="s">
        <v>56</v>
      </c>
      <c r="H206" s="151"/>
    </row>
    <row r="207" spans="2:8" s="39" customFormat="1" ht="30" customHeight="1" thickBot="1" x14ac:dyDescent="0.3">
      <c r="B207" s="61" t="s">
        <v>38</v>
      </c>
      <c r="C207" s="134" t="s">
        <v>39</v>
      </c>
      <c r="D207" s="133"/>
      <c r="E207" s="61" t="s">
        <v>40</v>
      </c>
      <c r="F207" s="265" t="s">
        <v>41</v>
      </c>
      <c r="G207" s="266"/>
      <c r="H207" s="151"/>
    </row>
    <row r="208" spans="2:8" s="43" customFormat="1" ht="27" x14ac:dyDescent="0.3">
      <c r="B208" s="40" t="s">
        <v>166</v>
      </c>
      <c r="C208" s="41">
        <v>4</v>
      </c>
      <c r="D208" s="125" t="str">
        <f xml:space="preserve"> IF(C208="","",setValueToTime(C208))</f>
        <v xml:space="preserve"> 20 min</v>
      </c>
      <c r="E208" t="s">
        <v>213</v>
      </c>
      <c r="F208" s="261"/>
      <c r="G208" s="262"/>
      <c r="H208" s="152"/>
    </row>
    <row r="209" spans="2:8" s="43" customFormat="1" x14ac:dyDescent="0.3">
      <c r="B209" s="44" t="s">
        <v>162</v>
      </c>
      <c r="C209" s="45">
        <v>10</v>
      </c>
      <c r="D209" s="126" t="str">
        <f t="shared" ref="D209:D215" si="17" xml:space="preserve"> IF(C209="","",setValueToTime(C209))</f>
        <v xml:space="preserve"> 50 min</v>
      </c>
      <c r="E209" t="s">
        <v>224</v>
      </c>
      <c r="F209" s="253"/>
      <c r="G209" s="254"/>
      <c r="H209" s="152"/>
    </row>
    <row r="210" spans="2:8" s="43" customFormat="1" ht="27" x14ac:dyDescent="0.3">
      <c r="B210" s="44" t="s">
        <v>160</v>
      </c>
      <c r="C210" s="45">
        <v>15</v>
      </c>
      <c r="D210" s="126" t="str">
        <f t="shared" si="17"/>
        <v>1h 15 min</v>
      </c>
      <c r="E210" t="s">
        <v>225</v>
      </c>
      <c r="F210" s="253"/>
      <c r="G210" s="254"/>
      <c r="H210" s="152"/>
    </row>
    <row r="211" spans="2:8" s="43" customFormat="1" ht="27" x14ac:dyDescent="0.3">
      <c r="B211" s="44" t="s">
        <v>30</v>
      </c>
      <c r="C211" s="45">
        <v>4</v>
      </c>
      <c r="D211" s="126" t="str">
        <f t="shared" si="17"/>
        <v xml:space="preserve"> 20 min</v>
      </c>
      <c r="E211" s="46"/>
      <c r="F211" s="253"/>
      <c r="G211" s="254"/>
      <c r="H211" s="152"/>
    </row>
    <row r="212" spans="2:8" s="43" customFormat="1" x14ac:dyDescent="0.3">
      <c r="B212" s="45" t="s">
        <v>27</v>
      </c>
      <c r="C212" s="45">
        <v>9</v>
      </c>
      <c r="D212" s="127" t="str">
        <f t="shared" si="17"/>
        <v xml:space="preserve"> 45 min</v>
      </c>
      <c r="E212" s="46"/>
      <c r="F212" s="253"/>
      <c r="G212" s="254"/>
      <c r="H212" s="152"/>
    </row>
    <row r="213" spans="2:8" s="43" customFormat="1" x14ac:dyDescent="0.3">
      <c r="B213" s="45"/>
      <c r="C213" s="45"/>
      <c r="D213" s="127" t="str">
        <f t="shared" si="17"/>
        <v/>
      </c>
      <c r="E213" s="46"/>
      <c r="F213" s="253"/>
      <c r="G213" s="254"/>
      <c r="H213" s="152"/>
    </row>
    <row r="214" spans="2:8" s="43" customFormat="1" x14ac:dyDescent="0.3">
      <c r="B214" s="45"/>
      <c r="C214" s="45"/>
      <c r="D214" s="127" t="str">
        <f t="shared" si="17"/>
        <v/>
      </c>
      <c r="E214" s="46"/>
      <c r="F214" s="253"/>
      <c r="G214" s="254"/>
      <c r="H214" s="152"/>
    </row>
    <row r="215" spans="2:8" s="43" customFormat="1" ht="15" thickBot="1" x14ac:dyDescent="0.35">
      <c r="B215" s="47"/>
      <c r="C215" s="47"/>
      <c r="D215" s="128" t="str">
        <f t="shared" si="17"/>
        <v/>
      </c>
      <c r="E215" s="48"/>
      <c r="F215" s="255"/>
      <c r="G215" s="256"/>
      <c r="H215" s="152"/>
    </row>
    <row r="216" spans="2:8" s="43" customFormat="1" ht="15" thickBot="1" x14ac:dyDescent="0.35">
      <c r="B216" s="135" t="s">
        <v>43</v>
      </c>
      <c r="C216" s="66">
        <f>SUM(C208:C215)</f>
        <v>42</v>
      </c>
      <c r="D216" s="135" t="str">
        <f xml:space="preserve"> setValueToTime(C216)</f>
        <v>3h 30 min</v>
      </c>
      <c r="E216" s="96"/>
      <c r="F216" s="263"/>
      <c r="G216" s="264"/>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14</v>
      </c>
      <c r="D218" s="137"/>
      <c r="E218" s="130" t="s">
        <v>37</v>
      </c>
      <c r="F218" s="131" t="s">
        <v>145</v>
      </c>
      <c r="G218" s="132" t="s">
        <v>55</v>
      </c>
      <c r="H218" s="151"/>
    </row>
    <row r="219" spans="2:8" s="39" customFormat="1" ht="30" customHeight="1" thickBot="1" x14ac:dyDescent="0.3">
      <c r="B219" s="61" t="s">
        <v>38</v>
      </c>
      <c r="C219" s="134" t="s">
        <v>39</v>
      </c>
      <c r="D219" s="133"/>
      <c r="E219" s="61" t="s">
        <v>40</v>
      </c>
      <c r="F219" s="265" t="s">
        <v>41</v>
      </c>
      <c r="G219" s="266"/>
      <c r="H219" s="151"/>
    </row>
    <row r="220" spans="2:8" s="43" customFormat="1" ht="27" x14ac:dyDescent="0.3">
      <c r="B220" s="40" t="s">
        <v>30</v>
      </c>
      <c r="C220" s="41">
        <v>3</v>
      </c>
      <c r="D220" s="125" t="str">
        <f xml:space="preserve"> IF(C220="","",setValueToTime(C220))</f>
        <v xml:space="preserve"> 15 min</v>
      </c>
      <c r="E220" s="42"/>
      <c r="F220" s="261"/>
      <c r="G220" s="262"/>
      <c r="H220" s="152"/>
    </row>
    <row r="221" spans="2:8" s="43" customFormat="1" ht="40.5" x14ac:dyDescent="0.3">
      <c r="B221" s="44" t="s">
        <v>169</v>
      </c>
      <c r="C221" s="45">
        <v>3</v>
      </c>
      <c r="D221" s="126" t="str">
        <f t="shared" ref="D221:D227" si="18" xml:space="preserve"> IF(C221="","",setValueToTime(C221))</f>
        <v xml:space="preserve"> 15 min</v>
      </c>
      <c r="E221" s="46" t="s">
        <v>216</v>
      </c>
      <c r="F221" s="253"/>
      <c r="G221" s="254"/>
      <c r="H221" s="152"/>
    </row>
    <row r="222" spans="2:8" s="43" customFormat="1" ht="27" x14ac:dyDescent="0.3">
      <c r="B222" s="44" t="s">
        <v>159</v>
      </c>
      <c r="C222" s="45">
        <v>15</v>
      </c>
      <c r="D222" s="126" t="str">
        <f t="shared" si="18"/>
        <v>1h 15 min</v>
      </c>
      <c r="E222" s="46" t="s">
        <v>217</v>
      </c>
      <c r="F222" s="253"/>
      <c r="G222" s="254"/>
      <c r="H222" s="152"/>
    </row>
    <row r="223" spans="2:8" s="43" customFormat="1" ht="27" x14ac:dyDescent="0.3">
      <c r="B223" s="44" t="s">
        <v>163</v>
      </c>
      <c r="C223" s="45">
        <v>9</v>
      </c>
      <c r="D223" s="126" t="str">
        <f t="shared" si="18"/>
        <v xml:space="preserve"> 45 min</v>
      </c>
      <c r="E223" s="46" t="s">
        <v>218</v>
      </c>
      <c r="F223" s="253"/>
      <c r="G223" s="254"/>
      <c r="H223" s="152"/>
    </row>
    <row r="224" spans="2:8" s="43" customFormat="1" x14ac:dyDescent="0.3">
      <c r="B224" s="45" t="s">
        <v>49</v>
      </c>
      <c r="C224" s="45">
        <v>3</v>
      </c>
      <c r="D224" s="127" t="str">
        <f t="shared" si="18"/>
        <v xml:space="preserve"> 15 min</v>
      </c>
      <c r="E224" t="s">
        <v>219</v>
      </c>
      <c r="F224" s="253"/>
      <c r="G224" s="254"/>
      <c r="H224" s="152"/>
    </row>
    <row r="225" spans="2:8" s="43" customFormat="1" x14ac:dyDescent="0.3">
      <c r="B225" s="45"/>
      <c r="C225" s="45"/>
      <c r="D225" s="127" t="str">
        <f t="shared" si="18"/>
        <v/>
      </c>
      <c r="E225" s="46"/>
      <c r="F225" s="253"/>
      <c r="G225" s="254"/>
      <c r="H225" s="152"/>
    </row>
    <row r="226" spans="2:8" s="43" customFormat="1" x14ac:dyDescent="0.3">
      <c r="B226" s="45"/>
      <c r="C226" s="45"/>
      <c r="D226" s="127" t="str">
        <f t="shared" si="18"/>
        <v/>
      </c>
      <c r="E226" s="46"/>
      <c r="F226" s="253"/>
      <c r="G226" s="254"/>
      <c r="H226" s="152"/>
    </row>
    <row r="227" spans="2:8" s="43" customFormat="1" ht="15" thickBot="1" x14ac:dyDescent="0.35">
      <c r="B227" s="47"/>
      <c r="C227" s="47"/>
      <c r="D227" s="128" t="str">
        <f t="shared" si="18"/>
        <v/>
      </c>
      <c r="E227" s="48"/>
      <c r="F227" s="255"/>
      <c r="G227" s="256"/>
      <c r="H227" s="152"/>
    </row>
    <row r="228" spans="2:8" s="43" customFormat="1" ht="15" thickBot="1" x14ac:dyDescent="0.35">
      <c r="B228" s="135" t="s">
        <v>43</v>
      </c>
      <c r="C228" s="66">
        <f>SUM(C220:C227)</f>
        <v>33</v>
      </c>
      <c r="D228" s="135" t="str">
        <f xml:space="preserve"> setValueToTime(C228)</f>
        <v>2h 45 min</v>
      </c>
      <c r="E228" s="96"/>
      <c r="F228" s="263"/>
      <c r="G228" s="264"/>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13</v>
      </c>
      <c r="D230" s="137"/>
      <c r="E230" s="130" t="s">
        <v>37</v>
      </c>
      <c r="F230" s="131" t="s">
        <v>145</v>
      </c>
      <c r="G230" s="132" t="s">
        <v>56</v>
      </c>
      <c r="H230" s="151"/>
    </row>
    <row r="231" spans="2:8" s="39" customFormat="1" ht="30" customHeight="1" thickBot="1" x14ac:dyDescent="0.3">
      <c r="B231" s="61" t="s">
        <v>38</v>
      </c>
      <c r="C231" s="134" t="s">
        <v>39</v>
      </c>
      <c r="D231" s="133"/>
      <c r="E231" s="61" t="s">
        <v>40</v>
      </c>
      <c r="F231" s="265" t="s">
        <v>41</v>
      </c>
      <c r="G231" s="266"/>
      <c r="H231" s="151"/>
    </row>
    <row r="232" spans="2:8" s="43" customFormat="1" x14ac:dyDescent="0.3">
      <c r="B232" s="40" t="s">
        <v>162</v>
      </c>
      <c r="C232" s="41">
        <v>6</v>
      </c>
      <c r="D232" s="125" t="str">
        <f xml:space="preserve"> IF(C232="","",setValueToTime(C232))</f>
        <v xml:space="preserve"> 30 min</v>
      </c>
      <c r="E232" s="46" t="s">
        <v>222</v>
      </c>
      <c r="F232" s="261"/>
      <c r="G232" s="262"/>
      <c r="H232" s="152"/>
    </row>
    <row r="233" spans="2:8" s="43" customFormat="1" ht="27" x14ac:dyDescent="0.3">
      <c r="B233" s="44" t="s">
        <v>163</v>
      </c>
      <c r="C233" s="45">
        <v>12</v>
      </c>
      <c r="D233" s="126" t="str">
        <f t="shared" ref="D233:D239" si="19" xml:space="preserve"> IF(C233="","",setValueToTime(C233))</f>
        <v>1h</v>
      </c>
      <c r="E233" t="s">
        <v>223</v>
      </c>
      <c r="F233" s="253"/>
      <c r="G233" s="254"/>
      <c r="H233" s="152"/>
    </row>
    <row r="234" spans="2:8" s="43" customFormat="1" ht="40.5" x14ac:dyDescent="0.3">
      <c r="B234" s="44" t="s">
        <v>169</v>
      </c>
      <c r="C234" s="45">
        <v>6</v>
      </c>
      <c r="D234" s="126" t="str">
        <f t="shared" si="19"/>
        <v xml:space="preserve"> 30 min</v>
      </c>
      <c r="E234" s="46" t="s">
        <v>221</v>
      </c>
      <c r="F234" s="253"/>
      <c r="G234" s="254"/>
      <c r="H234" s="152"/>
    </row>
    <row r="235" spans="2:8" s="43" customFormat="1" x14ac:dyDescent="0.3">
      <c r="B235" s="44"/>
      <c r="C235" s="45"/>
      <c r="D235" s="126" t="str">
        <f t="shared" si="19"/>
        <v/>
      </c>
      <c r="E235" s="46"/>
      <c r="F235" s="253"/>
      <c r="G235" s="254"/>
      <c r="H235" s="152"/>
    </row>
    <row r="236" spans="2:8" s="43" customFormat="1" x14ac:dyDescent="0.3">
      <c r="B236" s="45"/>
      <c r="C236" s="45"/>
      <c r="D236" s="127" t="str">
        <f t="shared" si="19"/>
        <v/>
      </c>
      <c r="E236" s="46"/>
      <c r="F236" s="253"/>
      <c r="G236" s="254"/>
      <c r="H236" s="152"/>
    </row>
    <row r="237" spans="2:8" s="43" customFormat="1" x14ac:dyDescent="0.3">
      <c r="B237" s="45"/>
      <c r="C237" s="45"/>
      <c r="D237" s="127" t="str">
        <f t="shared" si="19"/>
        <v/>
      </c>
      <c r="E237" s="46"/>
      <c r="F237" s="253"/>
      <c r="G237" s="254"/>
      <c r="H237" s="152"/>
    </row>
    <row r="238" spans="2:8" s="43" customFormat="1" x14ac:dyDescent="0.3">
      <c r="B238" s="45"/>
      <c r="C238" s="45"/>
      <c r="D238" s="127" t="str">
        <f t="shared" si="19"/>
        <v/>
      </c>
      <c r="E238" s="46"/>
      <c r="F238" s="253"/>
      <c r="G238" s="254"/>
      <c r="H238" s="152"/>
    </row>
    <row r="239" spans="2:8" s="43" customFormat="1" ht="15" thickBot="1" x14ac:dyDescent="0.35">
      <c r="B239" s="47"/>
      <c r="C239" s="47"/>
      <c r="D239" s="128" t="str">
        <f t="shared" si="19"/>
        <v/>
      </c>
      <c r="E239" s="48"/>
      <c r="F239" s="255"/>
      <c r="G239" s="256"/>
      <c r="H239" s="152"/>
    </row>
    <row r="240" spans="2:8" s="43" customFormat="1" ht="15" thickBot="1" x14ac:dyDescent="0.35">
      <c r="B240" s="135" t="s">
        <v>43</v>
      </c>
      <c r="C240" s="66">
        <f>SUM(C232:C239)</f>
        <v>24</v>
      </c>
      <c r="D240" s="135" t="str">
        <f xml:space="preserve"> setValueToTime(C240)</f>
        <v>2h</v>
      </c>
      <c r="E240" s="96"/>
      <c r="F240" s="263"/>
      <c r="G240" s="264"/>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12</v>
      </c>
      <c r="D242" s="137"/>
      <c r="E242" s="130" t="s">
        <v>37</v>
      </c>
      <c r="F242" s="131" t="s">
        <v>148</v>
      </c>
      <c r="G242" s="132" t="s">
        <v>55</v>
      </c>
      <c r="H242" s="151"/>
    </row>
    <row r="243" spans="2:8" s="39" customFormat="1" ht="30" customHeight="1" thickBot="1" x14ac:dyDescent="0.3">
      <c r="B243" s="61" t="s">
        <v>38</v>
      </c>
      <c r="C243" s="134" t="s">
        <v>39</v>
      </c>
      <c r="D243" s="133"/>
      <c r="E243" s="61" t="s">
        <v>40</v>
      </c>
      <c r="F243" s="265" t="s">
        <v>41</v>
      </c>
      <c r="G243" s="266"/>
      <c r="H243" s="151"/>
    </row>
    <row r="244" spans="2:8" s="43" customFormat="1" ht="27" x14ac:dyDescent="0.3">
      <c r="B244" s="40" t="s">
        <v>30</v>
      </c>
      <c r="C244" s="41">
        <v>3</v>
      </c>
      <c r="D244" s="125" t="str">
        <f xml:space="preserve"> IF(C244="","",setValueToTime(C244))</f>
        <v xml:space="preserve"> 15 min</v>
      </c>
      <c r="E244" s="42"/>
      <c r="F244" s="261"/>
      <c r="G244" s="262"/>
      <c r="H244" s="152"/>
    </row>
    <row r="245" spans="2:8" s="43" customFormat="1" ht="27" x14ac:dyDescent="0.3">
      <c r="B245" s="44" t="s">
        <v>166</v>
      </c>
      <c r="C245" s="45">
        <v>9</v>
      </c>
      <c r="D245" s="126" t="str">
        <f t="shared" ref="D245:D251" si="20" xml:space="preserve"> IF(C245="","",setValueToTime(C245))</f>
        <v xml:space="preserve"> 45 min</v>
      </c>
      <c r="E245" s="46" t="s">
        <v>226</v>
      </c>
      <c r="F245" s="253"/>
      <c r="G245" s="254"/>
      <c r="H245" s="152"/>
    </row>
    <row r="246" spans="2:8" s="43" customFormat="1" ht="27" x14ac:dyDescent="0.3">
      <c r="B246" s="44" t="s">
        <v>86</v>
      </c>
      <c r="C246" s="45">
        <v>12</v>
      </c>
      <c r="D246" s="126" t="str">
        <f t="shared" si="20"/>
        <v>1h</v>
      </c>
      <c r="E246" t="s">
        <v>220</v>
      </c>
      <c r="F246" s="253"/>
      <c r="G246" s="254"/>
      <c r="H246" s="152"/>
    </row>
    <row r="247" spans="2:8" s="43" customFormat="1" x14ac:dyDescent="0.3">
      <c r="B247" s="44" t="s">
        <v>162</v>
      </c>
      <c r="C247" s="45">
        <v>12</v>
      </c>
      <c r="D247" s="126" t="str">
        <f t="shared" si="20"/>
        <v>1h</v>
      </c>
      <c r="E247" s="46" t="s">
        <v>227</v>
      </c>
      <c r="F247" s="253"/>
      <c r="G247" s="254"/>
      <c r="H247" s="152"/>
    </row>
    <row r="248" spans="2:8" s="43" customFormat="1" x14ac:dyDescent="0.3">
      <c r="B248" s="45"/>
      <c r="C248" s="45"/>
      <c r="D248" s="127" t="str">
        <f t="shared" si="20"/>
        <v/>
      </c>
      <c r="E248" s="46"/>
      <c r="F248" s="253"/>
      <c r="G248" s="254"/>
      <c r="H248" s="152"/>
    </row>
    <row r="249" spans="2:8" s="43" customFormat="1" x14ac:dyDescent="0.3">
      <c r="B249" s="45"/>
      <c r="C249" s="45"/>
      <c r="D249" s="127" t="str">
        <f t="shared" si="20"/>
        <v/>
      </c>
      <c r="E249" s="46"/>
      <c r="F249" s="253"/>
      <c r="G249" s="254"/>
      <c r="H249" s="152"/>
    </row>
    <row r="250" spans="2:8" s="43" customFormat="1" x14ac:dyDescent="0.3">
      <c r="B250" s="45"/>
      <c r="C250" s="45"/>
      <c r="D250" s="127" t="str">
        <f t="shared" si="20"/>
        <v/>
      </c>
      <c r="E250" s="46"/>
      <c r="F250" s="253"/>
      <c r="G250" s="254"/>
      <c r="H250" s="152"/>
    </row>
    <row r="251" spans="2:8" s="43" customFormat="1" ht="15" thickBot="1" x14ac:dyDescent="0.35">
      <c r="B251" s="47"/>
      <c r="C251" s="47"/>
      <c r="D251" s="128" t="str">
        <f t="shared" si="20"/>
        <v/>
      </c>
      <c r="E251" s="48"/>
      <c r="F251" s="255"/>
      <c r="G251" s="256"/>
      <c r="H251" s="152"/>
    </row>
    <row r="252" spans="2:8" s="43" customFormat="1" ht="15" thickBot="1" x14ac:dyDescent="0.35">
      <c r="B252" s="135" t="s">
        <v>43</v>
      </c>
      <c r="C252" s="66">
        <f>SUM(C244:C251)</f>
        <v>36</v>
      </c>
      <c r="D252" s="135" t="str">
        <f xml:space="preserve"> setValueToTime(C252)</f>
        <v>3h</v>
      </c>
      <c r="E252" s="96"/>
      <c r="F252" s="263"/>
      <c r="G252" s="264"/>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11</v>
      </c>
      <c r="D254" s="137"/>
      <c r="E254" s="130" t="s">
        <v>37</v>
      </c>
      <c r="F254" s="131" t="s">
        <v>148</v>
      </c>
      <c r="G254" s="132" t="s">
        <v>56</v>
      </c>
      <c r="H254" s="151"/>
    </row>
    <row r="255" spans="2:8" s="39" customFormat="1" ht="30" customHeight="1" thickBot="1" x14ac:dyDescent="0.3">
      <c r="B255" s="61" t="s">
        <v>38</v>
      </c>
      <c r="C255" s="134" t="s">
        <v>39</v>
      </c>
      <c r="D255" s="133"/>
      <c r="E255" s="61" t="s">
        <v>40</v>
      </c>
      <c r="F255" s="265" t="s">
        <v>41</v>
      </c>
      <c r="G255" s="266"/>
      <c r="H255" s="151"/>
    </row>
    <row r="256" spans="2:8" s="43" customFormat="1" ht="27" x14ac:dyDescent="0.3">
      <c r="B256" s="40" t="s">
        <v>30</v>
      </c>
      <c r="C256" s="41">
        <v>3</v>
      </c>
      <c r="D256" s="125" t="str">
        <f xml:space="preserve"> IF(C256="","",setValueToTime(C256))</f>
        <v xml:space="preserve"> 15 min</v>
      </c>
      <c r="E256" s="42"/>
      <c r="F256" s="261"/>
      <c r="G256" s="262"/>
      <c r="H256" s="152"/>
    </row>
    <row r="257" spans="2:8" s="43" customFormat="1" ht="27" x14ac:dyDescent="0.3">
      <c r="B257" s="44" t="s">
        <v>166</v>
      </c>
      <c r="C257" s="45">
        <v>15</v>
      </c>
      <c r="D257" s="126" t="str">
        <f t="shared" ref="D257:D263" si="21" xml:space="preserve"> IF(C257="","",setValueToTime(C257))</f>
        <v>1h 15 min</v>
      </c>
      <c r="E257" s="46" t="s">
        <v>210</v>
      </c>
      <c r="F257" s="253"/>
      <c r="G257" s="254"/>
      <c r="H257" s="152"/>
    </row>
    <row r="258" spans="2:8" s="43" customFormat="1" ht="27" x14ac:dyDescent="0.3">
      <c r="B258" s="44" t="s">
        <v>158</v>
      </c>
      <c r="C258" s="45">
        <v>6</v>
      </c>
      <c r="D258" s="126" t="str">
        <f t="shared" si="21"/>
        <v xml:space="preserve"> 30 min</v>
      </c>
      <c r="E258" s="46" t="s">
        <v>209</v>
      </c>
      <c r="F258" s="253"/>
      <c r="G258" s="254"/>
      <c r="H258" s="152"/>
    </row>
    <row r="259" spans="2:8" s="43" customFormat="1" x14ac:dyDescent="0.3">
      <c r="B259" s="44" t="s">
        <v>49</v>
      </c>
      <c r="C259" s="45">
        <v>3</v>
      </c>
      <c r="D259" s="126" t="str">
        <f t="shared" si="21"/>
        <v xml:space="preserve"> 15 min</v>
      </c>
      <c r="E259" s="46"/>
      <c r="F259" s="253"/>
      <c r="G259" s="254"/>
      <c r="H259" s="152"/>
    </row>
    <row r="260" spans="2:8" s="43" customFormat="1" x14ac:dyDescent="0.3">
      <c r="B260" s="45" t="s">
        <v>201</v>
      </c>
      <c r="C260" s="45">
        <v>15</v>
      </c>
      <c r="D260" s="127" t="str">
        <f t="shared" si="21"/>
        <v>1h 15 min</v>
      </c>
      <c r="E260" s="46" t="s">
        <v>211</v>
      </c>
      <c r="F260" s="253"/>
      <c r="G260" s="254"/>
      <c r="H260" s="152"/>
    </row>
    <row r="261" spans="2:8" s="43" customFormat="1" x14ac:dyDescent="0.3">
      <c r="B261" s="45"/>
      <c r="C261" s="45"/>
      <c r="D261" s="127" t="str">
        <f t="shared" si="21"/>
        <v/>
      </c>
      <c r="E261" s="46"/>
      <c r="F261" s="253"/>
      <c r="G261" s="254"/>
      <c r="H261" s="152"/>
    </row>
    <row r="262" spans="2:8" s="43" customFormat="1" x14ac:dyDescent="0.3">
      <c r="B262" s="45"/>
      <c r="C262" s="45"/>
      <c r="D262" s="127" t="str">
        <f t="shared" si="21"/>
        <v/>
      </c>
      <c r="E262" s="46"/>
      <c r="F262" s="253"/>
      <c r="G262" s="254"/>
      <c r="H262" s="152"/>
    </row>
    <row r="263" spans="2:8" s="43" customFormat="1" ht="15" thickBot="1" x14ac:dyDescent="0.35">
      <c r="B263" s="47"/>
      <c r="C263" s="47"/>
      <c r="D263" s="128" t="str">
        <f t="shared" si="21"/>
        <v/>
      </c>
      <c r="E263" s="48"/>
      <c r="F263" s="255"/>
      <c r="G263" s="256"/>
      <c r="H263" s="152"/>
    </row>
    <row r="264" spans="2:8" s="43" customFormat="1" ht="15" thickBot="1" x14ac:dyDescent="0.35">
      <c r="B264" s="135" t="s">
        <v>43</v>
      </c>
      <c r="C264" s="66">
        <f>SUM(C256:C263)</f>
        <v>42</v>
      </c>
      <c r="D264" s="135" t="str">
        <f xml:space="preserve"> setValueToTime(C264)</f>
        <v>3h 30 min</v>
      </c>
      <c r="E264" s="96"/>
      <c r="F264" s="263"/>
      <c r="G264" s="264"/>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10</v>
      </c>
      <c r="D266" s="137"/>
      <c r="E266" s="130" t="s">
        <v>37</v>
      </c>
      <c r="F266" s="131" t="s">
        <v>151</v>
      </c>
      <c r="G266" s="132" t="s">
        <v>55</v>
      </c>
      <c r="H266" s="151"/>
    </row>
    <row r="267" spans="2:8" s="39" customFormat="1" ht="30" customHeight="1" thickBot="1" x14ac:dyDescent="0.3">
      <c r="B267" s="61" t="s">
        <v>38</v>
      </c>
      <c r="C267" s="134" t="s">
        <v>39</v>
      </c>
      <c r="D267" s="133"/>
      <c r="E267" s="61" t="s">
        <v>40</v>
      </c>
      <c r="F267" s="265" t="s">
        <v>41</v>
      </c>
      <c r="G267" s="266"/>
      <c r="H267" s="151"/>
    </row>
    <row r="268" spans="2:8" s="43" customFormat="1" ht="27" x14ac:dyDescent="0.3">
      <c r="B268" s="40" t="s">
        <v>30</v>
      </c>
      <c r="C268" s="41">
        <v>3</v>
      </c>
      <c r="D268" s="125" t="str">
        <f xml:space="preserve"> IF(C268="","",setValueToTime(C268))</f>
        <v xml:space="preserve"> 15 min</v>
      </c>
      <c r="E268" s="42"/>
      <c r="F268" s="261"/>
      <c r="G268" s="262"/>
      <c r="H268" s="152"/>
    </row>
    <row r="269" spans="2:8" s="43" customFormat="1" x14ac:dyDescent="0.3">
      <c r="B269" s="44" t="s">
        <v>201</v>
      </c>
      <c r="C269" s="45">
        <v>20</v>
      </c>
      <c r="D269" s="126" t="str">
        <f t="shared" ref="D269:D275" si="22" xml:space="preserve"> IF(C269="","",setValueToTime(C269))</f>
        <v>1h 40 min</v>
      </c>
      <c r="E269" s="46" t="s">
        <v>228</v>
      </c>
      <c r="F269" s="253"/>
      <c r="G269" s="254"/>
      <c r="H269" s="152"/>
    </row>
    <row r="270" spans="2:8" s="43" customFormat="1" ht="27" x14ac:dyDescent="0.3">
      <c r="B270" s="44" t="s">
        <v>158</v>
      </c>
      <c r="C270" s="45">
        <v>9</v>
      </c>
      <c r="D270" s="126" t="str">
        <f t="shared" si="22"/>
        <v xml:space="preserve"> 45 min</v>
      </c>
      <c r="E270" s="46" t="s">
        <v>212</v>
      </c>
      <c r="F270" s="253"/>
      <c r="G270" s="254"/>
      <c r="H270" s="152"/>
    </row>
    <row r="271" spans="2:8" s="43" customFormat="1" x14ac:dyDescent="0.3">
      <c r="B271" s="44" t="s">
        <v>49</v>
      </c>
      <c r="C271" s="45">
        <v>4</v>
      </c>
      <c r="D271" s="126" t="str">
        <f t="shared" si="22"/>
        <v xml:space="preserve"> 20 min</v>
      </c>
      <c r="E271" s="46" t="s">
        <v>208</v>
      </c>
      <c r="F271" s="253"/>
      <c r="G271" s="254"/>
      <c r="H271" s="152"/>
    </row>
    <row r="272" spans="2:8" s="43" customFormat="1" x14ac:dyDescent="0.3">
      <c r="B272" s="45"/>
      <c r="C272" s="45"/>
      <c r="D272" s="127" t="str">
        <f t="shared" si="22"/>
        <v/>
      </c>
      <c r="E272" s="46"/>
      <c r="F272" s="253"/>
      <c r="G272" s="254"/>
      <c r="H272" s="152"/>
    </row>
    <row r="273" spans="2:8" s="43" customFormat="1" x14ac:dyDescent="0.3">
      <c r="B273" s="45"/>
      <c r="C273" s="45"/>
      <c r="D273" s="127" t="str">
        <f t="shared" si="22"/>
        <v/>
      </c>
      <c r="E273" s="46"/>
      <c r="F273" s="253"/>
      <c r="G273" s="254"/>
      <c r="H273" s="152"/>
    </row>
    <row r="274" spans="2:8" s="43" customFormat="1" x14ac:dyDescent="0.3">
      <c r="B274" s="45"/>
      <c r="C274" s="45"/>
      <c r="D274" s="127" t="str">
        <f t="shared" si="22"/>
        <v/>
      </c>
      <c r="E274" s="46"/>
      <c r="F274" s="253"/>
      <c r="G274" s="254"/>
      <c r="H274" s="152"/>
    </row>
    <row r="275" spans="2:8" s="43" customFormat="1" ht="15" thickBot="1" x14ac:dyDescent="0.35">
      <c r="B275" s="47"/>
      <c r="C275" s="47"/>
      <c r="D275" s="128" t="str">
        <f t="shared" si="22"/>
        <v/>
      </c>
      <c r="E275" s="48"/>
      <c r="F275" s="255"/>
      <c r="G275" s="256"/>
      <c r="H275" s="152"/>
    </row>
    <row r="276" spans="2:8" s="43" customFormat="1" ht="15" thickBot="1" x14ac:dyDescent="0.35">
      <c r="B276" s="135" t="s">
        <v>43</v>
      </c>
      <c r="C276" s="66">
        <f>SUM(C268:C275)</f>
        <v>36</v>
      </c>
      <c r="D276" s="135" t="str">
        <f xml:space="preserve"> setValueToTime(C276)</f>
        <v>3h</v>
      </c>
      <c r="E276" s="96"/>
      <c r="F276" s="263"/>
      <c r="G276" s="264"/>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9</v>
      </c>
      <c r="D278" s="137"/>
      <c r="E278" s="130" t="s">
        <v>37</v>
      </c>
      <c r="F278" s="131" t="s">
        <v>151</v>
      </c>
      <c r="G278" s="132" t="s">
        <v>56</v>
      </c>
      <c r="H278" s="151"/>
    </row>
    <row r="279" spans="2:8" s="39" customFormat="1" ht="30" customHeight="1" thickBot="1" x14ac:dyDescent="0.3">
      <c r="B279" s="61" t="s">
        <v>38</v>
      </c>
      <c r="C279" s="134" t="s">
        <v>39</v>
      </c>
      <c r="D279" s="133"/>
      <c r="E279" s="61" t="s">
        <v>40</v>
      </c>
      <c r="F279" s="265" t="s">
        <v>41</v>
      </c>
      <c r="G279" s="266"/>
      <c r="H279" s="151"/>
    </row>
    <row r="280" spans="2:8" s="43" customFormat="1" ht="27" x14ac:dyDescent="0.3">
      <c r="B280" s="40" t="s">
        <v>30</v>
      </c>
      <c r="C280" s="41">
        <v>4</v>
      </c>
      <c r="D280" s="125" t="str">
        <f xml:space="preserve"> IF(C280="","",setValueToTime(C280))</f>
        <v xml:space="preserve"> 20 min</v>
      </c>
      <c r="E280" s="42" t="s">
        <v>205</v>
      </c>
      <c r="F280" s="261"/>
      <c r="G280" s="262"/>
      <c r="H280" s="152"/>
    </row>
    <row r="281" spans="2:8" s="43" customFormat="1" ht="27" x14ac:dyDescent="0.3">
      <c r="B281" s="44" t="s">
        <v>201</v>
      </c>
      <c r="C281" s="45">
        <v>14</v>
      </c>
      <c r="D281" s="126" t="str">
        <f t="shared" ref="D281:D287" si="23" xml:space="preserve"> IF(C281="","",setValueToTime(C281))</f>
        <v>1h 10 min</v>
      </c>
      <c r="E281" s="46" t="s">
        <v>229</v>
      </c>
      <c r="F281" s="253"/>
      <c r="G281" s="254"/>
      <c r="H281" s="152"/>
    </row>
    <row r="282" spans="2:8" s="43" customFormat="1" ht="27" x14ac:dyDescent="0.3">
      <c r="B282" s="44" t="s">
        <v>161</v>
      </c>
      <c r="C282" s="45">
        <v>12</v>
      </c>
      <c r="D282" s="126" t="str">
        <f t="shared" si="23"/>
        <v>1h</v>
      </c>
      <c r="E282" s="46" t="s">
        <v>206</v>
      </c>
      <c r="F282" s="253"/>
      <c r="G282" s="254"/>
      <c r="H282" s="152"/>
    </row>
    <row r="283" spans="2:8" s="43" customFormat="1" ht="27" x14ac:dyDescent="0.3">
      <c r="B283" s="44" t="s">
        <v>158</v>
      </c>
      <c r="C283" s="45">
        <v>12</v>
      </c>
      <c r="D283" s="126" t="str">
        <f t="shared" si="23"/>
        <v>1h</v>
      </c>
      <c r="E283" s="46" t="s">
        <v>207</v>
      </c>
      <c r="F283" s="253"/>
      <c r="G283" s="254"/>
      <c r="H283" s="152"/>
    </row>
    <row r="284" spans="2:8" s="43" customFormat="1" x14ac:dyDescent="0.3">
      <c r="B284" s="45"/>
      <c r="C284" s="45"/>
      <c r="D284" s="127" t="str">
        <f t="shared" si="23"/>
        <v/>
      </c>
      <c r="E284" s="46"/>
      <c r="F284" s="253"/>
      <c r="G284" s="254"/>
      <c r="H284" s="152"/>
    </row>
    <row r="285" spans="2:8" s="43" customFormat="1" x14ac:dyDescent="0.3">
      <c r="B285" s="45"/>
      <c r="C285" s="45"/>
      <c r="D285" s="127" t="str">
        <f t="shared" si="23"/>
        <v/>
      </c>
      <c r="E285" s="46"/>
      <c r="F285" s="253"/>
      <c r="G285" s="254"/>
      <c r="H285" s="152"/>
    </row>
    <row r="286" spans="2:8" s="43" customFormat="1" x14ac:dyDescent="0.3">
      <c r="B286" s="45"/>
      <c r="C286" s="45"/>
      <c r="D286" s="127" t="str">
        <f t="shared" si="23"/>
        <v/>
      </c>
      <c r="E286" s="46"/>
      <c r="F286" s="253"/>
      <c r="G286" s="254"/>
      <c r="H286" s="152"/>
    </row>
    <row r="287" spans="2:8" s="43" customFormat="1" ht="15" thickBot="1" x14ac:dyDescent="0.35">
      <c r="B287" s="47"/>
      <c r="C287" s="47"/>
      <c r="D287" s="128" t="str">
        <f t="shared" si="23"/>
        <v/>
      </c>
      <c r="E287" s="48"/>
      <c r="F287" s="255"/>
      <c r="G287" s="256"/>
      <c r="H287" s="152"/>
    </row>
    <row r="288" spans="2:8" s="43" customFormat="1" ht="15" thickBot="1" x14ac:dyDescent="0.35">
      <c r="B288" s="135" t="s">
        <v>43</v>
      </c>
      <c r="C288" s="66">
        <f>SUM(C280:C287)</f>
        <v>42</v>
      </c>
      <c r="D288" s="135" t="str">
        <f xml:space="preserve"> setValueToTime(C288)</f>
        <v>3h 30 min</v>
      </c>
      <c r="E288" s="96"/>
      <c r="F288" s="263"/>
      <c r="G288" s="264"/>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8</v>
      </c>
      <c r="D290" s="137"/>
      <c r="E290" s="130" t="s">
        <v>37</v>
      </c>
      <c r="F290" s="131" t="s">
        <v>65</v>
      </c>
      <c r="G290" s="132" t="s">
        <v>55</v>
      </c>
      <c r="H290" s="151"/>
    </row>
    <row r="291" spans="2:8" s="39" customFormat="1" ht="30" customHeight="1" thickBot="1" x14ac:dyDescent="0.3">
      <c r="B291" s="61" t="s">
        <v>38</v>
      </c>
      <c r="C291" s="134" t="s">
        <v>39</v>
      </c>
      <c r="D291" s="133"/>
      <c r="E291" s="61" t="s">
        <v>40</v>
      </c>
      <c r="F291" s="265" t="s">
        <v>41</v>
      </c>
      <c r="G291" s="266"/>
      <c r="H291" s="151"/>
    </row>
    <row r="292" spans="2:8" s="43" customFormat="1" ht="27" x14ac:dyDescent="0.3">
      <c r="B292" s="40" t="s">
        <v>30</v>
      </c>
      <c r="C292" s="41">
        <v>3</v>
      </c>
      <c r="D292" s="125" t="str">
        <f xml:space="preserve"> IF(C292="","",setValueToTime(C292))</f>
        <v xml:space="preserve"> 15 min</v>
      </c>
      <c r="E292" s="42"/>
      <c r="F292" s="261"/>
      <c r="G292" s="262"/>
      <c r="H292" s="152"/>
    </row>
    <row r="293" spans="2:8" s="43" customFormat="1" x14ac:dyDescent="0.3">
      <c r="B293" s="44" t="s">
        <v>201</v>
      </c>
      <c r="C293" s="45">
        <v>20</v>
      </c>
      <c r="D293" s="126" t="str">
        <f t="shared" ref="D293:D299" si="24" xml:space="preserve"> IF(C293="","",setValueToTime(C293))</f>
        <v>1h 40 min</v>
      </c>
      <c r="E293" s="46" t="s">
        <v>230</v>
      </c>
      <c r="F293" s="253"/>
      <c r="G293" s="254"/>
      <c r="H293" s="152"/>
    </row>
    <row r="294" spans="2:8" s="43" customFormat="1" ht="27" x14ac:dyDescent="0.3">
      <c r="B294" s="44" t="s">
        <v>161</v>
      </c>
      <c r="C294" s="45">
        <v>10</v>
      </c>
      <c r="D294" s="126" t="str">
        <f t="shared" si="24"/>
        <v xml:space="preserve"> 50 min</v>
      </c>
      <c r="E294" s="46" t="s">
        <v>203</v>
      </c>
      <c r="F294" s="253"/>
      <c r="G294" s="254"/>
      <c r="H294" s="152"/>
    </row>
    <row r="295" spans="2:8" s="43" customFormat="1" x14ac:dyDescent="0.3">
      <c r="B295" s="44" t="s">
        <v>47</v>
      </c>
      <c r="C295" s="45">
        <v>3</v>
      </c>
      <c r="D295" s="126" t="str">
        <f t="shared" si="24"/>
        <v xml:space="preserve"> 15 min</v>
      </c>
      <c r="E295" s="46" t="s">
        <v>202</v>
      </c>
      <c r="F295" s="253"/>
      <c r="G295" s="254"/>
      <c r="H295" s="152"/>
    </row>
    <row r="296" spans="2:8" s="43" customFormat="1" ht="27" x14ac:dyDescent="0.3">
      <c r="B296" s="45" t="s">
        <v>158</v>
      </c>
      <c r="C296" s="45">
        <v>6</v>
      </c>
      <c r="D296" s="127" t="str">
        <f t="shared" si="24"/>
        <v xml:space="preserve"> 30 min</v>
      </c>
      <c r="E296" s="46" t="s">
        <v>204</v>
      </c>
      <c r="F296" s="253"/>
      <c r="G296" s="254"/>
      <c r="H296" s="152"/>
    </row>
    <row r="297" spans="2:8" s="43" customFormat="1" x14ac:dyDescent="0.3">
      <c r="B297" s="45"/>
      <c r="C297" s="45"/>
      <c r="D297" s="127" t="str">
        <f t="shared" si="24"/>
        <v/>
      </c>
      <c r="E297" s="46"/>
      <c r="F297" s="253"/>
      <c r="G297" s="254"/>
      <c r="H297" s="152"/>
    </row>
    <row r="298" spans="2:8" s="43" customFormat="1" x14ac:dyDescent="0.3">
      <c r="B298" s="45"/>
      <c r="C298" s="45"/>
      <c r="D298" s="127" t="str">
        <f t="shared" si="24"/>
        <v/>
      </c>
      <c r="E298" s="46"/>
      <c r="F298" s="253"/>
      <c r="G298" s="254"/>
      <c r="H298" s="152"/>
    </row>
    <row r="299" spans="2:8" s="43" customFormat="1" ht="15" thickBot="1" x14ac:dyDescent="0.35">
      <c r="B299" s="47"/>
      <c r="C299" s="47"/>
      <c r="D299" s="128" t="str">
        <f t="shared" si="24"/>
        <v/>
      </c>
      <c r="E299" s="48"/>
      <c r="F299" s="255"/>
      <c r="G299" s="256"/>
      <c r="H299" s="152"/>
    </row>
    <row r="300" spans="2:8" s="43" customFormat="1" ht="15" thickBot="1" x14ac:dyDescent="0.35">
      <c r="B300" s="135" t="s">
        <v>43</v>
      </c>
      <c r="C300" s="66">
        <f>SUM(C292:C299)</f>
        <v>42</v>
      </c>
      <c r="D300" s="135" t="str">
        <f xml:space="preserve"> setValueToTime(C300)</f>
        <v>3h 30 min</v>
      </c>
      <c r="E300" s="96"/>
      <c r="F300" s="263"/>
      <c r="G300" s="264"/>
      <c r="H300" s="152"/>
    </row>
    <row r="301" spans="2:8" s="43" customFormat="1" ht="15" thickBot="1" x14ac:dyDescent="0.35">
      <c r="B301" s="60"/>
      <c r="C301" s="60"/>
      <c r="D301" s="60"/>
      <c r="E301" s="60"/>
      <c r="F301" s="60"/>
      <c r="G301" s="60"/>
      <c r="H301" s="152"/>
    </row>
    <row r="302" spans="2:8" s="39" customFormat="1" ht="30" customHeight="1" thickBot="1" x14ac:dyDescent="0.3">
      <c r="B302" s="129" t="s">
        <v>36</v>
      </c>
      <c r="C302" s="137">
        <v>7</v>
      </c>
      <c r="D302" s="137"/>
      <c r="E302" s="130" t="s">
        <v>37</v>
      </c>
      <c r="F302" s="131" t="s">
        <v>65</v>
      </c>
      <c r="G302" s="132" t="s">
        <v>56</v>
      </c>
      <c r="H302" s="151"/>
    </row>
    <row r="303" spans="2:8" s="39" customFormat="1" ht="30" customHeight="1" thickBot="1" x14ac:dyDescent="0.3">
      <c r="B303" s="61" t="s">
        <v>38</v>
      </c>
      <c r="C303" s="134" t="s">
        <v>39</v>
      </c>
      <c r="D303" s="133"/>
      <c r="E303" s="61" t="s">
        <v>40</v>
      </c>
      <c r="F303" s="265" t="s">
        <v>41</v>
      </c>
      <c r="G303" s="266"/>
      <c r="H303" s="151"/>
    </row>
    <row r="304" spans="2:8" s="43" customFormat="1" ht="27" x14ac:dyDescent="0.3">
      <c r="B304" s="40" t="s">
        <v>30</v>
      </c>
      <c r="C304" s="41">
        <v>3</v>
      </c>
      <c r="D304" s="125" t="str">
        <f xml:space="preserve"> IF(C304="","",setValueToTime(C304))</f>
        <v xml:space="preserve"> 15 min</v>
      </c>
      <c r="E304" s="42"/>
      <c r="F304" s="261"/>
      <c r="G304" s="262"/>
      <c r="H304" s="152"/>
    </row>
    <row r="305" spans="2:8" s="43" customFormat="1" ht="27" x14ac:dyDescent="0.3">
      <c r="B305" s="44" t="s">
        <v>168</v>
      </c>
      <c r="C305" s="45">
        <v>10</v>
      </c>
      <c r="D305" s="126" t="str">
        <f t="shared" ref="D305:D311" si="25" xml:space="preserve"> IF(C305="","",setValueToTime(C305))</f>
        <v xml:space="preserve"> 50 min</v>
      </c>
      <c r="E305" s="46" t="s">
        <v>194</v>
      </c>
      <c r="F305" s="253"/>
      <c r="G305" s="254"/>
      <c r="H305" s="152"/>
    </row>
    <row r="306" spans="2:8" s="43" customFormat="1" ht="27" x14ac:dyDescent="0.3">
      <c r="B306" s="44" t="s">
        <v>158</v>
      </c>
      <c r="C306" s="45">
        <v>15</v>
      </c>
      <c r="D306" s="126" t="str">
        <f t="shared" si="25"/>
        <v>1h 15 min</v>
      </c>
      <c r="E306" s="46" t="s">
        <v>200</v>
      </c>
      <c r="F306" s="253"/>
      <c r="G306" s="254"/>
      <c r="H306" s="152"/>
    </row>
    <row r="307" spans="2:8" s="43" customFormat="1" x14ac:dyDescent="0.3">
      <c r="B307" s="44" t="s">
        <v>201</v>
      </c>
      <c r="C307" s="45">
        <v>14</v>
      </c>
      <c r="D307" s="126" t="str">
        <f t="shared" si="25"/>
        <v>1h 10 min</v>
      </c>
      <c r="E307" s="46" t="s">
        <v>231</v>
      </c>
      <c r="F307" s="253"/>
      <c r="G307" s="254"/>
      <c r="H307" s="152"/>
    </row>
    <row r="308" spans="2:8" s="43" customFormat="1" x14ac:dyDescent="0.3">
      <c r="B308" s="45"/>
      <c r="C308" s="45"/>
      <c r="D308" s="127" t="str">
        <f t="shared" si="25"/>
        <v/>
      </c>
      <c r="E308" s="46"/>
      <c r="F308" s="253"/>
      <c r="G308" s="254"/>
      <c r="H308" s="152"/>
    </row>
    <row r="309" spans="2:8" s="43" customFormat="1" x14ac:dyDescent="0.3">
      <c r="B309" s="45"/>
      <c r="C309" s="45"/>
      <c r="D309" s="127" t="str">
        <f t="shared" si="25"/>
        <v/>
      </c>
      <c r="E309" s="46"/>
      <c r="F309" s="253"/>
      <c r="G309" s="254"/>
      <c r="H309" s="152"/>
    </row>
    <row r="310" spans="2:8" s="43" customFormat="1" x14ac:dyDescent="0.3">
      <c r="B310" s="45"/>
      <c r="C310" s="45"/>
      <c r="D310" s="127" t="str">
        <f t="shared" si="25"/>
        <v/>
      </c>
      <c r="E310" s="46"/>
      <c r="F310" s="253"/>
      <c r="G310" s="254"/>
      <c r="H310" s="152"/>
    </row>
    <row r="311" spans="2:8" s="43" customFormat="1" ht="15" thickBot="1" x14ac:dyDescent="0.35">
      <c r="B311" s="47"/>
      <c r="C311" s="47"/>
      <c r="D311" s="128" t="str">
        <f t="shared" si="25"/>
        <v/>
      </c>
      <c r="E311" s="48"/>
      <c r="F311" s="255"/>
      <c r="G311" s="256"/>
      <c r="H311" s="152"/>
    </row>
    <row r="312" spans="2:8" s="43" customFormat="1" ht="15" thickBot="1" x14ac:dyDescent="0.35">
      <c r="B312" s="135" t="s">
        <v>43</v>
      </c>
      <c r="C312" s="66">
        <f>SUM(C304:C311)</f>
        <v>42</v>
      </c>
      <c r="D312" s="135" t="str">
        <f xml:space="preserve"> setValueToTime(C312)</f>
        <v>3h 30 min</v>
      </c>
      <c r="E312" s="96"/>
      <c r="F312" s="263"/>
      <c r="G312" s="264"/>
      <c r="H312" s="152"/>
    </row>
    <row r="313" spans="2:8" s="43" customFormat="1" ht="15" thickBot="1" x14ac:dyDescent="0.35">
      <c r="B313" s="60"/>
      <c r="C313" s="60"/>
      <c r="D313" s="60"/>
      <c r="E313" s="60"/>
      <c r="F313" s="60"/>
      <c r="G313" s="60"/>
      <c r="H313" s="152"/>
    </row>
    <row r="314" spans="2:8" s="39" customFormat="1" ht="30" customHeight="1" thickBot="1" x14ac:dyDescent="0.3">
      <c r="B314" s="129" t="s">
        <v>36</v>
      </c>
      <c r="C314" s="137">
        <v>6</v>
      </c>
      <c r="D314" s="137"/>
      <c r="E314" s="130" t="s">
        <v>37</v>
      </c>
      <c r="F314" s="131" t="s">
        <v>68</v>
      </c>
      <c r="G314" s="132" t="s">
        <v>55</v>
      </c>
      <c r="H314" s="151"/>
    </row>
    <row r="315" spans="2:8" s="39" customFormat="1" ht="30" customHeight="1" thickBot="1" x14ac:dyDescent="0.3">
      <c r="B315" s="61" t="s">
        <v>38</v>
      </c>
      <c r="C315" s="134" t="s">
        <v>39</v>
      </c>
      <c r="D315" s="133"/>
      <c r="E315" s="61" t="s">
        <v>40</v>
      </c>
      <c r="F315" s="265" t="s">
        <v>41</v>
      </c>
      <c r="G315" s="266"/>
      <c r="H315" s="151"/>
    </row>
    <row r="316" spans="2:8" s="43" customFormat="1" x14ac:dyDescent="0.3">
      <c r="B316" s="40" t="s">
        <v>167</v>
      </c>
      <c r="C316" s="41">
        <v>6</v>
      </c>
      <c r="D316" s="125" t="str">
        <f xml:space="preserve"> IF(C316="","",setValueToTime(C316))</f>
        <v xml:space="preserve"> 30 min</v>
      </c>
      <c r="E316" s="42" t="s">
        <v>196</v>
      </c>
      <c r="F316" s="261"/>
      <c r="G316" s="262"/>
      <c r="H316" s="152"/>
    </row>
    <row r="317" spans="2:8" s="43" customFormat="1" ht="27" x14ac:dyDescent="0.3">
      <c r="B317" s="44" t="s">
        <v>49</v>
      </c>
      <c r="C317" s="45">
        <v>6</v>
      </c>
      <c r="D317" s="126" t="str">
        <f t="shared" ref="D317:D323" si="26" xml:space="preserve"> IF(C317="","",setValueToTime(C317))</f>
        <v xml:space="preserve"> 30 min</v>
      </c>
      <c r="E317" s="46" t="s">
        <v>195</v>
      </c>
      <c r="F317" s="253"/>
      <c r="G317" s="254"/>
      <c r="H317" s="152"/>
    </row>
    <row r="318" spans="2:8" s="43" customFormat="1" ht="27" x14ac:dyDescent="0.3">
      <c r="B318" s="44" t="s">
        <v>30</v>
      </c>
      <c r="C318" s="45">
        <v>3</v>
      </c>
      <c r="D318" s="126" t="str">
        <f t="shared" si="26"/>
        <v xml:space="preserve"> 15 min</v>
      </c>
      <c r="E318" s="46" t="s">
        <v>198</v>
      </c>
      <c r="F318" s="253"/>
      <c r="G318" s="254"/>
      <c r="H318" s="152"/>
    </row>
    <row r="319" spans="2:8" s="43" customFormat="1" ht="27" x14ac:dyDescent="0.3">
      <c r="B319" s="44" t="s">
        <v>158</v>
      </c>
      <c r="C319" s="45">
        <v>12</v>
      </c>
      <c r="D319" s="126" t="str">
        <f t="shared" si="26"/>
        <v>1h</v>
      </c>
      <c r="E319" s="46" t="s">
        <v>197</v>
      </c>
      <c r="F319" s="253"/>
      <c r="G319" s="254"/>
      <c r="H319" s="152"/>
    </row>
    <row r="320" spans="2:8" s="43" customFormat="1" x14ac:dyDescent="0.3">
      <c r="B320" s="45"/>
      <c r="C320" s="45"/>
      <c r="D320" s="127" t="str">
        <f t="shared" si="26"/>
        <v/>
      </c>
      <c r="E320" s="46"/>
      <c r="F320" s="253"/>
      <c r="G320" s="254"/>
      <c r="H320" s="152"/>
    </row>
    <row r="321" spans="2:8" s="43" customFormat="1" x14ac:dyDescent="0.3">
      <c r="B321" s="45"/>
      <c r="C321" s="45"/>
      <c r="D321" s="127" t="str">
        <f t="shared" si="26"/>
        <v/>
      </c>
      <c r="E321" s="46"/>
      <c r="F321" s="253"/>
      <c r="G321" s="254"/>
      <c r="H321" s="152"/>
    </row>
    <row r="322" spans="2:8" s="43" customFormat="1" x14ac:dyDescent="0.3">
      <c r="B322" s="45"/>
      <c r="C322" s="45"/>
      <c r="D322" s="127" t="str">
        <f t="shared" si="26"/>
        <v/>
      </c>
      <c r="E322" s="46"/>
      <c r="F322" s="253"/>
      <c r="G322" s="254"/>
      <c r="H322" s="152"/>
    </row>
    <row r="323" spans="2:8" s="43" customFormat="1" ht="15" thickBot="1" x14ac:dyDescent="0.35">
      <c r="B323" s="47"/>
      <c r="C323" s="47"/>
      <c r="D323" s="128" t="str">
        <f t="shared" si="26"/>
        <v/>
      </c>
      <c r="E323" s="48"/>
      <c r="F323" s="255"/>
      <c r="G323" s="256"/>
      <c r="H323" s="152"/>
    </row>
    <row r="324" spans="2:8" s="43" customFormat="1" ht="15" thickBot="1" x14ac:dyDescent="0.35">
      <c r="B324" s="135" t="s">
        <v>43</v>
      </c>
      <c r="C324" s="66">
        <f>SUM(C316:C323)</f>
        <v>27</v>
      </c>
      <c r="D324" s="135" t="str">
        <f xml:space="preserve"> setValueToTime(C324)</f>
        <v>2h 15 min</v>
      </c>
      <c r="E324" s="96"/>
      <c r="F324" s="263"/>
      <c r="G324" s="264"/>
      <c r="H324" s="152"/>
    </row>
    <row r="325" spans="2:8" s="43" customFormat="1" ht="15" thickBot="1" x14ac:dyDescent="0.35">
      <c r="B325" s="60"/>
      <c r="C325" s="60"/>
      <c r="D325" s="60"/>
      <c r="E325" s="60"/>
      <c r="F325" s="60"/>
      <c r="G325" s="60"/>
      <c r="H325" s="152"/>
    </row>
    <row r="326" spans="2:8" s="39" customFormat="1" ht="30" customHeight="1" thickBot="1" x14ac:dyDescent="0.3">
      <c r="B326" s="129" t="s">
        <v>36</v>
      </c>
      <c r="C326" s="137">
        <v>5</v>
      </c>
      <c r="D326" s="137"/>
      <c r="E326" s="130" t="s">
        <v>37</v>
      </c>
      <c r="F326" s="131" t="s">
        <v>68</v>
      </c>
      <c r="G326" s="132" t="s">
        <v>56</v>
      </c>
      <c r="H326" s="151"/>
    </row>
    <row r="327" spans="2:8" s="39" customFormat="1" ht="30" customHeight="1" thickBot="1" x14ac:dyDescent="0.3">
      <c r="B327" s="61" t="s">
        <v>38</v>
      </c>
      <c r="C327" s="134" t="s">
        <v>39</v>
      </c>
      <c r="D327" s="133"/>
      <c r="E327" s="61" t="s">
        <v>40</v>
      </c>
      <c r="F327" s="265" t="s">
        <v>41</v>
      </c>
      <c r="G327" s="266"/>
      <c r="H327" s="151"/>
    </row>
    <row r="328" spans="2:8" s="43" customFormat="1" ht="27" x14ac:dyDescent="0.3">
      <c r="B328" s="40" t="s">
        <v>30</v>
      </c>
      <c r="C328" s="41">
        <v>8</v>
      </c>
      <c r="D328" s="125" t="str">
        <f xml:space="preserve"> IF(C328="","",setValueToTime(C328))</f>
        <v xml:space="preserve"> 40 min</v>
      </c>
      <c r="E328" s="42" t="s">
        <v>193</v>
      </c>
      <c r="F328" s="261"/>
      <c r="G328" s="262"/>
      <c r="H328" s="152"/>
    </row>
    <row r="329" spans="2:8" s="43" customFormat="1" x14ac:dyDescent="0.3">
      <c r="B329" s="44" t="s">
        <v>31</v>
      </c>
      <c r="C329" s="45">
        <v>16</v>
      </c>
      <c r="D329" s="126" t="str">
        <f t="shared" ref="D329:D335" si="27" xml:space="preserve"> IF(C329="","",setValueToTime(C329))</f>
        <v>1h 20 min</v>
      </c>
      <c r="E329" s="46" t="s">
        <v>192</v>
      </c>
      <c r="F329" s="253"/>
      <c r="G329" s="254"/>
      <c r="H329" s="152"/>
    </row>
    <row r="330" spans="2:8" s="43" customFormat="1" ht="27" x14ac:dyDescent="0.3">
      <c r="B330" s="44" t="s">
        <v>158</v>
      </c>
      <c r="C330" s="45">
        <v>12</v>
      </c>
      <c r="D330" s="126" t="str">
        <f t="shared" si="27"/>
        <v>1h</v>
      </c>
      <c r="E330" s="46" t="s">
        <v>172</v>
      </c>
      <c r="F330" s="253"/>
      <c r="G330" s="254"/>
      <c r="H330" s="152"/>
    </row>
    <row r="331" spans="2:8" s="43" customFormat="1" x14ac:dyDescent="0.3">
      <c r="B331" s="44" t="s">
        <v>109</v>
      </c>
      <c r="C331" s="45">
        <v>6</v>
      </c>
      <c r="D331" s="126" t="str">
        <f t="shared" si="27"/>
        <v xml:space="preserve"> 30 min</v>
      </c>
      <c r="E331" s="46" t="s">
        <v>199</v>
      </c>
      <c r="F331" s="253"/>
      <c r="G331" s="254"/>
      <c r="H331" s="152"/>
    </row>
    <row r="332" spans="2:8" s="43" customFormat="1" x14ac:dyDescent="0.3">
      <c r="B332" s="45"/>
      <c r="C332" s="45"/>
      <c r="D332" s="127" t="str">
        <f t="shared" si="27"/>
        <v/>
      </c>
      <c r="E332" s="46"/>
      <c r="F332" s="253"/>
      <c r="G332" s="254"/>
      <c r="H332" s="152"/>
    </row>
    <row r="333" spans="2:8" s="43" customFormat="1" x14ac:dyDescent="0.3">
      <c r="B333" s="45"/>
      <c r="C333" s="45"/>
      <c r="D333" s="127" t="str">
        <f t="shared" si="27"/>
        <v/>
      </c>
      <c r="E333" s="46"/>
      <c r="F333" s="253"/>
      <c r="G333" s="254"/>
      <c r="H333" s="152"/>
    </row>
    <row r="334" spans="2:8" s="43" customFormat="1" x14ac:dyDescent="0.3">
      <c r="B334" s="45"/>
      <c r="C334" s="45"/>
      <c r="D334" s="127" t="str">
        <f t="shared" si="27"/>
        <v/>
      </c>
      <c r="E334" s="46"/>
      <c r="F334" s="253"/>
      <c r="G334" s="254"/>
      <c r="H334" s="152"/>
    </row>
    <row r="335" spans="2:8" s="43" customFormat="1" ht="15" thickBot="1" x14ac:dyDescent="0.35">
      <c r="B335" s="47"/>
      <c r="C335" s="47"/>
      <c r="D335" s="128" t="str">
        <f t="shared" si="27"/>
        <v/>
      </c>
      <c r="E335" s="48"/>
      <c r="F335" s="255"/>
      <c r="G335" s="256"/>
      <c r="H335" s="152"/>
    </row>
    <row r="336" spans="2:8" s="43" customFormat="1" ht="15" thickBot="1" x14ac:dyDescent="0.35">
      <c r="B336" s="135" t="s">
        <v>43</v>
      </c>
      <c r="C336" s="66">
        <f>SUM(C328:C335)</f>
        <v>42</v>
      </c>
      <c r="D336" s="135" t="str">
        <f xml:space="preserve"> setValueToTime(C336)</f>
        <v>3h 30 min</v>
      </c>
      <c r="E336" s="96"/>
      <c r="F336" s="263"/>
      <c r="G336" s="264"/>
      <c r="H336" s="152"/>
    </row>
    <row r="337" spans="2:8" s="43" customFormat="1" ht="15" thickBot="1" x14ac:dyDescent="0.35">
      <c r="B337" s="60"/>
      <c r="C337" s="60"/>
      <c r="D337" s="60"/>
      <c r="E337" s="60"/>
      <c r="F337" s="60"/>
      <c r="G337" s="60"/>
      <c r="H337" s="152"/>
    </row>
    <row r="338" spans="2:8" s="39" customFormat="1" ht="30" customHeight="1" thickBot="1" x14ac:dyDescent="0.3">
      <c r="B338" s="129" t="s">
        <v>36</v>
      </c>
      <c r="C338" s="137">
        <v>4</v>
      </c>
      <c r="D338" s="137"/>
      <c r="E338" s="130" t="s">
        <v>37</v>
      </c>
      <c r="F338" s="131" t="s">
        <v>71</v>
      </c>
      <c r="G338" s="132" t="s">
        <v>55</v>
      </c>
      <c r="H338" s="151"/>
    </row>
    <row r="339" spans="2:8" s="39" customFormat="1" ht="30" customHeight="1" thickBot="1" x14ac:dyDescent="0.3">
      <c r="B339" s="61" t="s">
        <v>38</v>
      </c>
      <c r="C339" s="134" t="s">
        <v>39</v>
      </c>
      <c r="D339" s="133"/>
      <c r="E339" s="61" t="s">
        <v>40</v>
      </c>
      <c r="F339" s="265" t="s">
        <v>41</v>
      </c>
      <c r="G339" s="266"/>
      <c r="H339" s="151"/>
    </row>
    <row r="340" spans="2:8" s="43" customFormat="1" ht="27" x14ac:dyDescent="0.3">
      <c r="B340" s="44" t="s">
        <v>30</v>
      </c>
      <c r="C340" s="45">
        <v>2</v>
      </c>
      <c r="D340" s="126" t="str">
        <f t="shared" ref="D340:D342" si="28" xml:space="preserve"> IF(C340="","",setValueToTime(C340))</f>
        <v xml:space="preserve"> 10 min</v>
      </c>
      <c r="E340" s="46" t="s">
        <v>120</v>
      </c>
      <c r="F340" s="261"/>
      <c r="G340" s="262"/>
      <c r="H340" s="152"/>
    </row>
    <row r="341" spans="2:8" s="43" customFormat="1" ht="27" x14ac:dyDescent="0.3">
      <c r="B341" s="44" t="s">
        <v>44</v>
      </c>
      <c r="C341" s="45">
        <v>10</v>
      </c>
      <c r="D341" s="126" t="str">
        <f t="shared" si="28"/>
        <v xml:space="preserve"> 50 min</v>
      </c>
      <c r="E341" s="46" t="s">
        <v>187</v>
      </c>
      <c r="F341" s="253"/>
      <c r="G341" s="254"/>
      <c r="H341" s="152"/>
    </row>
    <row r="342" spans="2:8" s="43" customFormat="1" ht="27" x14ac:dyDescent="0.3">
      <c r="B342" s="44" t="s">
        <v>48</v>
      </c>
      <c r="C342" s="45">
        <v>12</v>
      </c>
      <c r="D342" s="126" t="str">
        <f t="shared" si="28"/>
        <v>1h</v>
      </c>
      <c r="E342" s="46" t="s">
        <v>130</v>
      </c>
      <c r="F342" s="253"/>
      <c r="G342" s="254"/>
      <c r="H342" s="152"/>
    </row>
    <row r="343" spans="2:8" s="43" customFormat="1" x14ac:dyDescent="0.3">
      <c r="B343" s="44" t="s">
        <v>31</v>
      </c>
      <c r="C343" s="45">
        <v>6</v>
      </c>
      <c r="D343" s="126" t="str">
        <f t="shared" ref="D343:D347" si="29" xml:space="preserve"> IF(C343="","",setValueToTime(C343))</f>
        <v xml:space="preserve"> 30 min</v>
      </c>
      <c r="E343" s="46" t="s">
        <v>188</v>
      </c>
      <c r="F343" s="253"/>
      <c r="G343" s="254"/>
      <c r="H343" s="152"/>
    </row>
    <row r="344" spans="2:8" s="43" customFormat="1" x14ac:dyDescent="0.3">
      <c r="B344" s="45"/>
      <c r="C344" s="45"/>
      <c r="D344" s="127" t="str">
        <f t="shared" si="29"/>
        <v/>
      </c>
      <c r="E344" s="46"/>
      <c r="F344" s="253"/>
      <c r="G344" s="254"/>
      <c r="H344" s="152"/>
    </row>
    <row r="345" spans="2:8" s="43" customFormat="1" x14ac:dyDescent="0.3">
      <c r="B345" s="45"/>
      <c r="C345" s="45"/>
      <c r="D345" s="127" t="str">
        <f t="shared" si="29"/>
        <v/>
      </c>
      <c r="E345" s="46"/>
      <c r="F345" s="253"/>
      <c r="G345" s="254"/>
      <c r="H345" s="152"/>
    </row>
    <row r="346" spans="2:8" s="43" customFormat="1" x14ac:dyDescent="0.3">
      <c r="B346" s="45"/>
      <c r="C346" s="45"/>
      <c r="D346" s="127" t="str">
        <f t="shared" si="29"/>
        <v/>
      </c>
      <c r="E346" s="46"/>
      <c r="F346" s="253"/>
      <c r="G346" s="254"/>
      <c r="H346" s="152"/>
    </row>
    <row r="347" spans="2:8" s="43" customFormat="1" ht="15" thickBot="1" x14ac:dyDescent="0.35">
      <c r="B347" s="47"/>
      <c r="C347" s="47"/>
      <c r="D347" s="128" t="str">
        <f t="shared" si="29"/>
        <v/>
      </c>
      <c r="E347" s="48"/>
      <c r="F347" s="255"/>
      <c r="G347" s="256"/>
      <c r="H347" s="152"/>
    </row>
    <row r="348" spans="2:8" s="43" customFormat="1" ht="15" thickBot="1" x14ac:dyDescent="0.35">
      <c r="B348" s="135" t="s">
        <v>43</v>
      </c>
      <c r="C348" s="66">
        <f>SUM(C340:C347)</f>
        <v>30</v>
      </c>
      <c r="D348" s="135" t="str">
        <f xml:space="preserve"> setValueToTime(C348)</f>
        <v>2h 30 min</v>
      </c>
      <c r="E348" s="96"/>
      <c r="F348" s="263"/>
      <c r="G348" s="264"/>
      <c r="H348" s="152"/>
    </row>
    <row r="349" spans="2:8" s="43" customFormat="1" ht="15" thickBot="1" x14ac:dyDescent="0.35">
      <c r="B349" s="60"/>
      <c r="C349" s="60"/>
      <c r="D349" s="60"/>
      <c r="E349" s="60"/>
      <c r="F349" s="60"/>
      <c r="G349" s="60"/>
      <c r="H349" s="152"/>
    </row>
    <row r="350" spans="2:8" s="39" customFormat="1" ht="30" customHeight="1" thickBot="1" x14ac:dyDescent="0.3">
      <c r="B350" s="129" t="s">
        <v>36</v>
      </c>
      <c r="C350" s="137">
        <v>3</v>
      </c>
      <c r="D350" s="137"/>
      <c r="E350" s="130" t="s">
        <v>37</v>
      </c>
      <c r="F350" s="131" t="s">
        <v>71</v>
      </c>
      <c r="G350" s="132" t="s">
        <v>56</v>
      </c>
      <c r="H350" s="151"/>
    </row>
    <row r="351" spans="2:8" s="39" customFormat="1" ht="30" customHeight="1" thickBot="1" x14ac:dyDescent="0.3">
      <c r="B351" s="61" t="s">
        <v>38</v>
      </c>
      <c r="C351" s="134" t="s">
        <v>39</v>
      </c>
      <c r="D351" s="133"/>
      <c r="E351" s="61" t="s">
        <v>40</v>
      </c>
      <c r="F351" s="265" t="s">
        <v>41</v>
      </c>
      <c r="G351" s="266"/>
      <c r="H351" s="151"/>
    </row>
    <row r="352" spans="2:8" s="43" customFormat="1" ht="27" x14ac:dyDescent="0.3">
      <c r="B352" s="44" t="s">
        <v>30</v>
      </c>
      <c r="C352" s="45">
        <v>3</v>
      </c>
      <c r="D352" s="126" t="str">
        <f t="shared" ref="D352:D353" si="30" xml:space="preserve"> IF(C352="","",setValueToTime(C352))</f>
        <v xml:space="preserve"> 15 min</v>
      </c>
      <c r="E352" s="46" t="s">
        <v>120</v>
      </c>
      <c r="F352" s="261"/>
      <c r="G352" s="262"/>
      <c r="H352" s="152"/>
    </row>
    <row r="353" spans="2:8" s="43" customFormat="1" ht="27" x14ac:dyDescent="0.3">
      <c r="B353" s="45" t="s">
        <v>45</v>
      </c>
      <c r="C353" s="45">
        <v>21</v>
      </c>
      <c r="D353" s="127" t="str">
        <f t="shared" si="30"/>
        <v>1h 45 min</v>
      </c>
      <c r="E353" t="s">
        <v>123</v>
      </c>
      <c r="F353" s="253"/>
      <c r="G353" s="254"/>
      <c r="H353" s="152"/>
    </row>
    <row r="354" spans="2:8" s="43" customFormat="1" x14ac:dyDescent="0.3">
      <c r="B354" s="44" t="s">
        <v>27</v>
      </c>
      <c r="C354" s="45">
        <v>9</v>
      </c>
      <c r="D354" s="126" t="str">
        <f t="shared" ref="D354:D359" si="31" xml:space="preserve"> IF(C354="","",setValueToTime(C354))</f>
        <v xml:space="preserve"> 45 min</v>
      </c>
      <c r="E354" s="46" t="s">
        <v>129</v>
      </c>
      <c r="F354" s="253"/>
      <c r="G354" s="254"/>
      <c r="H354" s="152"/>
    </row>
    <row r="355" spans="2:8" s="43" customFormat="1" ht="27" x14ac:dyDescent="0.3">
      <c r="B355" s="44" t="s">
        <v>44</v>
      </c>
      <c r="C355" s="45">
        <v>9</v>
      </c>
      <c r="D355" s="126" t="str">
        <f t="shared" si="31"/>
        <v xml:space="preserve"> 45 min</v>
      </c>
      <c r="E355" s="46" t="s">
        <v>187</v>
      </c>
      <c r="F355" s="253"/>
      <c r="G355" s="254"/>
      <c r="H355" s="152"/>
    </row>
    <row r="356" spans="2:8" s="43" customFormat="1" x14ac:dyDescent="0.3">
      <c r="B356" s="45"/>
      <c r="C356" s="45"/>
      <c r="D356" s="127" t="str">
        <f t="shared" si="31"/>
        <v/>
      </c>
      <c r="E356" s="46"/>
      <c r="F356" s="253"/>
      <c r="G356" s="254"/>
      <c r="H356" s="152"/>
    </row>
    <row r="357" spans="2:8" s="43" customFormat="1" x14ac:dyDescent="0.3">
      <c r="B357" s="45"/>
      <c r="C357" s="45"/>
      <c r="D357" s="127" t="str">
        <f t="shared" si="31"/>
        <v/>
      </c>
      <c r="E357" s="46"/>
      <c r="F357" s="253"/>
      <c r="G357" s="254"/>
      <c r="H357" s="152"/>
    </row>
    <row r="358" spans="2:8" s="43" customFormat="1" x14ac:dyDescent="0.3">
      <c r="B358" s="45"/>
      <c r="C358" s="45"/>
      <c r="D358" s="127" t="str">
        <f t="shared" si="31"/>
        <v/>
      </c>
      <c r="E358" s="46"/>
      <c r="F358" s="253"/>
      <c r="G358" s="254"/>
      <c r="H358" s="152"/>
    </row>
    <row r="359" spans="2:8" s="43" customFormat="1" ht="15" thickBot="1" x14ac:dyDescent="0.35">
      <c r="B359" s="47"/>
      <c r="C359" s="47"/>
      <c r="D359" s="128" t="str">
        <f t="shared" si="31"/>
        <v/>
      </c>
      <c r="E359" s="48"/>
      <c r="F359" s="255"/>
      <c r="G359" s="256"/>
      <c r="H359" s="152"/>
    </row>
    <row r="360" spans="2:8" s="43" customFormat="1" ht="15" thickBot="1" x14ac:dyDescent="0.35">
      <c r="B360" s="135" t="s">
        <v>43</v>
      </c>
      <c r="C360" s="66">
        <f>SUM(C352:C359)</f>
        <v>42</v>
      </c>
      <c r="D360" s="135" t="str">
        <f xml:space="preserve"> setValueToTime(C360)</f>
        <v>3h 30 min</v>
      </c>
      <c r="E360" s="96"/>
      <c r="F360" s="263"/>
      <c r="G360" s="264"/>
      <c r="H360" s="152"/>
    </row>
    <row r="361" spans="2:8" s="43" customFormat="1" ht="15" thickBot="1" x14ac:dyDescent="0.35">
      <c r="B361" s="60"/>
      <c r="C361" s="60"/>
      <c r="D361" s="60"/>
      <c r="E361" s="60"/>
      <c r="F361" s="60"/>
      <c r="G361" s="60"/>
      <c r="H361" s="152"/>
    </row>
    <row r="362" spans="2:8" s="39" customFormat="1" ht="30" customHeight="1" thickBot="1" x14ac:dyDescent="0.3">
      <c r="B362" s="129" t="s">
        <v>36</v>
      </c>
      <c r="C362" s="137">
        <v>2</v>
      </c>
      <c r="D362" s="137"/>
      <c r="E362" s="130" t="s">
        <v>37</v>
      </c>
      <c r="F362" s="131" t="s">
        <v>72</v>
      </c>
      <c r="G362" s="132" t="s">
        <v>55</v>
      </c>
      <c r="H362" s="151"/>
    </row>
    <row r="363" spans="2:8" s="39" customFormat="1" ht="30" customHeight="1" thickBot="1" x14ac:dyDescent="0.3">
      <c r="B363" s="61" t="s">
        <v>38</v>
      </c>
      <c r="C363" s="134" t="s">
        <v>39</v>
      </c>
      <c r="D363" s="133"/>
      <c r="E363" s="61" t="s">
        <v>40</v>
      </c>
      <c r="F363" s="265" t="s">
        <v>41</v>
      </c>
      <c r="G363" s="266"/>
      <c r="H363" s="151"/>
    </row>
    <row r="364" spans="2:8" s="43" customFormat="1" ht="27" x14ac:dyDescent="0.3">
      <c r="B364" s="40" t="s">
        <v>48</v>
      </c>
      <c r="C364" s="41">
        <v>2</v>
      </c>
      <c r="D364" s="125" t="str">
        <f xml:space="preserve"> IF(C364="","",setValueToTime(C364))</f>
        <v xml:space="preserve"> 10 min</v>
      </c>
      <c r="E364" s="42" t="s">
        <v>189</v>
      </c>
      <c r="F364" s="261"/>
      <c r="G364" s="262"/>
      <c r="H364" s="152"/>
    </row>
    <row r="365" spans="2:8" s="43" customFormat="1" ht="27.75" thickBot="1" x14ac:dyDescent="0.35">
      <c r="B365" s="44" t="s">
        <v>30</v>
      </c>
      <c r="C365" s="45">
        <v>2</v>
      </c>
      <c r="D365" s="126" t="str">
        <f t="shared" ref="D365" si="32" xml:space="preserve"> IF(C365="","",setValueToTime(C365))</f>
        <v xml:space="preserve"> 10 min</v>
      </c>
      <c r="E365" s="46" t="s">
        <v>121</v>
      </c>
      <c r="F365" s="253"/>
      <c r="G365" s="254"/>
      <c r="H365" s="152"/>
    </row>
    <row r="366" spans="2:8" s="43" customFormat="1" x14ac:dyDescent="0.3">
      <c r="B366" s="40"/>
      <c r="C366" s="41"/>
      <c r="D366" s="125" t="str">
        <f xml:space="preserve"> IF(C366="","",setValueToTime(C366))</f>
        <v/>
      </c>
      <c r="E366" s="42"/>
      <c r="F366" s="253"/>
      <c r="G366" s="254"/>
      <c r="H366" s="152"/>
    </row>
    <row r="367" spans="2:8" s="43" customFormat="1" ht="27" x14ac:dyDescent="0.3">
      <c r="B367" s="44" t="s">
        <v>44</v>
      </c>
      <c r="C367" s="45">
        <v>6</v>
      </c>
      <c r="D367" s="126" t="str">
        <f t="shared" ref="D367:D368" si="33" xml:space="preserve"> IF(C367="","",setValueToTime(C367))</f>
        <v xml:space="preserve"> 30 min</v>
      </c>
      <c r="E367" s="46" t="s">
        <v>122</v>
      </c>
      <c r="F367" s="253"/>
      <c r="G367" s="254"/>
      <c r="H367" s="152"/>
    </row>
    <row r="368" spans="2:8" s="43" customFormat="1" ht="27" x14ac:dyDescent="0.3">
      <c r="B368" s="44" t="s">
        <v>48</v>
      </c>
      <c r="C368" s="45">
        <v>6</v>
      </c>
      <c r="D368" s="126" t="str">
        <f t="shared" si="33"/>
        <v xml:space="preserve"> 30 min</v>
      </c>
      <c r="E368" s="46" t="s">
        <v>190</v>
      </c>
      <c r="F368" s="253"/>
      <c r="G368" s="254"/>
      <c r="H368" s="152"/>
    </row>
    <row r="369" spans="2:8" s="43" customFormat="1" ht="27" x14ac:dyDescent="0.3">
      <c r="B369" s="45" t="s">
        <v>45</v>
      </c>
      <c r="C369" s="45">
        <v>20</v>
      </c>
      <c r="D369" s="127" t="str">
        <f t="shared" ref="D369:D371" si="34" xml:space="preserve"> IF(C369="","",setValueToTime(C369))</f>
        <v>1h 40 min</v>
      </c>
      <c r="E369" t="s">
        <v>123</v>
      </c>
      <c r="F369" s="268" t="s">
        <v>124</v>
      </c>
      <c r="G369" s="254"/>
      <c r="H369" s="152"/>
    </row>
    <row r="370" spans="2:8" s="43" customFormat="1" x14ac:dyDescent="0.3">
      <c r="B370" s="45"/>
      <c r="C370" s="45"/>
      <c r="D370" s="127" t="str">
        <f t="shared" si="34"/>
        <v/>
      </c>
      <c r="E370" s="46"/>
      <c r="F370" s="253"/>
      <c r="G370" s="254"/>
      <c r="H370" s="152"/>
    </row>
    <row r="371" spans="2:8" s="43" customFormat="1" ht="15" thickBot="1" x14ac:dyDescent="0.35">
      <c r="B371" s="47"/>
      <c r="C371" s="47"/>
      <c r="D371" s="128" t="str">
        <f t="shared" si="34"/>
        <v/>
      </c>
      <c r="E371" s="48"/>
      <c r="F371" s="255"/>
      <c r="G371" s="256"/>
      <c r="H371" s="152"/>
    </row>
    <row r="372" spans="2:8" s="43" customFormat="1" ht="15" thickBot="1" x14ac:dyDescent="0.35">
      <c r="B372" s="135" t="s">
        <v>43</v>
      </c>
      <c r="C372" s="66">
        <f>SUM(C364:C371)</f>
        <v>36</v>
      </c>
      <c r="D372" s="135" t="str">
        <f xml:space="preserve"> setValueToTime(C372)</f>
        <v>3h</v>
      </c>
      <c r="E372" s="96"/>
      <c r="F372" s="263"/>
      <c r="G372" s="264"/>
      <c r="H372" s="152"/>
    </row>
    <row r="373" spans="2:8" s="43" customFormat="1" ht="15" thickBot="1" x14ac:dyDescent="0.35">
      <c r="B373" s="60"/>
      <c r="C373" s="60"/>
      <c r="D373" s="60"/>
      <c r="E373" s="60"/>
      <c r="F373" s="60"/>
      <c r="G373" s="60"/>
      <c r="H373" s="152"/>
    </row>
    <row r="374" spans="2:8" s="39" customFormat="1" ht="30" customHeight="1" thickBot="1" x14ac:dyDescent="0.3">
      <c r="B374" s="129" t="s">
        <v>36</v>
      </c>
      <c r="C374" s="137">
        <v>1</v>
      </c>
      <c r="D374" s="137"/>
      <c r="E374" s="130" t="s">
        <v>37</v>
      </c>
      <c r="F374" s="131" t="s">
        <v>72</v>
      </c>
      <c r="G374" s="132" t="s">
        <v>56</v>
      </c>
      <c r="H374" s="151"/>
    </row>
    <row r="375" spans="2:8" s="39" customFormat="1" ht="30" customHeight="1" thickBot="1" x14ac:dyDescent="0.3">
      <c r="B375" s="61" t="s">
        <v>38</v>
      </c>
      <c r="C375" s="134" t="s">
        <v>39</v>
      </c>
      <c r="D375" s="133"/>
      <c r="E375" s="61" t="s">
        <v>40</v>
      </c>
      <c r="F375" s="265" t="s">
        <v>41</v>
      </c>
      <c r="G375" s="266"/>
      <c r="H375" s="151"/>
    </row>
    <row r="376" spans="2:8" s="43" customFormat="1" ht="27" x14ac:dyDescent="0.3">
      <c r="B376" s="40" t="s">
        <v>30</v>
      </c>
      <c r="C376" s="41">
        <v>18</v>
      </c>
      <c r="D376" s="125" t="s">
        <v>21</v>
      </c>
      <c r="E376" s="42" t="s">
        <v>191</v>
      </c>
      <c r="F376" s="267" t="s">
        <v>127</v>
      </c>
      <c r="G376" s="262"/>
      <c r="H376" s="152"/>
    </row>
    <row r="377" spans="2:8" s="43" customFormat="1" x14ac:dyDescent="0.3">
      <c r="B377" s="44" t="s">
        <v>31</v>
      </c>
      <c r="C377" s="45">
        <v>2</v>
      </c>
      <c r="D377" s="126" t="str">
        <f t="shared" ref="D377:D383" si="35" xml:space="preserve"> IF(C377="","",setValueToTime(C377))</f>
        <v xml:space="preserve"> 10 min</v>
      </c>
      <c r="E377" s="46" t="s">
        <v>118</v>
      </c>
      <c r="F377" s="268" t="s">
        <v>126</v>
      </c>
      <c r="G377" s="254"/>
      <c r="H377" s="152"/>
    </row>
    <row r="378" spans="2:8" s="43" customFormat="1" x14ac:dyDescent="0.3">
      <c r="B378" s="44" t="s">
        <v>47</v>
      </c>
      <c r="C378" s="45">
        <v>10</v>
      </c>
      <c r="D378" s="126" t="str">
        <f t="shared" si="35"/>
        <v xml:space="preserve"> 50 min</v>
      </c>
      <c r="E378" s="46" t="s">
        <v>75</v>
      </c>
      <c r="F378" s="268" t="s">
        <v>125</v>
      </c>
      <c r="G378" s="254"/>
      <c r="H378" s="152"/>
    </row>
    <row r="379" spans="2:8" s="43" customFormat="1" ht="27" x14ac:dyDescent="0.3">
      <c r="B379" s="44" t="s">
        <v>46</v>
      </c>
      <c r="C379" s="45">
        <v>10</v>
      </c>
      <c r="D379" s="126" t="str">
        <f t="shared" si="35"/>
        <v xml:space="preserve"> 50 min</v>
      </c>
      <c r="E379" s="46" t="s">
        <v>178</v>
      </c>
      <c r="F379" s="253"/>
      <c r="G379" s="254"/>
      <c r="H379" s="152"/>
    </row>
    <row r="380" spans="2:8" s="43" customFormat="1" x14ac:dyDescent="0.3">
      <c r="B380" s="45" t="s">
        <v>49</v>
      </c>
      <c r="C380" s="45">
        <v>2</v>
      </c>
      <c r="D380" s="127" t="str">
        <f t="shared" si="35"/>
        <v xml:space="preserve"> 10 min</v>
      </c>
      <c r="E380" s="46" t="s">
        <v>119</v>
      </c>
      <c r="F380" s="268" t="s">
        <v>128</v>
      </c>
      <c r="G380" s="254"/>
      <c r="H380" s="152"/>
    </row>
    <row r="381" spans="2:8" s="43" customFormat="1" x14ac:dyDescent="0.3">
      <c r="B381" s="45"/>
      <c r="C381" s="45"/>
      <c r="D381" s="127" t="str">
        <f t="shared" si="35"/>
        <v/>
      </c>
      <c r="E381" s="46"/>
      <c r="F381" s="253"/>
      <c r="G381" s="254"/>
      <c r="H381" s="152"/>
    </row>
    <row r="382" spans="2:8" s="43" customFormat="1" x14ac:dyDescent="0.3">
      <c r="B382" s="45"/>
      <c r="C382" s="45"/>
      <c r="D382" s="127" t="str">
        <f t="shared" si="35"/>
        <v/>
      </c>
      <c r="E382" s="46"/>
      <c r="F382" s="253"/>
      <c r="G382" s="254"/>
      <c r="H382" s="152"/>
    </row>
    <row r="383" spans="2:8" s="43" customFormat="1" ht="15" thickBot="1" x14ac:dyDescent="0.35">
      <c r="B383" s="47"/>
      <c r="C383" s="47"/>
      <c r="D383" s="128" t="str">
        <f t="shared" si="35"/>
        <v/>
      </c>
      <c r="E383" s="48"/>
      <c r="F383" s="255"/>
      <c r="G383" s="256"/>
      <c r="H383" s="152"/>
    </row>
    <row r="384" spans="2:8" s="43" customFormat="1" ht="15" thickBot="1" x14ac:dyDescent="0.35">
      <c r="B384" s="135" t="s">
        <v>43</v>
      </c>
      <c r="C384" s="66">
        <f>SUM(C376:C383)</f>
        <v>42</v>
      </c>
      <c r="D384" s="135" t="str">
        <f xml:space="preserve"> setValueToTime(C384)</f>
        <v>3h 30 min</v>
      </c>
      <c r="E384" s="96"/>
      <c r="F384" s="263"/>
      <c r="G384" s="264"/>
      <c r="H384" s="152"/>
    </row>
    <row r="385" spans="2:8" s="43" customFormat="1" x14ac:dyDescent="0.3">
      <c r="B385" s="60"/>
      <c r="C385" s="60"/>
      <c r="D385" s="60"/>
      <c r="E385" s="60"/>
      <c r="F385" s="60"/>
      <c r="G385" s="60"/>
      <c r="H385" s="152"/>
    </row>
  </sheetData>
  <sheetProtection formatRows="0" insertRows="0" insertHyperlinks="0" deleteRows="0" selectLockedCells="1"/>
  <mergeCells count="320">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76:G276"/>
    <mergeCell ref="F231:G231"/>
    <mergeCell ref="F232:G232"/>
    <mergeCell ref="F233:G233"/>
    <mergeCell ref="F234:G234"/>
    <mergeCell ref="F235:G235"/>
    <mergeCell ref="F236:G236"/>
    <mergeCell ref="F237:G237"/>
    <mergeCell ref="F238:G238"/>
    <mergeCell ref="F239:G239"/>
    <mergeCell ref="F240:G240"/>
    <mergeCell ref="F267:G267"/>
    <mergeCell ref="F268:G268"/>
    <mergeCell ref="F269:G269"/>
    <mergeCell ref="F270:G270"/>
    <mergeCell ref="F271:G271"/>
    <mergeCell ref="F272:G272"/>
    <mergeCell ref="F273:G273"/>
    <mergeCell ref="F274:G274"/>
    <mergeCell ref="F275:G275"/>
    <mergeCell ref="F260:G260"/>
    <mergeCell ref="F261:G261"/>
    <mergeCell ref="F262:G262"/>
    <mergeCell ref="F263:G263"/>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72:G372"/>
    <mergeCell ref="F351:G351"/>
    <mergeCell ref="F352:G352"/>
    <mergeCell ref="F353:G353"/>
    <mergeCell ref="F354:G354"/>
    <mergeCell ref="F355:G355"/>
    <mergeCell ref="F356:G356"/>
    <mergeCell ref="F357:G357"/>
    <mergeCell ref="F358:G358"/>
    <mergeCell ref="F359:G359"/>
    <mergeCell ref="F360:G360"/>
    <mergeCell ref="F363:G363"/>
    <mergeCell ref="F364:G364"/>
    <mergeCell ref="F365:G365"/>
    <mergeCell ref="F366:G366"/>
    <mergeCell ref="F367:G367"/>
    <mergeCell ref="F368:G368"/>
    <mergeCell ref="F369:G369"/>
    <mergeCell ref="F370:G370"/>
    <mergeCell ref="F371:G371"/>
    <mergeCell ref="F381:G381"/>
    <mergeCell ref="F382:G382"/>
    <mergeCell ref="F383:G383"/>
    <mergeCell ref="F384:G384"/>
    <mergeCell ref="F375:G375"/>
    <mergeCell ref="F376:G376"/>
    <mergeCell ref="F377:G377"/>
    <mergeCell ref="F378:G378"/>
    <mergeCell ref="F379:G379"/>
    <mergeCell ref="F380:G380"/>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19:G219"/>
    <mergeCell ref="F220:G220"/>
    <mergeCell ref="F221:G221"/>
    <mergeCell ref="F222:G222"/>
    <mergeCell ref="F223:G223"/>
    <mergeCell ref="F224:G224"/>
    <mergeCell ref="F225:G225"/>
    <mergeCell ref="F226:G226"/>
    <mergeCell ref="F227:G227"/>
    <mergeCell ref="F228:G228"/>
    <mergeCell ref="F216:G216"/>
    <mergeCell ref="F195:G195"/>
    <mergeCell ref="F196:G196"/>
    <mergeCell ref="F197:G197"/>
    <mergeCell ref="F198:G198"/>
    <mergeCell ref="F199:G199"/>
    <mergeCell ref="F200:G200"/>
    <mergeCell ref="F201:G201"/>
    <mergeCell ref="F202:G202"/>
    <mergeCell ref="F203:G203"/>
    <mergeCell ref="F204:G204"/>
    <mergeCell ref="F207:G207"/>
    <mergeCell ref="F208:G208"/>
    <mergeCell ref="F209:G209"/>
    <mergeCell ref="F210:G210"/>
    <mergeCell ref="F211:G211"/>
    <mergeCell ref="F212:G212"/>
    <mergeCell ref="F213:G213"/>
    <mergeCell ref="F214:G214"/>
    <mergeCell ref="F215:G215"/>
    <mergeCell ref="F192:G192"/>
    <mergeCell ref="F183:G183"/>
    <mergeCell ref="F184:G184"/>
    <mergeCell ref="F185:G185"/>
    <mergeCell ref="F186:G186"/>
    <mergeCell ref="F187:G187"/>
    <mergeCell ref="F188:G188"/>
    <mergeCell ref="F189:G189"/>
    <mergeCell ref="F190:G190"/>
    <mergeCell ref="F191:G191"/>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51:G51"/>
    <mergeCell ref="F52:G52"/>
    <mergeCell ref="F53:G53"/>
    <mergeCell ref="F54:G54"/>
    <mergeCell ref="F55:G55"/>
    <mergeCell ref="F56:G56"/>
    <mergeCell ref="F57:G57"/>
    <mergeCell ref="F58:G58"/>
    <mergeCell ref="F59:G59"/>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84">
    <cfRule type="cellIs" dxfId="33" priority="32" operator="greaterThan">
      <formula>60</formula>
    </cfRule>
  </conditionalFormatting>
  <conditionalFormatting sqref="C372">
    <cfRule type="cellIs" dxfId="32" priority="31" operator="greaterThan">
      <formula>60</formula>
    </cfRule>
  </conditionalFormatting>
  <conditionalFormatting sqref="C360">
    <cfRule type="cellIs" dxfId="31" priority="30" operator="greaterThan">
      <formula>60</formula>
    </cfRule>
  </conditionalFormatting>
  <conditionalFormatting sqref="C348">
    <cfRule type="cellIs" dxfId="30" priority="29" operator="greaterThan">
      <formula>60</formula>
    </cfRule>
  </conditionalFormatting>
  <conditionalFormatting sqref="C336">
    <cfRule type="cellIs" dxfId="29" priority="28" operator="greaterThan">
      <formula>60</formula>
    </cfRule>
  </conditionalFormatting>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76:C383 C364:C371 C352:C359 C340:C347 C328:C335 C316:C323 C304:C311 C292:C299 C280:C287 C268:C275 C256:C263 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84 C372 C360 C348 C336 C324 C312 C300 C288 C276 C264 C252 C240 C228 C216 C204 C192 C180 C168 C156 C144 C132 C120 C108 C96 C84 C72 C60 C48 C36 C24 C12" xr:uid="{F07B0E06-BAEF-4AB8-8489-5985F597403F}">
      <formula1>0</formula1>
      <formula2>60</formula2>
    </dataValidation>
  </dataValidations>
  <hyperlinks>
    <hyperlink ref="F369" r:id="rId1" xr:uid="{81666E9A-B468-4D90-95A2-E913F1C6DCBC}"/>
    <hyperlink ref="F378" r:id="rId2" xr:uid="{8193756A-593E-4D0C-BA1B-6702C5C76A06}"/>
    <hyperlink ref="F377" r:id="rId3" xr:uid="{BBC14F41-7767-453F-9923-D043A329E1F3}"/>
    <hyperlink ref="F376" r:id="rId4" xr:uid="{3E78045D-33E6-4ABA-B703-D87E3126867E}"/>
    <hyperlink ref="F380" r:id="rId5" xr:uid="{198A02A0-A6A0-4494-BFC7-95CEAA1B45A2}"/>
    <hyperlink ref="F137"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3</xdr:col>
                <xdr:colOff>85725</xdr:colOff>
                <xdr:row>0</xdr:row>
                <xdr:rowOff>85725</xdr:rowOff>
              </from>
              <to>
                <xdr:col>4</xdr:col>
                <xdr:colOff>762000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1</xdr:col>
                <xdr:colOff>104775</xdr:colOff>
                <xdr:row>0</xdr:row>
                <xdr:rowOff>85725</xdr:rowOff>
              </from>
              <to>
                <xdr:col>2</xdr:col>
                <xdr:colOff>457200</xdr:colOff>
                <xdr:row>0</xdr:row>
                <xdr:rowOff>552450</xdr:rowOff>
              </to>
            </anchor>
          </controlPr>
        </control>
      </mc:Choice>
      <mc:Fallback>
        <control shapeId="9224" r:id="rId12"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B380:B383 B377 B364 B369:B371 B353:B359 B341 B343:B347 B328:B335 B316:B323 B304:B311 B292:B299 B280:B287 B268:B275 B256:B263 B244:B251 B232:B239 B220:B227 B208:B215 B196:B203 B184:B191 B172:B179 B160:B167 B148:B155 B136:B143 B124:B131 B112:B119 B100:B107 B88:B95 B52:B59 B64:B71 B76:B83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3"/>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73"/>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73"/>
    </row>
    <row r="13" spans="1:61" ht="18.75" thickBot="1" x14ac:dyDescent="0.3">
      <c r="A13" s="222" t="s">
        <v>36</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73"/>
    </row>
    <row r="14" spans="1:61" ht="15.75" thickBot="1" x14ac:dyDescent="0.35">
      <c r="A14" s="81"/>
      <c r="B14" s="82"/>
      <c r="C14" s="82"/>
      <c r="D14" s="82"/>
      <c r="E14" s="225" t="s">
        <v>17</v>
      </c>
      <c r="F14" s="225"/>
      <c r="G14" s="225"/>
      <c r="H14" s="225"/>
      <c r="I14" s="82"/>
      <c r="J14" s="82"/>
      <c r="K14" s="226" t="s">
        <v>18</v>
      </c>
      <c r="L14" s="226"/>
      <c r="M14" s="226"/>
      <c r="N14" s="226"/>
      <c r="O14" s="102"/>
      <c r="P14" s="102"/>
      <c r="Q14" s="225" t="s">
        <v>19</v>
      </c>
      <c r="R14" s="225"/>
      <c r="S14" s="225"/>
      <c r="T14" s="225"/>
      <c r="U14" s="82"/>
      <c r="V14" s="82"/>
      <c r="W14" s="226" t="s">
        <v>20</v>
      </c>
      <c r="X14" s="226"/>
      <c r="Y14" s="226"/>
      <c r="Z14" s="226"/>
      <c r="AA14" s="102"/>
      <c r="AB14" s="102"/>
      <c r="AC14" s="225" t="s">
        <v>21</v>
      </c>
      <c r="AD14" s="225"/>
      <c r="AE14" s="225"/>
      <c r="AF14" s="225"/>
      <c r="AG14" s="82"/>
      <c r="AH14" s="82"/>
      <c r="AI14" s="226" t="s">
        <v>22</v>
      </c>
      <c r="AJ14" s="226"/>
      <c r="AK14" s="226"/>
      <c r="AL14" s="226"/>
      <c r="AM14" s="102"/>
      <c r="AN14" s="102"/>
      <c r="AO14" s="225" t="s">
        <v>23</v>
      </c>
      <c r="AP14" s="225"/>
      <c r="AQ14" s="225"/>
      <c r="AR14" s="225"/>
      <c r="AS14" s="82"/>
      <c r="AT14" s="82"/>
      <c r="AU14" s="226" t="s">
        <v>24</v>
      </c>
      <c r="AV14" s="226"/>
      <c r="AW14" s="226"/>
      <c r="AX14" s="226"/>
      <c r="AY14" s="102"/>
      <c r="AZ14" s="102"/>
      <c r="BA14" s="225" t="s">
        <v>25</v>
      </c>
      <c r="BB14" s="225"/>
      <c r="BC14" s="225"/>
      <c r="BD14" s="22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59" t="s">
        <v>41</v>
      </c>
      <c r="G2" s="260"/>
      <c r="H2" s="151"/>
    </row>
    <row r="3" spans="2:8" s="43" customFormat="1" x14ac:dyDescent="0.3">
      <c r="B3" s="40" t="s">
        <v>42</v>
      </c>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7" t="str">
        <f t="shared" si="0"/>
        <v/>
      </c>
      <c r="E7" s="46"/>
      <c r="F7" s="253"/>
      <c r="G7" s="254"/>
      <c r="H7" s="152"/>
    </row>
    <row r="8" spans="2:8" s="43" customFormat="1" x14ac:dyDescent="0.3">
      <c r="B8" s="44"/>
      <c r="C8" s="45"/>
      <c r="D8" s="127" t="str">
        <f t="shared" si="0"/>
        <v/>
      </c>
      <c r="E8" s="46"/>
      <c r="F8" s="253"/>
      <c r="G8" s="254"/>
      <c r="H8" s="152"/>
    </row>
    <row r="9" spans="2:8" s="43" customFormat="1" x14ac:dyDescent="0.3">
      <c r="B9" s="44"/>
      <c r="C9" s="45"/>
      <c r="D9" s="127" t="str">
        <f t="shared" si="0"/>
        <v/>
      </c>
      <c r="E9" s="46"/>
      <c r="F9" s="253"/>
      <c r="G9" s="254"/>
      <c r="H9" s="152"/>
    </row>
    <row r="10" spans="2:8" s="43" customFormat="1" ht="15" thickBot="1" x14ac:dyDescent="0.35">
      <c r="B10" s="44"/>
      <c r="C10" s="47"/>
      <c r="D10" s="128" t="str">
        <f t="shared" si="0"/>
        <v/>
      </c>
      <c r="E10" s="48"/>
      <c r="F10" s="255"/>
      <c r="G10" s="256"/>
      <c r="H10" s="152"/>
    </row>
    <row r="11" spans="2:8" s="43" customFormat="1" ht="15" thickBot="1" x14ac:dyDescent="0.35">
      <c r="B11" s="86" t="s">
        <v>43</v>
      </c>
      <c r="C11" s="67">
        <f>SUM(C3:C10)</f>
        <v>0</v>
      </c>
      <c r="D11" s="86" t="str">
        <f xml:space="preserve"> setValueToTime(C11)</f>
        <v/>
      </c>
      <c r="E11" s="95"/>
      <c r="F11" s="257"/>
      <c r="G11" s="258"/>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5" t="s">
        <v>41</v>
      </c>
      <c r="G2" s="266"/>
      <c r="H2" s="151"/>
    </row>
    <row r="3" spans="2:8" s="43" customFormat="1" x14ac:dyDescent="0.3">
      <c r="B3" s="40"/>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5"/>
      <c r="C7" s="45"/>
      <c r="D7" s="127"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ht="15" thickBot="1" x14ac:dyDescent="0.35">
      <c r="B10" s="47"/>
      <c r="C10" s="47"/>
      <c r="D10" s="128" t="str">
        <f t="shared" si="0"/>
        <v/>
      </c>
      <c r="E10" s="48"/>
      <c r="F10" s="255"/>
      <c r="G10" s="256"/>
      <c r="H10" s="152"/>
    </row>
    <row r="11" spans="2:8" s="43" customFormat="1" ht="15" thickBot="1" x14ac:dyDescent="0.35">
      <c r="B11" s="135" t="s">
        <v>43</v>
      </c>
      <c r="C11" s="66">
        <f>SUM(C3:C10)</f>
        <v>0</v>
      </c>
      <c r="D11" s="135" t="str">
        <f xml:space="preserve"> setValueToTime(C11)</f>
        <v/>
      </c>
      <c r="E11" s="96"/>
      <c r="F11" s="263"/>
      <c r="G11" s="26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2026-03-12T14:07:54Z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