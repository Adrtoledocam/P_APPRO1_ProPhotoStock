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AB84F81E-B59C-4C03-8F38-917E6BAAD521}"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D211" i="10"/>
  <c r="D12" i="12"/>
  <c r="D78" i="10"/>
  <c r="D141" i="10"/>
  <c r="D140" i="10"/>
  <c r="D137" i="10"/>
  <c r="D151" i="10"/>
  <c r="D149" i="10"/>
  <c r="D186" i="10"/>
  <c r="C48" i="10" l="1"/>
  <c r="D47" i="10"/>
  <c r="D46" i="10"/>
  <c r="D45" i="10"/>
  <c r="D44" i="10"/>
  <c r="D43" i="10"/>
  <c r="C60" i="10"/>
  <c r="D59" i="10"/>
  <c r="D58" i="10"/>
  <c r="D57" i="10"/>
  <c r="D56" i="10"/>
  <c r="D55" i="10"/>
  <c r="C72" i="10"/>
  <c r="D71" i="10"/>
  <c r="D70" i="10"/>
  <c r="D69" i="10"/>
  <c r="D68" i="10"/>
  <c r="D67" i="10"/>
  <c r="C84" i="10"/>
  <c r="D83" i="10"/>
  <c r="D82" i="10"/>
  <c r="D81" i="10"/>
  <c r="D80" i="10"/>
  <c r="D79" i="10"/>
  <c r="C96" i="10"/>
  <c r="D95" i="10"/>
  <c r="D94" i="10"/>
  <c r="D93" i="10"/>
  <c r="D92" i="10"/>
  <c r="D91" i="10"/>
  <c r="D90" i="10"/>
  <c r="C108" i="10"/>
  <c r="D107" i="10"/>
  <c r="D106" i="10"/>
  <c r="D105" i="10"/>
  <c r="D104" i="10"/>
  <c r="D103" i="10"/>
  <c r="D102" i="10"/>
  <c r="C120" i="10"/>
  <c r="D119" i="10"/>
  <c r="D118" i="10"/>
  <c r="D117" i="10"/>
  <c r="D116" i="10"/>
  <c r="D115" i="10"/>
  <c r="D114" i="10"/>
  <c r="C132" i="10"/>
  <c r="D131" i="10"/>
  <c r="D130" i="10"/>
  <c r="D129" i="10"/>
  <c r="D128" i="10"/>
  <c r="D127"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D224" i="10"/>
  <c r="C240" i="10"/>
  <c r="D239" i="10"/>
  <c r="D238" i="10"/>
  <c r="D237" i="10"/>
  <c r="D236" i="10"/>
  <c r="C252" i="10"/>
  <c r="D251" i="10"/>
  <c r="D250" i="10"/>
  <c r="D249" i="10"/>
  <c r="D248" i="10"/>
  <c r="D247" i="10"/>
  <c r="D246" i="10"/>
  <c r="D245"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68" i="10"/>
  <c r="D3" i="15"/>
  <c r="D4" i="15"/>
  <c r="D5" i="15"/>
  <c r="D6" i="15"/>
  <c r="D7" i="15"/>
  <c r="D8" i="15"/>
  <c r="D9" i="15"/>
  <c r="D10" i="15"/>
  <c r="C11" i="15"/>
  <c r="D10" i="16"/>
  <c r="D9" i="16"/>
  <c r="D8" i="16"/>
  <c r="D7" i="16"/>
  <c r="D6" i="16"/>
  <c r="D5" i="16"/>
  <c r="D4" i="16"/>
  <c r="D3" i="16"/>
  <c r="C11" i="16"/>
  <c r="D126" i="10"/>
  <c r="D125" i="10"/>
  <c r="D113" i="10"/>
  <c r="D101" i="10"/>
  <c r="D89" i="10"/>
  <c r="D77" i="10"/>
  <c r="D66" i="10"/>
  <c r="D65" i="10"/>
  <c r="D54" i="10"/>
  <c r="D53" i="10"/>
  <c r="D42" i="10"/>
  <c r="D41" i="10"/>
  <c r="D139" i="10"/>
  <c r="D150" i="10"/>
  <c r="D163" i="10"/>
  <c r="D161" i="10"/>
  <c r="D162" i="10"/>
  <c r="D174" i="10"/>
  <c r="D173" i="10"/>
  <c r="D307" i="10"/>
  <c r="D185" i="10"/>
  <c r="D198" i="10"/>
  <c r="D197" i="10"/>
  <c r="D210" i="10"/>
  <c r="D223" i="10"/>
  <c r="D222" i="10"/>
  <c r="D221" i="10"/>
  <c r="D234" i="10"/>
  <c r="D233" i="10"/>
  <c r="D235" i="10"/>
  <c r="D258" i="10"/>
  <c r="D257" i="10"/>
  <c r="D270" i="10"/>
  <c r="D269" i="10"/>
  <c r="D283" i="10"/>
  <c r="D282" i="10"/>
  <c r="D281" i="10"/>
  <c r="D295" i="10"/>
  <c r="D294" i="10"/>
  <c r="D293" i="10"/>
  <c r="D305" i="10"/>
  <c r="D306" i="10"/>
  <c r="D317" i="10"/>
  <c r="D318" i="10"/>
  <c r="D329" i="10"/>
  <c r="D330" i="10"/>
  <c r="D331" i="10"/>
  <c r="D343" i="10"/>
  <c r="D342" i="10"/>
  <c r="D341" i="10"/>
  <c r="D340" i="10"/>
  <c r="D355" i="10"/>
  <c r="D354" i="10"/>
  <c r="D353" i="10"/>
  <c r="D352" i="10"/>
  <c r="D365" i="10"/>
  <c r="D364" i="10"/>
  <c r="D366" i="10"/>
  <c r="D367" i="10"/>
  <c r="D160" i="10"/>
  <c r="D108" i="10"/>
  <c r="D36" i="1"/>
  <c r="D73" i="1"/>
  <c r="D35" i="1"/>
  <c r="D37" i="1"/>
  <c r="D89" i="1"/>
  <c r="D71" i="1"/>
  <c r="D18" i="1"/>
  <c r="D64" i="1"/>
  <c r="D38" i="1"/>
  <c r="D11" i="15"/>
  <c r="D112" i="10"/>
  <c r="D74" i="1"/>
  <c r="D240" i="10"/>
  <c r="D292" i="10"/>
  <c r="D148" i="10"/>
  <c r="D120" i="10"/>
  <c r="D44" i="1"/>
  <c r="D24" i="1"/>
  <c r="D67" i="1"/>
  <c r="D53" i="1"/>
  <c r="D91" i="1"/>
  <c r="D60" i="1"/>
  <c r="D360" i="10"/>
  <c r="D40" i="1"/>
  <c r="D136" i="10"/>
  <c r="D132" i="10"/>
  <c r="D61" i="1"/>
  <c r="D42" i="1"/>
  <c r="D15" i="1"/>
  <c r="D11" i="16"/>
  <c r="D144" i="10"/>
  <c r="D84" i="1"/>
  <c r="D59" i="1"/>
  <c r="D85" i="1"/>
  <c r="D66" i="1"/>
  <c r="D92" i="1"/>
  <c r="D75" i="1"/>
  <c r="D43" i="1"/>
  <c r="D348" i="10"/>
  <c r="D62" i="1"/>
  <c r="D72" i="1"/>
  <c r="D29" i="1"/>
  <c r="D228" i="10"/>
  <c r="D168" i="10"/>
  <c r="D65" i="1"/>
  <c r="D336" i="10"/>
  <c r="D232" i="10"/>
  <c r="D68" i="1"/>
  <c r="D280" i="10"/>
  <c r="D88" i="10"/>
  <c r="D180" i="10"/>
  <c r="D58" i="1"/>
  <c r="D48" i="1"/>
  <c r="D32" i="1"/>
  <c r="D25" i="1"/>
  <c r="D30" i="1"/>
  <c r="D328" i="10"/>
  <c r="D76" i="10"/>
  <c r="D192" i="10"/>
  <c r="D52" i="1"/>
  <c r="D26" i="1"/>
  <c r="D34" i="1"/>
  <c r="D28" i="1"/>
  <c r="D88" i="1"/>
  <c r="D324" i="10"/>
  <c r="D40" i="10"/>
  <c r="D69" i="1"/>
  <c r="D45" i="1"/>
  <c r="D48" i="10"/>
  <c r="D268" i="10"/>
  <c r="D256" i="10"/>
  <c r="D64" i="10"/>
  <c r="D204" i="10"/>
  <c r="D22" i="1"/>
  <c r="D57" i="1"/>
  <c r="D56" i="1"/>
  <c r="D77" i="1"/>
  <c r="D23" i="1"/>
  <c r="D316" i="10"/>
  <c r="D244" i="10"/>
  <c r="D52" i="10"/>
  <c r="D216" i="10"/>
  <c r="D46" i="1"/>
  <c r="D93" i="1"/>
  <c r="D76" i="1"/>
  <c r="D51" i="1"/>
  <c r="D16" i="1"/>
  <c r="D304" i="10"/>
  <c r="D220" i="10"/>
  <c r="D63" i="1"/>
  <c r="D208" i="10"/>
  <c r="D60" i="10"/>
  <c r="D252" i="10"/>
  <c r="D78" i="1"/>
  <c r="D79" i="1"/>
  <c r="D94" i="1"/>
  <c r="D80" i="1"/>
  <c r="D54" i="1"/>
  <c r="D300" i="10"/>
  <c r="D196" i="10"/>
  <c r="D72" i="10"/>
  <c r="D264" i="10"/>
  <c r="D81" i="1"/>
  <c r="D19" i="1"/>
  <c r="D86" i="1"/>
  <c r="D55" i="1"/>
  <c r="D87" i="1"/>
  <c r="D84" i="10"/>
  <c r="D90" i="1"/>
  <c r="D21" i="1"/>
  <c r="D20" i="1"/>
  <c r="D39" i="1"/>
  <c r="D312" i="10"/>
  <c r="D82" i="1"/>
  <c r="D184" i="10"/>
  <c r="D276" i="10"/>
  <c r="D17" i="1"/>
  <c r="D172" i="10"/>
  <c r="D96" i="10"/>
  <c r="D288" i="10"/>
  <c r="D31" i="1"/>
  <c r="D50" i="1"/>
  <c r="D49" i="1"/>
  <c r="D47" i="1"/>
  <c r="D83" i="1"/>
  <c r="D33" i="1"/>
  <c r="D124" i="10"/>
  <c r="D372" i="10"/>
  <c r="D156" i="10"/>
  <c r="D27" i="1"/>
  <c r="D70" i="1"/>
  <c r="D100" i="10"/>
  <c r="D41"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<sst xmlns="http://schemas.openxmlformats.org/spreadsheetml/2006/main" count="798" uniqueCount="143">
  <si>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</si>
  <si>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</si>
  <si>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</si>
  <si>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</si>
  <si>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</si>
  <si>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</si>
  <si>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</si>
  <si>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</si>
  <si>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</si>
  <si>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</si>
  <si>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</si>
  <si>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</si>
  <si>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</si>
  <si>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</si>
  <si>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</si>
  <si>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</si>
  <si>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</si>
  <si>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</si>
  <si>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</si>
  <si>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</si>
  <si>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</si>
  <si>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</si>
  <si>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</si>
  <si>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</si>
  <si>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</si>
  <si>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</si>
  <si>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</si>
  <si>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</si>
  <si>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</si>
  <si>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</si>
  <si>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</si>
  <si>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</si>
  <si>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</si>
  <si>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</si>
  <si>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</si>
  <si>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</si>
  <si>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</si>
  <si>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</si>
  <si>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</si>
  <si>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</si>
  <si>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</si>
  <si>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</si>
  <si>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</si>
  <si>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</si>
  <si>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</si>
  <si>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</si>
  <si>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définition des rôles et permissions</t>
  </si>
  <si>
    <t>Analyse – exigences fonctionnelles</t>
  </si>
  <si>
    <t>Analyse – modèle de données</t>
  </si>
  <si>
    <t>Analyse – scénarios</t>
  </si>
  <si>
    <t>Conception – interfaces principales</t>
  </si>
  <si>
    <t xml:space="preserve">Conception – structure technique </t>
  </si>
  <si>
    <t>Doc - Git</t>
  </si>
  <si>
    <t>Réalisation – API principale</t>
  </si>
  <si>
    <t>Réalisation – application mobile</t>
  </si>
  <si>
    <t xml:space="preserve">Réalisation – backend </t>
  </si>
  <si>
    <t>Réalisation – base de données</t>
  </si>
  <si>
    <t>Réalisation – intégration mobile–backend</t>
  </si>
  <si>
    <t>Test – corrections</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</si>
  <si>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</si>
  <si>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</si>
  <si>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</si>
  <si>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</si>
  <si>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</si>
  <si>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</si>
  <si>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</si>
  <si>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</si>
  <si>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</si>
  <si>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</si>
  <si>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</si>
  <si>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</si>
  <si>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</si>
  <si>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</si>
  <si>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</si>
  <si>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</si>
  <si>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</si>
  <si>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</si>
  <si>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</si>
  <si>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</si>
  <si>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</si>
  <si>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</si>
  <si>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</si>
  <si>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</si>
  <si>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</si>
  <si>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</si>
  <si>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</si>
  <si>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 xml:space="preserve">Structuration du code app + téléchargement des fichers (anciens projets), émulateurs et programmes. </t>
  </si>
  <si>
    <t>Amélioration du planning</t>
  </si>
  <si>
    <t>Discussion du planning avec mon cheffe de projet</t>
  </si>
  <si>
    <t>Début de la modélisation des données</t>
  </si>
  <si>
    <t>Premier débougage du projet sur l'émulateur</t>
  </si>
  <si>
    <t>Finalisation de modélisation des données + améliorations</t>
  </si>
  <si>
    <t>Presentation des modèles avec mon cheffe de projet</t>
  </si>
  <si>
    <t>Identification des éléments sur le CdC</t>
  </si>
  <si>
    <t xml:space="preserve">Figma : concepts des interfaces </t>
  </si>
  <si>
    <t>Analyse + planification</t>
  </si>
  <si>
    <t>Finaliser les concepts</t>
  </si>
  <si>
    <t>Analisis + Concepts</t>
  </si>
  <si>
    <t>Planification du semaine + feedbacks</t>
  </si>
  <si>
    <t>Mouvement sur l'application (Figma)</t>
  </si>
  <si>
    <t>Définition du backend</t>
  </si>
  <si>
    <t>Structure et creation du DB</t>
  </si>
  <si>
    <t>Conception - Backend</t>
  </si>
  <si>
    <t>Information et premiers implementations</t>
  </si>
  <si>
    <t xml:space="preserve">Ajouter information sur le DB </t>
  </si>
  <si>
    <t>Ajouter information sur le DB  et technologies</t>
  </si>
  <si>
    <t>Ameliorations</t>
  </si>
  <si>
    <t>Création authentifications</t>
  </si>
  <si>
    <t>gestion des contrats / roles</t>
  </si>
  <si>
    <t>initialisation du projet</t>
  </si>
  <si>
    <t>mobile : écran login + accueil</t>
  </si>
  <si>
    <t>Finir les informations et structure du backend</t>
  </si>
  <si>
    <t xml:space="preserve">Premier tests de coniguration API avec images et utilisateurs </t>
  </si>
  <si>
    <t>Page de catalogues</t>
  </si>
  <si>
    <t>Ajouter information sur le API</t>
  </si>
  <si>
    <t>Page de catalogues + affichage de photos</t>
  </si>
  <si>
    <t>Gestion des menus + pages</t>
  </si>
  <si>
    <t>Planification du semaine</t>
  </si>
  <si>
    <t>Conditions et transictions des achats</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</si>
  <si>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</si>
  <si>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</si>
  <si>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</si>
  <si>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</si>
  <si>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</si>
  <si>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</si>
  <si>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</si>
  <si>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Corrections des foncionalites importantes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</si>
  <si>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</si>
  <si>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</si>
  <si>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</si>
  <si>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</si>
  <si>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</si>
  <si>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</si>
  <si>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</si>
  <si>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</si>
  <si>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</si>
  <si>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Ajoutér les test + conclusions</t>
  </si>
  <si>
    <t>Confirmation de mon cheffe du projet</t>
  </si>
  <si>
    <t>Preparation du livraison du rapport</t>
  </si>
  <si>
    <t>Preparation du dossier avec README + info technique</t>
  </si>
  <si>
    <t xml:space="preserve">Livraison du projet </t>
  </si>
  <si>
    <t>Derniers bugs</t>
  </si>
  <si>
    <t xml:space="preserve">Correction du rapport et perfectionnement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</si>
</sst>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4" fontId="18" fillId="0" borderId="5" xfId="0" applyNumberFormat="1" applyFont="1" applyBorder="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8" fillId="0" borderId="5" xfId="0" applyFont="1" applyBorder="1" applyAlignment="1">
      <alignment horizont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0" borderId="0" xfId="0" applyFont="1" applyFill="1"/>
    <xf numFmtId="0" fontId="2" fillId="20"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cellXfs>
  <cellStyles count="2">
    <cellStyle name="Lien hypertexte" xfId="1" builtinId="8"/>
    <cellStyle name="Normal" xfId="0" builtinId="0" customBuiltin="1"/>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49064"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4" t="s">
        <v>0</v>
      </c>
      <c r="C45" s="194"/>
      <c r="D45" s="194"/>
      <c r="E45" s="139" t="s">
        <v>44</v>
      </c>
      <c r="G45" s="195" t="s">
        <v>1</v>
      </c>
      <c r="H45" s="195"/>
      <c r="I45" s="195"/>
      <c r="J45" s="140" t="s">
        <v>18</v>
      </c>
      <c r="L45" s="196" t="s">
        <v>2</v>
      </c>
      <c r="M45" s="196"/>
      <c r="N45" s="197" t="s">
        <v>45</v>
      </c>
      <c r="O45" s="19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KW99"/>
  <sheetViews>
    <sheetView showGridLines="0" topLeftCell="A19" zoomScale="85" zoomScaleNormal="85" zoomScaleSheetLayoutView="43" workbookViewId="0"/>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325" width="1.140625" style="2" customWidth="1"/>
    <col min="1326" max="1326" width="2.7109375" style="2" customWidth="1"/>
    <col min="1327" max="16384" width="11.42578125" style="2"/>
  </cols>
  <sheetData>
    <row r="1" spans="1:1660" ht="35.1" customHeight="1" x14ac:dyDescent="0.25">
      <c r="B1" s="141"/>
      <c r="C1" s="217" t="s">
        <v>3</v>
      </c>
      <c r="D1" s="217"/>
      <c r="E1" s="21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6">
        <v>1</v>
      </c>
    </row>
    <row r="2" spans="1:1660"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3"/>
    </row>
    <row r="3" spans="1:1660" ht="30" customHeight="1" x14ac:dyDescent="0.25">
      <c r="B3" s="51"/>
      <c r="C3" s="5" t="s">
        <v>4</v>
      </c>
      <c r="D3" s="113"/>
      <c r="E3" s="6" t="s">
        <v>60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3"/>
    </row>
    <row r="4" spans="1:1660" ht="30" customHeight="1" x14ac:dyDescent="0.25">
      <c r="B4" s="51"/>
      <c r="C4" s="9" t="s">
        <v>5</v>
      </c>
      <c r="D4" s="114"/>
      <c r="E4" s="10" t="s">
        <v>61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3"/>
    </row>
    <row r="5" spans="1:1660" ht="30" customHeight="1" x14ac:dyDescent="0.25">
      <c r="B5" s="51"/>
      <c r="C5" s="9" t="s">
        <v>6</v>
      </c>
      <c r="D5" s="114"/>
      <c r="E5" s="10" t="s">
        <v>62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3"/>
    </row>
    <row r="6" spans="1:1660" ht="30" customHeight="1" thickBot="1" x14ac:dyDescent="0.3">
      <c r="B6" s="51"/>
      <c r="C6" s="13" t="s">
        <v>7</v>
      </c>
      <c r="D6" s="115"/>
      <c r="E6" s="14" t="s">
        <v>63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3"/>
    </row>
    <row r="7" spans="1:1660" ht="20.100000000000001" customHeight="1" thickBot="1" x14ac:dyDescent="0.3">
      <c r="B7" s="51"/>
      <c r="C7" s="218"/>
      <c r="D7" s="218"/>
      <c r="E7" s="21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3"/>
    </row>
    <row r="8" spans="1:1660" ht="30" customHeight="1" x14ac:dyDescent="0.25">
      <c r="B8" s="51"/>
      <c r="C8" s="5" t="s">
        <v>8</v>
      </c>
      <c r="D8" s="113"/>
      <c r="E8" s="6" t="s">
        <v>64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3"/>
    </row>
    <row r="9" spans="1:1660" ht="30" customHeight="1" x14ac:dyDescent="0.25">
      <c r="B9" s="51"/>
      <c r="C9" s="9" t="s">
        <v>9</v>
      </c>
      <c r="D9" s="114"/>
      <c r="E9" s="10" t="s">
        <v>10</v>
      </c>
      <c r="F9" s="11"/>
      <c r="G9" s="201" t="str">
        <f>E96</f>
        <v>194h 15 min</v>
      </c>
      <c r="H9" s="201"/>
      <c r="I9" s="201"/>
      <c r="J9" s="201"/>
      <c r="K9" s="201"/>
      <c r="L9" s="201"/>
      <c r="M9" s="201"/>
      <c r="N9" s="201"/>
      <c r="O9" s="201"/>
      <c r="P9" s="201"/>
      <c r="Q9" s="201"/>
      <c r="R9" s="201"/>
      <c r="S9" s="201"/>
      <c r="T9" s="201"/>
      <c r="U9" s="201"/>
      <c r="V9" s="94"/>
      <c r="W9" s="202" t="s">
        <v>11</v>
      </c>
      <c r="X9" s="202"/>
      <c r="Y9" s="202"/>
      <c r="Z9" s="202"/>
      <c r="AA9" s="202"/>
      <c r="AB9" s="202"/>
      <c r="AC9" s="202"/>
      <c r="AD9" s="202"/>
      <c r="AE9" s="202"/>
      <c r="AF9" s="202"/>
      <c r="AG9" s="202"/>
      <c r="AH9" s="201" t="str">
        <f>E98</f>
        <v/>
      </c>
      <c r="AI9" s="201"/>
      <c r="AJ9" s="201"/>
      <c r="AK9" s="201"/>
      <c r="AL9" s="201"/>
      <c r="AM9" s="201"/>
      <c r="AN9" s="201"/>
      <c r="AO9" s="201"/>
      <c r="AP9" s="201"/>
      <c r="AQ9" s="201"/>
      <c r="AR9" s="201"/>
      <c r="AS9" s="201"/>
      <c r="AT9" s="201"/>
      <c r="AU9" s="201"/>
      <c r="AV9" s="201"/>
      <c r="AW9" s="20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3"/>
    </row>
    <row r="10" spans="1:1660"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0"/>
      <c r="BO10" s="200"/>
      <c r="BP10" s="200"/>
      <c r="BQ10" s="200"/>
      <c r="BR10" s="200"/>
      <c r="BS10" s="200"/>
      <c r="BT10" s="200"/>
      <c r="BU10" s="200"/>
      <c r="BV10" s="200"/>
      <c r="BW10" s="200"/>
      <c r="BX10" s="200"/>
      <c r="BY10" s="200"/>
      <c r="BZ10" s="200"/>
      <c r="CA10" s="200"/>
      <c r="CB10" s="200"/>
      <c r="CC10" s="200"/>
      <c r="CD10" s="200"/>
      <c r="CE10" s="200"/>
      <c r="CF10" s="200"/>
      <c r="CG10" s="200"/>
      <c r="CH10" s="200"/>
      <c r="CI10" s="200"/>
      <c r="CJ10" s="200"/>
      <c r="CK10" s="200"/>
      <c r="CL10" s="200"/>
      <c r="CM10" s="200"/>
      <c r="CN10" s="200"/>
      <c r="CO10" s="200"/>
      <c r="CP10" s="200"/>
      <c r="CQ10" s="75"/>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73"/>
    </row>
    <row r="11" spans="1:1660" s="71" customFormat="1" ht="20.100000000000001" customHeight="1" x14ac:dyDescent="0.25">
      <c r="A11" s="146"/>
      <c r="B11" s="142"/>
      <c r="C11" s="224"/>
      <c r="D11" s="224"/>
      <c r="E11" s="224"/>
      <c r="F11" s="219" t="s">
        <v>82</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82</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t="s">
        <v>81</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81</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78</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78</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75</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73"/>
      <c r="BAH11" s="71" t="s">
        <v>74</v>
      </c>
      <c r="BCP11" s="71" t="s">
        <v>71</v>
      </c>
      <c r="BEX11" s="71" t="s">
        <v>71</v>
      </c>
      <c r="BHF11" s="71" t="s">
        <v>68</v>
      </c>
      <c r="BJN11" s="71" t="s">
        <v>68</v>
      </c>
    </row>
    <row r="12" spans="1:1660" ht="49.5" customHeight="1" thickBot="1" x14ac:dyDescent="0.3">
      <c r="B12" s="143"/>
      <c r="C12" s="225"/>
      <c r="D12" s="225"/>
      <c r="E12" s="225"/>
      <c r="F12" s="223" t="s">
        <v>66</v>
      </c>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t="s">
        <v>65</v>
      </c>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31" t="s">
        <v>66</v>
      </c>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42" t="s">
        <v>65</v>
      </c>
      <c r="GE12" s="242"/>
      <c r="GF12" s="242"/>
      <c r="GG12" s="242"/>
      <c r="GH12" s="242"/>
      <c r="GI12" s="242"/>
      <c r="GJ12" s="242"/>
      <c r="GK12" s="242"/>
      <c r="GL12" s="242"/>
      <c r="GM12" s="242"/>
      <c r="GN12" s="242"/>
      <c r="GO12" s="242"/>
      <c r="GP12" s="242"/>
      <c r="GQ12" s="242"/>
      <c r="GR12" s="242"/>
      <c r="GS12" s="242"/>
      <c r="GT12" s="242"/>
      <c r="GU12" s="242"/>
      <c r="GV12" s="242"/>
      <c r="GW12" s="242"/>
      <c r="GX12" s="242"/>
      <c r="GY12" s="242"/>
      <c r="GZ12" s="242"/>
      <c r="HA12" s="242"/>
      <c r="HB12" s="242"/>
      <c r="HC12" s="242"/>
      <c r="HD12" s="242"/>
      <c r="HE12" s="242"/>
      <c r="HF12" s="242"/>
      <c r="HG12" s="242"/>
      <c r="HH12" s="242"/>
      <c r="HI12" s="242"/>
      <c r="HJ12" s="242"/>
      <c r="HK12" s="242"/>
      <c r="HL12" s="242"/>
      <c r="HM12" s="242"/>
      <c r="HN12" s="242"/>
      <c r="HO12" s="242"/>
      <c r="HP12" s="242"/>
      <c r="HQ12" s="242"/>
      <c r="HR12" s="242"/>
      <c r="HS12" s="242"/>
      <c r="HT12" s="242"/>
      <c r="HU12" s="242"/>
      <c r="HV12" s="242"/>
      <c r="HW12" s="242"/>
      <c r="HX12" s="242"/>
      <c r="HY12" s="242"/>
      <c r="HZ12" s="242"/>
      <c r="IA12" s="242"/>
      <c r="IB12" s="242"/>
      <c r="IC12" s="242"/>
      <c r="ID12" s="242"/>
      <c r="IE12" s="242"/>
      <c r="IF12" s="242"/>
      <c r="IG12" s="242"/>
      <c r="IH12" s="242"/>
      <c r="II12" s="242"/>
      <c r="IJ12" s="242"/>
      <c r="IK12" s="242"/>
      <c r="IL12" s="242" t="s">
        <v>66</v>
      </c>
      <c r="IM12" s="242"/>
      <c r="IN12" s="242"/>
      <c r="IO12" s="242"/>
      <c r="IP12" s="242"/>
      <c r="IQ12" s="242"/>
      <c r="IR12" s="242"/>
      <c r="IS12" s="242"/>
      <c r="IT12" s="242"/>
      <c r="IU12" s="242"/>
      <c r="IV12" s="242"/>
      <c r="IW12" s="242"/>
      <c r="IX12" s="242"/>
      <c r="IY12" s="242"/>
      <c r="IZ12" s="242"/>
      <c r="JA12" s="242"/>
      <c r="JB12" s="242"/>
      <c r="JC12" s="242"/>
      <c r="JD12" s="242"/>
      <c r="JE12" s="242"/>
      <c r="JF12" s="242"/>
      <c r="JG12" s="242"/>
      <c r="JH12" s="242"/>
      <c r="JI12" s="242"/>
      <c r="JJ12" s="242"/>
      <c r="JK12" s="242"/>
      <c r="JL12" s="242"/>
      <c r="JM12" s="242"/>
      <c r="JN12" s="242"/>
      <c r="JO12" s="242"/>
      <c r="JP12" s="242"/>
      <c r="JQ12" s="242"/>
      <c r="JR12" s="242"/>
      <c r="JS12" s="242"/>
      <c r="JT12" s="242"/>
      <c r="JU12" s="242"/>
      <c r="JV12" s="242"/>
      <c r="JW12" s="242"/>
      <c r="JX12" s="242"/>
      <c r="JY12" s="242"/>
      <c r="JZ12" s="242"/>
      <c r="KA12" s="242"/>
      <c r="KB12" s="242"/>
      <c r="KC12" s="242"/>
      <c r="KD12" s="242"/>
      <c r="KE12" s="242"/>
      <c r="KF12" s="242"/>
      <c r="KG12" s="242"/>
      <c r="KH12" s="242"/>
      <c r="KI12" s="242"/>
      <c r="KJ12" s="242"/>
      <c r="KK12" s="242"/>
      <c r="KL12" s="242"/>
      <c r="KM12" s="242"/>
      <c r="KN12" s="242"/>
      <c r="KO12" s="242"/>
      <c r="KP12" s="242"/>
      <c r="KQ12" s="242"/>
      <c r="KR12" s="242"/>
      <c r="KS12" s="242"/>
      <c r="KT12" s="242" t="s">
        <v>65</v>
      </c>
      <c r="KU12" s="242"/>
      <c r="KV12" s="242"/>
      <c r="KW12" s="242"/>
      <c r="KX12" s="242"/>
      <c r="KY12" s="242"/>
      <c r="KZ12" s="242"/>
      <c r="LA12" s="242"/>
      <c r="LB12" s="242"/>
      <c r="LC12" s="242"/>
      <c r="LD12" s="242"/>
      <c r="LE12" s="242"/>
      <c r="LF12" s="242"/>
      <c r="LG12" s="242"/>
      <c r="LH12" s="242"/>
      <c r="LI12" s="242"/>
      <c r="LJ12" s="242"/>
      <c r="LK12" s="242"/>
      <c r="LL12" s="242"/>
      <c r="LM12" s="242"/>
      <c r="LN12" s="242"/>
      <c r="LO12" s="242"/>
      <c r="LP12" s="242"/>
      <c r="LQ12" s="242"/>
      <c r="LR12" s="242"/>
      <c r="LS12" s="242"/>
      <c r="LT12" s="242"/>
      <c r="LU12" s="242"/>
      <c r="LV12" s="242"/>
      <c r="LW12" s="242"/>
      <c r="LX12" s="242"/>
      <c r="LY12" s="242"/>
      <c r="LZ12" s="242"/>
      <c r="MA12" s="242"/>
      <c r="MB12" s="242"/>
      <c r="MC12" s="242"/>
      <c r="MD12" s="242"/>
      <c r="ME12" s="242"/>
      <c r="MF12" s="242"/>
      <c r="MG12" s="242"/>
      <c r="MH12" s="242"/>
      <c r="MI12" s="242"/>
      <c r="MJ12" s="242"/>
      <c r="MK12" s="242"/>
      <c r="ML12" s="242"/>
      <c r="MM12" s="242"/>
      <c r="MN12" s="242"/>
      <c r="MO12" s="242"/>
      <c r="MP12" s="242"/>
      <c r="MQ12" s="242"/>
      <c r="MR12" s="242"/>
      <c r="MS12" s="242"/>
      <c r="MT12" s="242"/>
      <c r="MU12" s="242"/>
      <c r="MV12" s="242"/>
      <c r="MW12" s="242"/>
      <c r="MX12" s="242"/>
      <c r="MY12" s="242"/>
      <c r="MZ12" s="242"/>
      <c r="NA12" s="242"/>
      <c r="NB12" s="242" t="s">
        <v>66</v>
      </c>
      <c r="NC12" s="242"/>
      <c r="ND12" s="242"/>
      <c r="NE12" s="242"/>
      <c r="NF12" s="242"/>
      <c r="NG12" s="242"/>
      <c r="NH12" s="242"/>
      <c r="NI12" s="242"/>
      <c r="NJ12" s="242"/>
      <c r="NK12" s="242"/>
      <c r="NL12" s="242"/>
      <c r="NM12" s="242"/>
      <c r="NN12" s="242"/>
      <c r="NO12" s="242"/>
      <c r="NP12" s="242"/>
      <c r="NQ12" s="242"/>
      <c r="NR12" s="242"/>
      <c r="NS12" s="242"/>
      <c r="NT12" s="242"/>
      <c r="NU12" s="242"/>
      <c r="NV12" s="242"/>
      <c r="NW12" s="242"/>
      <c r="NX12" s="242"/>
      <c r="NY12" s="242"/>
      <c r="NZ12" s="242"/>
      <c r="OA12" s="242"/>
      <c r="OB12" s="242"/>
      <c r="OC12" s="242"/>
      <c r="OD12" s="242"/>
      <c r="OE12" s="242"/>
      <c r="OF12" s="242"/>
      <c r="OG12" s="242"/>
      <c r="OH12" s="242"/>
      <c r="OI12" s="242"/>
      <c r="OJ12" s="242"/>
      <c r="OK12" s="242"/>
      <c r="OL12" s="242"/>
      <c r="OM12" s="242"/>
      <c r="ON12" s="242"/>
      <c r="OO12" s="242"/>
      <c r="OP12" s="242"/>
      <c r="OQ12" s="242"/>
      <c r="OR12" s="242"/>
      <c r="OS12" s="242"/>
      <c r="OT12" s="242"/>
      <c r="OU12" s="242"/>
      <c r="OV12" s="242"/>
      <c r="OW12" s="242"/>
      <c r="OX12" s="242"/>
      <c r="OY12" s="242"/>
      <c r="OZ12" s="242"/>
      <c r="PA12" s="242"/>
      <c r="PB12" s="242"/>
      <c r="PC12" s="242"/>
      <c r="PD12" s="242"/>
      <c r="PE12" s="242"/>
      <c r="PF12" s="242"/>
      <c r="PG12" s="242"/>
      <c r="PH12" s="242"/>
      <c r="PI12" s="242"/>
      <c r="PJ12" s="242"/>
      <c r="PK12" s="242"/>
      <c r="PL12" s="242"/>
      <c r="PM12" s="242"/>
      <c r="PN12" s="242"/>
      <c r="PO12" s="242"/>
      <c r="PP12" s="242"/>
      <c r="PQ12" s="242"/>
      <c r="PR12" s="242"/>
      <c r="PS12" s="242"/>
      <c r="PT12" s="242"/>
      <c r="PU12" s="242"/>
      <c r="PV12" s="242"/>
      <c r="PW12" s="242"/>
      <c r="PX12" s="242"/>
      <c r="PY12" s="242"/>
      <c r="PZ12" s="242"/>
      <c r="QA12" s="242"/>
      <c r="QB12" s="242"/>
      <c r="QC12" s="242"/>
      <c r="QD12" s="242"/>
      <c r="QE12" s="242"/>
      <c r="QF12" s="242"/>
      <c r="QG12" s="242"/>
      <c r="QH12" s="242"/>
      <c r="QI12" s="242"/>
      <c r="QJ12" s="242"/>
      <c r="QK12" s="242"/>
      <c r="QL12" s="242"/>
      <c r="QM12" s="242"/>
      <c r="QN12" s="242"/>
      <c r="QO12" s="242"/>
      <c r="QP12" s="242"/>
      <c r="QQ12" s="242"/>
      <c r="QR12" s="242"/>
      <c r="QS12" s="242"/>
      <c r="QT12" s="242"/>
      <c r="QU12" s="242"/>
      <c r="QV12" s="242"/>
      <c r="QW12" s="242"/>
      <c r="QX12" s="242"/>
      <c r="QY12" s="242"/>
      <c r="QZ12" s="242"/>
      <c r="RA12" s="242"/>
      <c r="RB12" s="242"/>
      <c r="RC12" s="242"/>
      <c r="RD12" s="242"/>
      <c r="RE12" s="242"/>
      <c r="RF12" s="242"/>
      <c r="RG12" s="242"/>
      <c r="RH12" s="242"/>
      <c r="RI12" s="242"/>
      <c r="RJ12" s="242"/>
      <c r="RK12" s="242"/>
      <c r="RL12" s="242"/>
      <c r="RM12" s="242"/>
      <c r="RN12" s="242"/>
      <c r="RO12" s="242"/>
      <c r="RP12" s="242"/>
      <c r="RQ12" s="242"/>
      <c r="RR12" s="242"/>
      <c r="RS12" s="242"/>
      <c r="RT12" s="242"/>
      <c r="RU12" s="242"/>
      <c r="RV12" s="242"/>
      <c r="RW12" s="242"/>
      <c r="RX12" s="242"/>
      <c r="RY12" s="242"/>
      <c r="RZ12" s="242"/>
      <c r="SA12" s="242"/>
      <c r="SB12" s="242"/>
      <c r="SC12" s="242"/>
      <c r="SD12" s="242"/>
      <c r="SE12" s="242"/>
      <c r="SF12" s="242"/>
      <c r="SG12" s="242"/>
      <c r="SH12" s="242"/>
      <c r="SI12" s="242"/>
      <c r="SJ12" s="242"/>
      <c r="SK12" s="242"/>
      <c r="SL12" s="242"/>
      <c r="SM12" s="242"/>
      <c r="SN12" s="242"/>
      <c r="SO12" s="242"/>
      <c r="SP12" s="242"/>
      <c r="SQ12" s="242"/>
      <c r="SR12" s="242"/>
      <c r="SS12" s="242"/>
      <c r="ST12" s="242"/>
      <c r="SU12" s="242"/>
      <c r="SV12" s="242"/>
      <c r="SW12" s="242"/>
      <c r="SX12" s="242"/>
      <c r="SY12" s="242"/>
      <c r="SZ12" s="242"/>
      <c r="TA12" s="242"/>
      <c r="TB12" s="242"/>
      <c r="TC12" s="242"/>
      <c r="TD12" s="242"/>
      <c r="TE12" s="242"/>
      <c r="TF12" s="242"/>
      <c r="TG12" s="242"/>
      <c r="TH12" s="242"/>
      <c r="TI12" s="242"/>
      <c r="TJ12" s="242"/>
      <c r="TK12" s="242"/>
      <c r="TL12" s="242"/>
      <c r="TM12" s="242"/>
      <c r="TN12" s="242"/>
      <c r="TO12" s="242"/>
      <c r="TP12" s="242"/>
      <c r="TQ12" s="242"/>
      <c r="TR12" s="242"/>
      <c r="TS12" s="242"/>
      <c r="TT12" s="242"/>
      <c r="TU12" s="242"/>
      <c r="TV12" s="242"/>
      <c r="TW12" s="242"/>
      <c r="TX12" s="242"/>
      <c r="TY12" s="242"/>
      <c r="TZ12" s="242"/>
      <c r="UA12" s="242"/>
      <c r="UB12" s="242"/>
      <c r="UC12" s="242"/>
      <c r="UD12" s="242"/>
      <c r="UE12" s="242"/>
      <c r="UF12" s="242"/>
      <c r="UG12" s="242"/>
      <c r="UH12" s="242"/>
      <c r="UI12" s="242"/>
      <c r="UJ12" s="242"/>
      <c r="UK12" s="242"/>
      <c r="UL12" s="242"/>
      <c r="UM12" s="242"/>
      <c r="UN12" s="242"/>
      <c r="UO12" s="242"/>
      <c r="UP12" s="242"/>
      <c r="UQ12" s="242"/>
      <c r="UR12" s="242"/>
      <c r="US12" s="242"/>
      <c r="UT12" s="242"/>
      <c r="UU12" s="242"/>
      <c r="UV12" s="242"/>
      <c r="UW12" s="242"/>
      <c r="UX12" s="242"/>
      <c r="UY12" s="242"/>
      <c r="UZ12" s="242"/>
      <c r="VA12" s="242"/>
      <c r="VB12" s="242"/>
      <c r="VC12" s="242"/>
      <c r="VD12" s="242"/>
      <c r="VE12" s="242"/>
      <c r="VF12" s="242"/>
      <c r="VG12" s="242"/>
      <c r="VH12" s="242"/>
      <c r="VI12" s="242"/>
      <c r="VJ12" s="242"/>
      <c r="VK12" s="242"/>
      <c r="VL12" s="242"/>
      <c r="VM12" s="242"/>
      <c r="VN12" s="242"/>
      <c r="VO12" s="242"/>
      <c r="VP12" s="242"/>
      <c r="VQ12" s="242"/>
      <c r="VR12" s="242"/>
      <c r="VS12" s="242"/>
      <c r="VT12" s="242"/>
      <c r="VU12" s="242"/>
      <c r="VV12" s="242"/>
      <c r="VW12" s="242"/>
      <c r="VX12" s="242"/>
      <c r="VY12" s="242"/>
      <c r="VZ12" s="242"/>
      <c r="WA12" s="242"/>
      <c r="WB12" s="242"/>
      <c r="WC12" s="242"/>
      <c r="WD12" s="242"/>
      <c r="WE12" s="242"/>
      <c r="WF12" s="242"/>
      <c r="WG12" s="242"/>
      <c r="WH12" s="242"/>
      <c r="WI12" s="242"/>
      <c r="WJ12" s="242"/>
      <c r="WK12" s="242"/>
      <c r="WL12" s="242"/>
      <c r="WM12" s="242"/>
      <c r="WN12" s="242"/>
      <c r="WO12" s="242"/>
      <c r="WP12" s="242"/>
      <c r="WQ12" s="242"/>
      <c r="WR12" s="242"/>
      <c r="WS12" s="242"/>
      <c r="WT12" s="242"/>
      <c r="WU12" s="242"/>
      <c r="WV12" s="242"/>
      <c r="WW12" s="242"/>
      <c r="WX12" s="242"/>
      <c r="WY12" s="242"/>
      <c r="WZ12" s="242"/>
      <c r="XA12" s="242"/>
      <c r="XB12" s="242"/>
      <c r="XC12" s="242"/>
      <c r="XD12" s="242"/>
      <c r="XE12" s="242"/>
      <c r="XF12" s="242"/>
      <c r="XG12" s="242"/>
      <c r="XH12" s="242"/>
      <c r="XI12" s="242"/>
      <c r="XJ12" s="242"/>
      <c r="XK12" s="242"/>
      <c r="XL12" s="242"/>
      <c r="XM12" s="242"/>
      <c r="XN12" s="242"/>
      <c r="XO12" s="242"/>
      <c r="XP12" s="242"/>
      <c r="XQ12" s="242"/>
      <c r="XR12" s="242"/>
      <c r="XS12" s="242"/>
      <c r="XT12" s="242"/>
      <c r="XU12" s="242"/>
      <c r="XV12" s="242"/>
      <c r="XW12" s="242"/>
      <c r="XX12" s="242"/>
      <c r="XY12" s="242"/>
      <c r="XZ12" s="242"/>
      <c r="YA12" s="242"/>
      <c r="YB12" s="242"/>
      <c r="YC12" s="242"/>
      <c r="YD12" s="242"/>
      <c r="YE12" s="242"/>
      <c r="YF12" s="242"/>
      <c r="YG12" s="242"/>
      <c r="YH12" s="242"/>
      <c r="YI12" s="242"/>
      <c r="YJ12" s="242"/>
      <c r="YK12" s="242"/>
      <c r="YL12" s="242"/>
      <c r="YM12" s="242"/>
      <c r="YN12" s="242"/>
      <c r="YO12" s="242"/>
      <c r="YP12" s="242"/>
      <c r="YQ12" s="242"/>
      <c r="YR12" s="242"/>
      <c r="YS12" s="242"/>
      <c r="YT12" s="242"/>
      <c r="YU12" s="242"/>
      <c r="YV12" s="242"/>
      <c r="YW12" s="242"/>
      <c r="YX12" s="242"/>
      <c r="YY12" s="242"/>
      <c r="YZ12" s="242"/>
      <c r="ZA12" s="242"/>
      <c r="ZB12" s="242"/>
      <c r="ZC12" s="242"/>
      <c r="ZD12" s="242"/>
      <c r="ZE12" s="242"/>
      <c r="ZF12" s="242"/>
      <c r="ZG12" s="242"/>
      <c r="ZH12" s="242"/>
      <c r="ZI12" s="242"/>
      <c r="ZJ12" s="242"/>
      <c r="ZK12" s="242"/>
      <c r="ZL12" s="242"/>
      <c r="ZM12" s="242"/>
      <c r="ZN12" s="242"/>
      <c r="ZO12" s="242"/>
      <c r="ZP12" s="242"/>
      <c r="ZQ12" s="242"/>
      <c r="ZR12" s="242"/>
      <c r="ZS12" s="242"/>
      <c r="ZT12" s="242"/>
      <c r="ZU12" s="242"/>
      <c r="ZV12" s="242"/>
      <c r="ZW12" s="242"/>
      <c r="ZX12" s="242"/>
      <c r="ZY12" s="242"/>
      <c r="ZZ12" s="242"/>
      <c r="AAA12" s="242"/>
      <c r="AAB12" s="242"/>
      <c r="AAC12" s="242"/>
      <c r="AAD12" s="242"/>
      <c r="AAE12" s="242"/>
      <c r="AAF12" s="242"/>
      <c r="AAG12" s="242"/>
      <c r="AAH12" s="242"/>
      <c r="AAI12" s="242"/>
      <c r="AAJ12" s="242"/>
      <c r="AAK12" s="242"/>
      <c r="AAL12" s="242"/>
      <c r="AAM12" s="242"/>
      <c r="AAN12" s="242"/>
      <c r="AAO12" s="242"/>
      <c r="AAP12" s="242"/>
      <c r="AAQ12" s="242"/>
      <c r="AAR12" s="242"/>
      <c r="AAS12" s="242"/>
      <c r="AAT12" s="242"/>
      <c r="AAU12" s="242"/>
      <c r="AAV12" s="242"/>
      <c r="AAW12" s="242"/>
      <c r="AAX12" s="242"/>
      <c r="AAY12" s="242"/>
      <c r="AAZ12" s="242"/>
      <c r="ABA12" s="242"/>
      <c r="ABB12" s="242"/>
      <c r="ABC12" s="242"/>
      <c r="ABD12" s="242"/>
      <c r="ABE12" s="242"/>
      <c r="ABF12" s="242"/>
      <c r="ABG12" s="242"/>
      <c r="ABH12" s="242"/>
      <c r="ABI12" s="242"/>
      <c r="ABJ12" s="242"/>
      <c r="ABK12" s="242"/>
      <c r="ABL12" s="242"/>
      <c r="ABM12" s="242"/>
      <c r="ABN12" s="242"/>
      <c r="ABO12" s="242"/>
      <c r="ABP12" s="242"/>
      <c r="ABQ12" s="242"/>
      <c r="ABR12" s="242"/>
      <c r="ABS12" s="242"/>
      <c r="ABT12" s="242"/>
      <c r="ABU12" s="242"/>
      <c r="ABV12" s="242"/>
      <c r="ABW12" s="242"/>
      <c r="ABX12" s="242"/>
      <c r="ABY12" s="242"/>
      <c r="ABZ12" s="242"/>
      <c r="ACA12" s="242"/>
      <c r="ACB12" s="242"/>
      <c r="ACC12" s="242"/>
      <c r="ACD12" s="242"/>
      <c r="ACE12" s="242"/>
      <c r="ACF12" s="242"/>
      <c r="ACG12" s="242"/>
      <c r="ACH12" s="242"/>
      <c r="ACI12" s="242"/>
      <c r="ACJ12" s="242"/>
      <c r="ACK12" s="242"/>
      <c r="ACL12" s="242"/>
      <c r="ACM12" s="242"/>
      <c r="ACN12" s="242"/>
      <c r="ACO12" s="242"/>
      <c r="ACP12" s="242"/>
      <c r="ACQ12" s="242"/>
      <c r="ACR12" s="242"/>
      <c r="ACS12" s="242"/>
      <c r="ACT12" s="242"/>
      <c r="ACU12" s="242"/>
      <c r="ACV12" s="242"/>
      <c r="ACW12" s="242"/>
      <c r="ACX12" s="242"/>
      <c r="ACY12" s="242"/>
      <c r="ACZ12" s="242"/>
      <c r="ADA12" s="242"/>
      <c r="ADB12" s="242"/>
      <c r="ADC12" s="242"/>
      <c r="ADD12" s="242"/>
      <c r="ADE12" s="242"/>
      <c r="ADF12" s="242"/>
      <c r="ADG12" s="242"/>
      <c r="ADH12" s="242"/>
      <c r="ADI12" s="242"/>
      <c r="ADJ12" s="242"/>
      <c r="ADK12" s="242"/>
      <c r="ADL12" s="242"/>
      <c r="ADM12" s="242"/>
      <c r="ADN12" s="242"/>
      <c r="ADO12" s="242"/>
      <c r="ADP12" s="242"/>
      <c r="ADQ12" s="242"/>
      <c r="ADR12" s="242"/>
      <c r="ADS12" s="242"/>
      <c r="ADT12" s="242"/>
      <c r="ADU12" s="242"/>
      <c r="ADV12" s="242"/>
      <c r="ADW12" s="242"/>
      <c r="ADX12" s="242"/>
      <c r="ADY12" s="242"/>
      <c r="ADZ12" s="242"/>
      <c r="AEA12" s="242"/>
      <c r="AEB12" s="242"/>
      <c r="AEC12" s="242"/>
      <c r="AED12" s="242"/>
      <c r="AEE12" s="242"/>
      <c r="AEF12" s="242"/>
      <c r="AEG12" s="242"/>
      <c r="AEH12" s="242"/>
      <c r="AEI12" s="242"/>
      <c r="AEJ12" s="242"/>
      <c r="AEK12" s="242"/>
      <c r="AEL12" s="242"/>
      <c r="AEM12" s="242"/>
      <c r="AEN12" s="242"/>
      <c r="AEO12" s="242"/>
      <c r="AEP12" s="242"/>
      <c r="AEQ12" s="242"/>
      <c r="AER12" s="242"/>
      <c r="AES12" s="242"/>
      <c r="AET12" s="242"/>
      <c r="AEU12" s="242"/>
      <c r="AEV12" s="242"/>
      <c r="AEW12" s="242"/>
      <c r="AEX12" s="242"/>
      <c r="AEY12" s="242"/>
      <c r="AEZ12" s="242"/>
      <c r="AFA12" s="242"/>
      <c r="AFB12" s="242"/>
      <c r="AFC12" s="242"/>
      <c r="AFD12" s="242"/>
      <c r="AFE12" s="242"/>
      <c r="AFF12" s="242"/>
      <c r="AFG12" s="242"/>
      <c r="AFH12" s="242"/>
      <c r="AFI12" s="242"/>
      <c r="AFJ12" s="242"/>
      <c r="AFK12" s="242"/>
      <c r="AFL12" s="242"/>
      <c r="AFM12" s="242"/>
      <c r="AFN12" s="242"/>
      <c r="AFO12" s="242"/>
      <c r="AFP12" s="242"/>
      <c r="AFQ12" s="242"/>
      <c r="AFR12" s="242"/>
      <c r="AFS12" s="242"/>
      <c r="AFT12" s="242"/>
      <c r="AFU12" s="242"/>
      <c r="AFV12" s="242"/>
      <c r="AFW12" s="242"/>
      <c r="AFX12" s="242"/>
      <c r="AFY12" s="242"/>
      <c r="AFZ12" s="242"/>
      <c r="AGA12" s="242"/>
      <c r="AGB12" s="242"/>
      <c r="AGC12" s="242"/>
      <c r="AGD12" s="242"/>
      <c r="AGE12" s="242"/>
      <c r="AGF12" s="242"/>
      <c r="AGG12" s="242"/>
      <c r="AGH12" s="242"/>
      <c r="AGI12" s="242"/>
      <c r="AGJ12" s="242"/>
      <c r="AGK12" s="242"/>
      <c r="AGL12" s="242"/>
      <c r="AGM12" s="242"/>
      <c r="AGN12" s="242"/>
      <c r="AGO12" s="242"/>
      <c r="AGP12" s="242"/>
      <c r="AGQ12" s="242"/>
      <c r="AGR12" s="242"/>
      <c r="AGS12" s="242"/>
      <c r="AGT12" s="242"/>
      <c r="AGU12" s="242"/>
      <c r="AGV12" s="242"/>
      <c r="AGW12" s="242"/>
      <c r="AGX12" s="242"/>
      <c r="AGY12" s="242"/>
      <c r="AGZ12" s="242"/>
      <c r="AHA12" s="242"/>
      <c r="AHB12" s="242"/>
      <c r="AHC12" s="242"/>
      <c r="AHD12" s="242"/>
      <c r="AHE12" s="242"/>
      <c r="AHF12" s="242"/>
      <c r="AHG12" s="242"/>
      <c r="AHH12" s="242"/>
      <c r="AHI12" s="242"/>
      <c r="AHJ12" s="242"/>
      <c r="AHK12" s="242"/>
      <c r="AHL12" s="242"/>
      <c r="AHM12" s="242"/>
      <c r="AHN12" s="242"/>
      <c r="AHO12" s="242"/>
      <c r="AHP12" s="242"/>
      <c r="AHQ12" s="242"/>
      <c r="AHR12" s="242"/>
      <c r="AHS12" s="242"/>
      <c r="AHT12" s="242"/>
      <c r="AHU12" s="242"/>
      <c r="AHV12" s="242"/>
      <c r="AHW12" s="242"/>
      <c r="AHX12" s="242"/>
      <c r="AHY12" s="242"/>
      <c r="AHZ12" s="242"/>
      <c r="AIA12" s="242"/>
      <c r="AIB12" s="242"/>
      <c r="AIC12" s="242"/>
      <c r="AID12" s="242"/>
      <c r="AIE12" s="242"/>
      <c r="AIF12" s="242"/>
      <c r="AIG12" s="242"/>
      <c r="AIH12" s="242"/>
      <c r="AII12" s="242"/>
      <c r="AIJ12" s="242"/>
      <c r="AIK12" s="242"/>
      <c r="AIL12" s="242"/>
      <c r="AIM12" s="242"/>
      <c r="AIN12" s="242"/>
      <c r="AIO12" s="242"/>
      <c r="AIP12" s="242"/>
      <c r="AIQ12" s="242"/>
      <c r="AIR12" s="242"/>
      <c r="AIS12" s="242"/>
      <c r="AIT12" s="242"/>
      <c r="AIU12" s="242"/>
      <c r="AIV12" s="242"/>
      <c r="AIW12" s="242"/>
      <c r="AIX12" s="242"/>
      <c r="AIY12" s="242"/>
      <c r="AIZ12" s="242"/>
      <c r="AJA12" s="242"/>
      <c r="AJB12" s="242"/>
      <c r="AJC12" s="242"/>
      <c r="AJD12" s="242"/>
      <c r="AJE12" s="242"/>
      <c r="AJF12" s="242"/>
      <c r="AJG12" s="242"/>
      <c r="AJH12" s="242"/>
      <c r="AJI12" s="242"/>
      <c r="AJJ12" s="242"/>
      <c r="AJK12" s="242"/>
      <c r="AJL12" s="242"/>
      <c r="AJM12" s="242"/>
      <c r="AJN12" s="242"/>
      <c r="AJO12" s="242"/>
      <c r="AJP12" s="242"/>
      <c r="AJQ12" s="242"/>
      <c r="AJR12" s="242"/>
      <c r="AJS12" s="242"/>
      <c r="AJT12" s="242"/>
      <c r="AJU12" s="242"/>
      <c r="AJV12" s="242"/>
      <c r="AJW12" s="242"/>
      <c r="AJX12" s="242"/>
      <c r="AJY12" s="242"/>
      <c r="AJZ12" s="242"/>
      <c r="AKA12" s="242"/>
      <c r="AKB12" s="242"/>
      <c r="AKC12" s="242"/>
      <c r="AKD12" s="242"/>
      <c r="AKE12" s="242"/>
      <c r="AKF12" s="242"/>
      <c r="AKG12" s="242"/>
      <c r="AKH12" s="242"/>
      <c r="AKI12" s="242"/>
      <c r="AKJ12" s="242"/>
      <c r="AKK12" s="242"/>
      <c r="AKL12" s="242"/>
      <c r="AKM12" s="242"/>
      <c r="AKN12" s="242"/>
      <c r="AKO12" s="242"/>
      <c r="AKP12" s="242"/>
      <c r="AKQ12" s="242"/>
      <c r="AKR12" s="242"/>
      <c r="AKS12" s="242"/>
      <c r="AKT12" s="242"/>
      <c r="AKU12" s="242"/>
      <c r="AKV12" s="242"/>
      <c r="AKW12" s="242"/>
      <c r="AKX12" s="242"/>
      <c r="AKY12" s="242"/>
      <c r="AKZ12" s="242"/>
      <c r="ALA12" s="242"/>
      <c r="ALB12" s="242"/>
      <c r="ALC12" s="242"/>
      <c r="ALD12" s="242"/>
      <c r="ALE12" s="242"/>
      <c r="ALF12" s="242"/>
      <c r="ALG12" s="242"/>
      <c r="ALH12" s="242"/>
      <c r="ALI12" s="242"/>
      <c r="ALJ12" s="242"/>
      <c r="ALK12" s="242"/>
      <c r="ALL12" s="242"/>
      <c r="ALM12" s="242"/>
      <c r="ALN12" s="242"/>
      <c r="ALO12" s="242"/>
      <c r="ALP12" s="242"/>
      <c r="ALQ12" s="242"/>
      <c r="ALR12" s="242"/>
      <c r="ALS12" s="242"/>
      <c r="ALT12" s="242"/>
      <c r="ALU12" s="242"/>
      <c r="ALV12" s="242"/>
      <c r="ALW12" s="242"/>
      <c r="ALX12" s="242"/>
      <c r="ALY12" s="242"/>
      <c r="ALZ12" s="242"/>
      <c r="AMA12" s="242"/>
      <c r="AMB12" s="242"/>
      <c r="AMC12" s="242"/>
      <c r="AMD12" s="242"/>
      <c r="AME12" s="242"/>
      <c r="AMF12" s="242"/>
      <c r="AMG12" s="242"/>
      <c r="AMH12" s="242"/>
      <c r="AMI12" s="242"/>
      <c r="AMJ12" s="242"/>
      <c r="AMK12" s="242"/>
      <c r="AML12" s="242"/>
      <c r="AMM12" s="242"/>
      <c r="AMN12" s="242"/>
      <c r="AMO12" s="242"/>
      <c r="AMP12" s="242"/>
      <c r="AMQ12" s="242"/>
      <c r="AMR12" s="242"/>
      <c r="AMS12" s="242"/>
      <c r="AMT12" s="242"/>
      <c r="AMU12" s="242"/>
      <c r="AMV12" s="242"/>
      <c r="AMW12" s="242"/>
      <c r="AMX12" s="242"/>
      <c r="AMY12" s="242"/>
      <c r="AMZ12" s="242"/>
      <c r="ANA12" s="242"/>
      <c r="ANB12" s="242"/>
      <c r="ANC12" s="242"/>
      <c r="AND12" s="242"/>
      <c r="ANE12" s="242"/>
      <c r="ANF12" s="242"/>
      <c r="ANG12" s="242"/>
      <c r="ANH12" s="242"/>
      <c r="ANI12" s="242"/>
      <c r="ANJ12" s="242"/>
      <c r="ANK12" s="242"/>
      <c r="ANL12" s="242"/>
      <c r="ANM12" s="242"/>
      <c r="ANN12" s="242"/>
      <c r="ANO12" s="242"/>
      <c r="ANP12" s="242"/>
      <c r="ANQ12" s="242"/>
      <c r="ANR12" s="242"/>
      <c r="ANS12" s="242"/>
      <c r="ANT12" s="242"/>
      <c r="ANU12" s="242"/>
      <c r="ANV12" s="242"/>
      <c r="ANW12" s="242"/>
      <c r="ANX12" s="242"/>
      <c r="ANY12" s="242"/>
      <c r="ANZ12" s="242"/>
      <c r="AOA12" s="242"/>
      <c r="AOB12" s="242"/>
      <c r="AOC12" s="242"/>
      <c r="AOD12" s="242"/>
      <c r="AOE12" s="242"/>
      <c r="AOF12" s="242"/>
      <c r="AOG12" s="242"/>
      <c r="AOH12" s="242"/>
      <c r="AOI12" s="242"/>
      <c r="AOJ12" s="242"/>
      <c r="AOK12" s="242"/>
      <c r="AOL12" s="242"/>
      <c r="AOM12" s="242"/>
      <c r="AON12" s="242"/>
      <c r="AOO12" s="242"/>
      <c r="AOP12" s="242"/>
      <c r="AOQ12" s="242"/>
      <c r="AOR12" s="242"/>
      <c r="AOS12" s="242"/>
      <c r="AOT12" s="242"/>
      <c r="AOU12" s="242"/>
      <c r="AOV12" s="242"/>
      <c r="AOW12" s="242"/>
      <c r="AOX12" s="242"/>
      <c r="AOY12" s="242"/>
      <c r="AOZ12" s="242"/>
      <c r="APA12" s="242"/>
      <c r="APB12" s="242"/>
      <c r="APC12" s="242"/>
      <c r="APD12" s="242"/>
      <c r="APE12" s="242"/>
      <c r="APF12" s="242"/>
      <c r="APG12" s="242"/>
      <c r="APH12" s="242"/>
      <c r="API12" s="242"/>
      <c r="APJ12" s="242"/>
      <c r="APK12" s="242"/>
      <c r="APL12" s="242"/>
      <c r="APM12" s="242"/>
      <c r="APN12" s="242"/>
      <c r="APO12" s="242"/>
      <c r="APP12" s="242"/>
      <c r="APQ12" s="242"/>
      <c r="APR12" s="242"/>
      <c r="APS12" s="242"/>
      <c r="APT12" s="242"/>
      <c r="APU12" s="242"/>
      <c r="APV12" s="242"/>
      <c r="APW12" s="242"/>
      <c r="APX12" s="242"/>
      <c r="APY12" s="242"/>
      <c r="APZ12" s="242"/>
      <c r="AQA12" s="242"/>
      <c r="AQB12" s="242"/>
      <c r="AQC12" s="242"/>
      <c r="AQD12" s="242"/>
      <c r="AQE12" s="242"/>
      <c r="AQF12" s="242"/>
      <c r="AQG12" s="242"/>
      <c r="AQH12" s="242"/>
      <c r="AQI12" s="242"/>
      <c r="AQJ12" s="242"/>
      <c r="AQK12" s="242"/>
      <c r="AQL12" s="242"/>
      <c r="AQM12" s="242"/>
      <c r="AQN12" s="242"/>
      <c r="AQO12" s="242"/>
      <c r="AQP12" s="242"/>
      <c r="AQQ12" s="242"/>
      <c r="AQR12" s="242"/>
      <c r="AQS12" s="242"/>
      <c r="AQT12" s="242"/>
      <c r="AQU12" s="242"/>
      <c r="AQV12" s="242"/>
      <c r="AQW12" s="242"/>
      <c r="AQX12" s="242"/>
      <c r="AQY12" s="242"/>
      <c r="AQZ12" s="242"/>
      <c r="ARA12" s="242"/>
      <c r="ARB12" s="242"/>
      <c r="ARC12" s="242"/>
      <c r="ARD12" s="242"/>
      <c r="ARE12" s="242"/>
      <c r="ARF12" s="242"/>
      <c r="ARG12" s="242"/>
      <c r="ARH12" s="242"/>
      <c r="ARI12" s="242"/>
      <c r="ARJ12" s="242"/>
      <c r="ARK12" s="242"/>
      <c r="ARL12" s="242"/>
      <c r="ARM12" s="242"/>
      <c r="ARN12" s="242"/>
      <c r="ARO12" s="242"/>
      <c r="ARP12" s="242"/>
      <c r="ARQ12" s="242"/>
      <c r="ARR12" s="242"/>
      <c r="ARS12" s="242"/>
      <c r="ART12" s="242"/>
      <c r="ARU12" s="242"/>
      <c r="ARV12" s="242"/>
      <c r="ARW12" s="242"/>
      <c r="ARX12" s="242"/>
      <c r="ARY12" s="242"/>
      <c r="ARZ12" s="242"/>
      <c r="ASA12" s="242"/>
      <c r="ASB12" s="242"/>
      <c r="ASC12" s="242"/>
      <c r="ASD12" s="242"/>
      <c r="ASE12" s="242"/>
      <c r="ASF12" s="242"/>
      <c r="ASG12" s="242"/>
      <c r="ASH12" s="242"/>
      <c r="ASI12" s="242"/>
      <c r="ASJ12" s="242"/>
      <c r="ASK12" s="242"/>
      <c r="ASL12" s="242"/>
      <c r="ASM12" s="242"/>
      <c r="ASN12" s="242"/>
      <c r="ASO12" s="242"/>
      <c r="ASP12" s="242"/>
      <c r="ASQ12" s="242"/>
      <c r="ASR12" s="242"/>
      <c r="ASS12" s="242"/>
      <c r="AST12" s="242"/>
      <c r="ASU12" s="242"/>
      <c r="ASV12" s="242"/>
      <c r="ASW12" s="242"/>
      <c r="ASX12" s="242"/>
      <c r="ASY12" s="242"/>
      <c r="ASZ12" s="242"/>
      <c r="ATA12" s="242"/>
      <c r="ATB12" s="242"/>
      <c r="ATC12" s="242"/>
      <c r="ATD12" s="242"/>
      <c r="ATE12" s="242"/>
      <c r="ATF12" s="242"/>
      <c r="ATG12" s="242"/>
      <c r="ATH12" s="242"/>
      <c r="ATI12" s="242"/>
      <c r="ATJ12" s="242"/>
      <c r="ATK12" s="242"/>
      <c r="ATL12" s="242"/>
      <c r="ATM12" s="242"/>
      <c r="ATN12" s="242"/>
      <c r="ATO12" s="242"/>
      <c r="ATP12" s="242"/>
      <c r="ATQ12" s="242"/>
      <c r="ATR12" s="242"/>
      <c r="ATS12" s="242"/>
      <c r="ATT12" s="242"/>
      <c r="ATU12" s="242"/>
      <c r="ATV12" s="242"/>
      <c r="ATW12" s="242"/>
      <c r="ATX12" s="242"/>
      <c r="ATY12" s="242"/>
      <c r="ATZ12" s="242"/>
      <c r="AUA12" s="242"/>
      <c r="AUB12" s="242"/>
      <c r="AUC12" s="242"/>
      <c r="AUD12" s="242"/>
      <c r="AUE12" s="242"/>
      <c r="AUF12" s="242"/>
      <c r="AUG12" s="242"/>
      <c r="AUH12" s="242"/>
      <c r="AUI12" s="242"/>
      <c r="AUJ12" s="242"/>
      <c r="AUK12" s="242"/>
      <c r="AUL12" s="242"/>
      <c r="AUM12" s="242"/>
      <c r="AUN12" s="242"/>
      <c r="AUO12" s="242"/>
      <c r="AUP12" s="242"/>
      <c r="AUQ12" s="242"/>
      <c r="AUR12" s="242"/>
      <c r="AUS12" s="242"/>
      <c r="AUT12" s="242"/>
      <c r="AUU12" s="242"/>
      <c r="AUV12" s="242"/>
      <c r="AUW12" s="242"/>
      <c r="AUX12" s="242"/>
      <c r="AUY12" s="242"/>
      <c r="AUZ12" s="242"/>
      <c r="AVA12" s="242"/>
      <c r="AVB12" s="242"/>
      <c r="AVC12" s="242"/>
      <c r="AVD12" s="242"/>
      <c r="AVE12" s="242"/>
      <c r="AVF12" s="242"/>
      <c r="AVG12" s="242"/>
      <c r="AVH12" s="242"/>
      <c r="AVI12" s="242"/>
      <c r="AVJ12" s="242"/>
      <c r="AVK12" s="242"/>
      <c r="AVL12" s="242"/>
      <c r="AVM12" s="242"/>
      <c r="AVN12" s="242"/>
      <c r="AVO12" s="242"/>
      <c r="AVP12" s="242"/>
      <c r="AVQ12" s="242"/>
      <c r="AVR12" s="242"/>
      <c r="AVS12" s="242"/>
      <c r="AVT12" s="242"/>
      <c r="AVU12" s="242"/>
      <c r="AVV12" s="242"/>
      <c r="AVW12" s="242"/>
      <c r="AVX12" s="242"/>
      <c r="AVY12" s="242"/>
      <c r="AVZ12" s="242"/>
      <c r="AWA12" s="242"/>
      <c r="AWB12" s="242"/>
      <c r="AWC12" s="242"/>
      <c r="AWD12" s="242"/>
      <c r="AWE12" s="242"/>
      <c r="AWF12" s="242"/>
      <c r="AWG12" s="242"/>
      <c r="AWH12" s="242"/>
      <c r="AWI12" s="242"/>
      <c r="AWJ12" s="242"/>
      <c r="AWK12" s="242"/>
      <c r="AWL12" s="242"/>
      <c r="AWM12" s="242"/>
      <c r="AWN12" s="242"/>
      <c r="AWO12" s="242"/>
      <c r="AWP12" s="242"/>
      <c r="AWQ12" s="242"/>
      <c r="AWR12" s="242"/>
      <c r="AWS12" s="242"/>
      <c r="AWT12" s="242"/>
      <c r="AWU12" s="242"/>
      <c r="AWV12" s="242"/>
      <c r="AWW12" s="242"/>
      <c r="AWX12" s="242"/>
      <c r="AWY12" s="242"/>
      <c r="AWZ12" s="242"/>
      <c r="AXA12" s="242"/>
      <c r="AXB12" s="242"/>
      <c r="AXC12" s="242"/>
      <c r="AXD12" s="242"/>
      <c r="AXE12" s="242"/>
      <c r="AXF12" s="242"/>
      <c r="AXG12" s="242"/>
      <c r="AXH12" s="242"/>
      <c r="AXI12" s="242"/>
      <c r="AXJ12" s="242"/>
      <c r="AXK12" s="242"/>
      <c r="AXL12" s="242"/>
      <c r="AXM12" s="242"/>
      <c r="AXN12" s="242"/>
      <c r="AXO12" s="242"/>
      <c r="AXP12" s="242"/>
      <c r="AXQ12" s="242"/>
      <c r="AXR12" s="242"/>
      <c r="AXS12" s="242"/>
      <c r="AXT12" s="242"/>
      <c r="AXU12" s="242"/>
      <c r="AXV12" s="242"/>
      <c r="AXW12" s="242"/>
      <c r="AXX12" s="242"/>
      <c r="AXY12" s="242"/>
      <c r="AXZ12" s="73"/>
      <c r="BAH12" s="2" t="s">
        <v>65</v>
      </c>
      <c r="BCP12" s="2" t="s">
        <v>66</v>
      </c>
      <c r="BEX12" s="2" t="s">
        <v>65</v>
      </c>
      <c r="BHF12" s="2" t="s">
        <v>66</v>
      </c>
      <c r="BJN12" s="2" t="s">
        <v>65</v>
      </c>
    </row>
    <row r="13" spans="1:1660" ht="42.75" customHeight="1" thickBot="1" x14ac:dyDescent="0.3">
      <c r="B13" s="51"/>
      <c r="C13" s="229" t="s">
        <v>12</v>
      </c>
      <c r="D13" s="117"/>
      <c r="E13" s="227" t="s">
        <v>13</v>
      </c>
      <c r="F13" s="220" t="s">
        <v>14</v>
      </c>
      <c r="G13" s="221"/>
      <c r="H13" s="221"/>
      <c r="I13" s="221"/>
      <c r="J13" s="221"/>
      <c r="K13" s="221"/>
      <c r="L13" s="221"/>
      <c r="M13" s="221"/>
      <c r="N13" s="221"/>
      <c r="O13" s="221"/>
      <c r="P13" s="221"/>
      <c r="Q13" s="221"/>
      <c r="R13" s="221"/>
      <c r="S13" s="221"/>
      <c r="T13" s="221"/>
      <c r="U13" s="221"/>
      <c r="V13" s="221"/>
      <c r="W13" s="221"/>
      <c r="X13" s="221"/>
      <c r="Y13" s="221"/>
      <c r="Z13" s="221"/>
      <c r="AA13" s="221"/>
      <c r="AB13" s="221"/>
      <c r="AC13" s="221"/>
      <c r="AD13" s="221"/>
      <c r="AE13" s="221"/>
      <c r="AF13" s="221"/>
      <c r="AG13" s="221"/>
      <c r="AH13" s="221"/>
      <c r="AI13" s="221"/>
      <c r="AJ13" s="221"/>
      <c r="AK13" s="221"/>
      <c r="AL13" s="221"/>
      <c r="AM13" s="221"/>
      <c r="AN13" s="221"/>
      <c r="AO13" s="221"/>
      <c r="AP13" s="221"/>
      <c r="AQ13" s="221"/>
      <c r="AR13" s="221"/>
      <c r="AS13" s="221"/>
      <c r="AT13" s="221"/>
      <c r="AU13" s="221"/>
      <c r="AV13" s="221"/>
      <c r="AW13" s="221"/>
      <c r="AX13" s="221"/>
      <c r="AY13" s="221"/>
      <c r="AZ13" s="221"/>
      <c r="BA13" s="221"/>
      <c r="BB13" s="221"/>
      <c r="BC13" s="221"/>
      <c r="BD13" s="221"/>
      <c r="BE13" s="221"/>
      <c r="BF13" s="221"/>
      <c r="BG13" s="221"/>
      <c r="BH13" s="221"/>
      <c r="BI13" s="221"/>
      <c r="BJ13" s="221"/>
      <c r="BK13" s="221"/>
      <c r="BL13" s="221"/>
      <c r="BM13" s="222"/>
      <c r="BN13" s="220" t="s">
        <v>15</v>
      </c>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2"/>
      <c r="DV13" s="220" t="s">
        <v>16</v>
      </c>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2"/>
      <c r="GD13" s="220" t="s">
        <v>80</v>
      </c>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c r="HX13" s="221"/>
      <c r="HY13" s="221"/>
      <c r="HZ13" s="221"/>
      <c r="IA13" s="221"/>
      <c r="IB13" s="221"/>
      <c r="IC13" s="221"/>
      <c r="ID13" s="221"/>
      <c r="IE13" s="221"/>
      <c r="IF13" s="221"/>
      <c r="IG13" s="221"/>
      <c r="IH13" s="221"/>
      <c r="II13" s="221"/>
      <c r="IJ13" s="221"/>
      <c r="IK13" s="222"/>
      <c r="IL13" s="220" t="s">
        <v>79</v>
      </c>
      <c r="IM13" s="221"/>
      <c r="IN13" s="221"/>
      <c r="IO13" s="221"/>
      <c r="IP13" s="221"/>
      <c r="IQ13" s="221"/>
      <c r="IR13" s="221"/>
      <c r="IS13" s="221"/>
      <c r="IT13" s="221"/>
      <c r="IU13" s="221"/>
      <c r="IV13" s="221"/>
      <c r="IW13" s="221"/>
      <c r="IX13" s="221"/>
      <c r="IY13" s="221"/>
      <c r="IZ13" s="221"/>
      <c r="JA13" s="221"/>
      <c r="JB13" s="221"/>
      <c r="JC13" s="221"/>
      <c r="JD13" s="221"/>
      <c r="JE13" s="221"/>
      <c r="JF13" s="221"/>
      <c r="JG13" s="221"/>
      <c r="JH13" s="221"/>
      <c r="JI13" s="221"/>
      <c r="JJ13" s="221"/>
      <c r="JK13" s="221"/>
      <c r="JL13" s="221"/>
      <c r="JM13" s="221"/>
      <c r="JN13" s="221"/>
      <c r="JO13" s="221"/>
      <c r="JP13" s="221"/>
      <c r="JQ13" s="221"/>
      <c r="JR13" s="221"/>
      <c r="JS13" s="221"/>
      <c r="JT13" s="221"/>
      <c r="JU13" s="221"/>
      <c r="JV13" s="221"/>
      <c r="JW13" s="221"/>
      <c r="JX13" s="221"/>
      <c r="JY13" s="221"/>
      <c r="JZ13" s="221"/>
      <c r="KA13" s="221"/>
      <c r="KB13" s="221"/>
      <c r="KC13" s="221"/>
      <c r="KD13" s="221"/>
      <c r="KE13" s="221"/>
      <c r="KF13" s="221"/>
      <c r="KG13" s="221"/>
      <c r="KH13" s="221"/>
      <c r="KI13" s="221"/>
      <c r="KJ13" s="221"/>
      <c r="KK13" s="221"/>
      <c r="KL13" s="221"/>
      <c r="KM13" s="221"/>
      <c r="KN13" s="221"/>
      <c r="KO13" s="221"/>
      <c r="KP13" s="221"/>
      <c r="KQ13" s="221"/>
      <c r="KR13" s="221"/>
      <c r="KS13" s="222"/>
      <c r="KT13" s="220" t="s">
        <v>77</v>
      </c>
      <c r="KU13" s="221"/>
      <c r="KV13" s="221"/>
      <c r="KW13" s="221"/>
      <c r="KX13" s="221"/>
      <c r="KY13" s="221"/>
      <c r="KZ13" s="221"/>
      <c r="LA13" s="221"/>
      <c r="LB13" s="221"/>
      <c r="LC13" s="221"/>
      <c r="LD13" s="221"/>
      <c r="LE13" s="221"/>
      <c r="LF13" s="221"/>
      <c r="LG13" s="221"/>
      <c r="LH13" s="221"/>
      <c r="LI13" s="221"/>
      <c r="LJ13" s="221"/>
      <c r="LK13" s="221"/>
      <c r="LL13" s="221"/>
      <c r="LM13" s="221"/>
      <c r="LN13" s="221"/>
      <c r="LO13" s="221"/>
      <c r="LP13" s="221"/>
      <c r="LQ13" s="221"/>
      <c r="LR13" s="221"/>
      <c r="LS13" s="221"/>
      <c r="LT13" s="221"/>
      <c r="LU13" s="221"/>
      <c r="LV13" s="221"/>
      <c r="LW13" s="221"/>
      <c r="LX13" s="221"/>
      <c r="LY13" s="221"/>
      <c r="LZ13" s="221"/>
      <c r="MA13" s="221"/>
      <c r="MB13" s="221"/>
      <c r="MC13" s="221"/>
      <c r="MD13" s="221"/>
      <c r="ME13" s="221"/>
      <c r="MF13" s="221"/>
      <c r="MG13" s="221"/>
      <c r="MH13" s="221"/>
      <c r="MI13" s="221"/>
      <c r="MJ13" s="221"/>
      <c r="MK13" s="221"/>
      <c r="ML13" s="221"/>
      <c r="MM13" s="221"/>
      <c r="MN13" s="221"/>
      <c r="MO13" s="221"/>
      <c r="MP13" s="221"/>
      <c r="MQ13" s="221"/>
      <c r="MR13" s="221"/>
      <c r="MS13" s="221"/>
      <c r="MT13" s="221"/>
      <c r="MU13" s="221"/>
      <c r="MV13" s="221"/>
      <c r="MW13" s="221"/>
      <c r="MX13" s="221"/>
      <c r="MY13" s="221"/>
      <c r="MZ13" s="221"/>
      <c r="NA13" s="222"/>
      <c r="NB13" s="220" t="s">
        <v>76</v>
      </c>
      <c r="NC13" s="221"/>
      <c r="ND13" s="221"/>
      <c r="NE13" s="221"/>
      <c r="NF13" s="221"/>
      <c r="NG13" s="221"/>
      <c r="NH13" s="221"/>
      <c r="NI13" s="221"/>
      <c r="NJ13" s="221"/>
      <c r="NK13" s="221"/>
      <c r="NL13" s="221"/>
      <c r="NM13" s="221"/>
      <c r="NN13" s="221"/>
      <c r="NO13" s="221"/>
      <c r="NP13" s="221"/>
      <c r="NQ13" s="221"/>
      <c r="NR13" s="221"/>
      <c r="NS13" s="221"/>
      <c r="NT13" s="221"/>
      <c r="NU13" s="221"/>
      <c r="NV13" s="221"/>
      <c r="NW13" s="221"/>
      <c r="NX13" s="221"/>
      <c r="NY13" s="221"/>
      <c r="NZ13" s="221"/>
      <c r="OA13" s="221"/>
      <c r="OB13" s="221"/>
      <c r="OC13" s="221"/>
      <c r="OD13" s="221"/>
      <c r="OE13" s="221"/>
      <c r="OF13" s="221"/>
      <c r="OG13" s="221"/>
      <c r="OH13" s="221"/>
      <c r="OI13" s="221"/>
      <c r="OJ13" s="221"/>
      <c r="OK13" s="221"/>
      <c r="OL13" s="221"/>
      <c r="OM13" s="221"/>
      <c r="ON13" s="221"/>
      <c r="OO13" s="221"/>
      <c r="OP13" s="221"/>
      <c r="OQ13" s="221"/>
      <c r="OR13" s="221"/>
      <c r="OS13" s="221"/>
      <c r="OT13" s="221"/>
      <c r="OU13" s="221"/>
      <c r="OV13" s="221"/>
      <c r="OW13" s="221"/>
      <c r="OX13" s="221"/>
      <c r="OY13" s="221"/>
      <c r="OZ13" s="221"/>
      <c r="PA13" s="221"/>
      <c r="PB13" s="221"/>
      <c r="PC13" s="221"/>
      <c r="PD13" s="221"/>
      <c r="PE13" s="221"/>
      <c r="PF13" s="221"/>
      <c r="PG13" s="221"/>
      <c r="PH13" s="221"/>
      <c r="PI13" s="222"/>
      <c r="PJ13" s="220" t="s">
        <v>36</v>
      </c>
      <c r="PK13" s="221"/>
      <c r="PL13" s="221"/>
      <c r="PM13" s="221"/>
      <c r="PN13" s="221"/>
      <c r="PO13" s="221"/>
      <c r="PP13" s="221"/>
      <c r="PQ13" s="221"/>
      <c r="PR13" s="221"/>
      <c r="PS13" s="221"/>
      <c r="PT13" s="221"/>
      <c r="PU13" s="221"/>
      <c r="PV13" s="221"/>
      <c r="PW13" s="221"/>
      <c r="PX13" s="221"/>
      <c r="PY13" s="221"/>
      <c r="PZ13" s="221"/>
      <c r="QA13" s="221"/>
      <c r="QB13" s="221"/>
      <c r="QC13" s="221"/>
      <c r="QD13" s="221"/>
      <c r="QE13" s="221"/>
      <c r="QF13" s="221"/>
      <c r="QG13" s="221"/>
      <c r="QH13" s="221"/>
      <c r="QI13" s="221"/>
      <c r="QJ13" s="221"/>
      <c r="QK13" s="221"/>
      <c r="QL13" s="221"/>
      <c r="QM13" s="221"/>
      <c r="QN13" s="221"/>
      <c r="QO13" s="221"/>
      <c r="QP13" s="221"/>
      <c r="QQ13" s="221"/>
      <c r="QR13" s="221"/>
      <c r="QS13" s="221"/>
      <c r="QT13" s="221"/>
      <c r="QU13" s="221"/>
      <c r="QV13" s="221"/>
      <c r="QW13" s="221"/>
      <c r="QX13" s="221"/>
      <c r="QY13" s="221"/>
      <c r="QZ13" s="221"/>
      <c r="RA13" s="221"/>
      <c r="RB13" s="221"/>
      <c r="RC13" s="221"/>
      <c r="RD13" s="221"/>
      <c r="RE13" s="221"/>
      <c r="RF13" s="221"/>
      <c r="RG13" s="221"/>
      <c r="RH13" s="221"/>
      <c r="RI13" s="221"/>
      <c r="RJ13" s="221"/>
      <c r="RK13" s="221"/>
      <c r="RL13" s="221"/>
      <c r="RM13" s="221"/>
      <c r="RN13" s="221"/>
      <c r="RO13" s="221"/>
      <c r="RP13" s="221"/>
      <c r="RQ13" s="222"/>
      <c r="RR13" s="220" t="s">
        <v>36</v>
      </c>
      <c r="RS13" s="221"/>
      <c r="RT13" s="221"/>
      <c r="RU13" s="221"/>
      <c r="RV13" s="221"/>
      <c r="RW13" s="221"/>
      <c r="RX13" s="221"/>
      <c r="RY13" s="221"/>
      <c r="RZ13" s="221"/>
      <c r="SA13" s="221"/>
      <c r="SB13" s="221"/>
      <c r="SC13" s="221"/>
      <c r="SD13" s="221"/>
      <c r="SE13" s="221"/>
      <c r="SF13" s="221"/>
      <c r="SG13" s="221"/>
      <c r="SH13" s="221"/>
      <c r="SI13" s="221"/>
      <c r="SJ13" s="221"/>
      <c r="SK13" s="221"/>
      <c r="SL13" s="221"/>
      <c r="SM13" s="221"/>
      <c r="SN13" s="221"/>
      <c r="SO13" s="221"/>
      <c r="SP13" s="221"/>
      <c r="SQ13" s="221"/>
      <c r="SR13" s="221"/>
      <c r="SS13" s="221"/>
      <c r="ST13" s="221"/>
      <c r="SU13" s="221"/>
      <c r="SV13" s="221"/>
      <c r="SW13" s="221"/>
      <c r="SX13" s="221"/>
      <c r="SY13" s="221"/>
      <c r="SZ13" s="221"/>
      <c r="TA13" s="221"/>
      <c r="TB13" s="221"/>
      <c r="TC13" s="221"/>
      <c r="TD13" s="221"/>
      <c r="TE13" s="221"/>
      <c r="TF13" s="221"/>
      <c r="TG13" s="221"/>
      <c r="TH13" s="221"/>
      <c r="TI13" s="221"/>
      <c r="TJ13" s="221"/>
      <c r="TK13" s="221"/>
      <c r="TL13" s="221"/>
      <c r="TM13" s="221"/>
      <c r="TN13" s="221"/>
      <c r="TO13" s="221"/>
      <c r="TP13" s="221"/>
      <c r="TQ13" s="221"/>
      <c r="TR13" s="221"/>
      <c r="TS13" s="221"/>
      <c r="TT13" s="221"/>
      <c r="TU13" s="221"/>
      <c r="TV13" s="221"/>
      <c r="TW13" s="221"/>
      <c r="TX13" s="221"/>
      <c r="TY13" s="222"/>
      <c r="TZ13" s="220" t="s">
        <v>36</v>
      </c>
      <c r="UA13" s="221"/>
      <c r="UB13" s="221"/>
      <c r="UC13" s="221"/>
      <c r="UD13" s="221"/>
      <c r="UE13" s="221"/>
      <c r="UF13" s="221"/>
      <c r="UG13" s="221"/>
      <c r="UH13" s="221"/>
      <c r="UI13" s="221"/>
      <c r="UJ13" s="221"/>
      <c r="UK13" s="221"/>
      <c r="UL13" s="221"/>
      <c r="UM13" s="221"/>
      <c r="UN13" s="221"/>
      <c r="UO13" s="221"/>
      <c r="UP13" s="221"/>
      <c r="UQ13" s="221"/>
      <c r="UR13" s="221"/>
      <c r="US13" s="221"/>
      <c r="UT13" s="221"/>
      <c r="UU13" s="221"/>
      <c r="UV13" s="221"/>
      <c r="UW13" s="221"/>
      <c r="UX13" s="221"/>
      <c r="UY13" s="221"/>
      <c r="UZ13" s="221"/>
      <c r="VA13" s="221"/>
      <c r="VB13" s="221"/>
      <c r="VC13" s="221"/>
      <c r="VD13" s="221"/>
      <c r="VE13" s="221"/>
      <c r="VF13" s="221"/>
      <c r="VG13" s="221"/>
      <c r="VH13" s="221"/>
      <c r="VI13" s="221"/>
      <c r="VJ13" s="221"/>
      <c r="VK13" s="221"/>
      <c r="VL13" s="221"/>
      <c r="VM13" s="221"/>
      <c r="VN13" s="221"/>
      <c r="VO13" s="221"/>
      <c r="VP13" s="221"/>
      <c r="VQ13" s="221"/>
      <c r="VR13" s="221"/>
      <c r="VS13" s="221"/>
      <c r="VT13" s="221"/>
      <c r="VU13" s="221"/>
      <c r="VV13" s="221"/>
      <c r="VW13" s="221"/>
      <c r="VX13" s="221"/>
      <c r="VY13" s="221"/>
      <c r="VZ13" s="221"/>
      <c r="WA13" s="221"/>
      <c r="WB13" s="221"/>
      <c r="WC13" s="221"/>
      <c r="WD13" s="221"/>
      <c r="WE13" s="221"/>
      <c r="WF13" s="221"/>
      <c r="WG13" s="222"/>
      <c r="WH13" s="220" t="s">
        <v>36</v>
      </c>
      <c r="WI13" s="221"/>
      <c r="WJ13" s="221"/>
      <c r="WK13" s="221"/>
      <c r="WL13" s="221"/>
      <c r="WM13" s="221"/>
      <c r="WN13" s="221"/>
      <c r="WO13" s="221"/>
      <c r="WP13" s="221"/>
      <c r="WQ13" s="221"/>
      <c r="WR13" s="221"/>
      <c r="WS13" s="221"/>
      <c r="WT13" s="221"/>
      <c r="WU13" s="221"/>
      <c r="WV13" s="221"/>
      <c r="WW13" s="221"/>
      <c r="WX13" s="221"/>
      <c r="WY13" s="221"/>
      <c r="WZ13" s="221"/>
      <c r="XA13" s="221"/>
      <c r="XB13" s="221"/>
      <c r="XC13" s="221"/>
      <c r="XD13" s="221"/>
      <c r="XE13" s="221"/>
      <c r="XF13" s="221"/>
      <c r="XG13" s="221"/>
      <c r="XH13" s="221"/>
      <c r="XI13" s="221"/>
      <c r="XJ13" s="221"/>
      <c r="XK13" s="221"/>
      <c r="XL13" s="221"/>
      <c r="XM13" s="221"/>
      <c r="XN13" s="221"/>
      <c r="XO13" s="221"/>
      <c r="XP13" s="221"/>
      <c r="XQ13" s="221"/>
      <c r="XR13" s="221"/>
      <c r="XS13" s="221"/>
      <c r="XT13" s="221"/>
      <c r="XU13" s="221"/>
      <c r="XV13" s="221"/>
      <c r="XW13" s="221"/>
      <c r="XX13" s="221"/>
      <c r="XY13" s="221"/>
      <c r="XZ13" s="221"/>
      <c r="YA13" s="221"/>
      <c r="YB13" s="221"/>
      <c r="YC13" s="221"/>
      <c r="YD13" s="221"/>
      <c r="YE13" s="221"/>
      <c r="YF13" s="221"/>
      <c r="YG13" s="221"/>
      <c r="YH13" s="221"/>
      <c r="YI13" s="221"/>
      <c r="YJ13" s="221"/>
      <c r="YK13" s="221"/>
      <c r="YL13" s="221"/>
      <c r="YM13" s="221"/>
      <c r="YN13" s="221"/>
      <c r="YO13" s="222"/>
      <c r="YP13" s="220" t="s">
        <v>36</v>
      </c>
      <c r="YQ13" s="221"/>
      <c r="YR13" s="221"/>
      <c r="YS13" s="221"/>
      <c r="YT13" s="221"/>
      <c r="YU13" s="221"/>
      <c r="YV13" s="221"/>
      <c r="YW13" s="221"/>
      <c r="YX13" s="221"/>
      <c r="YY13" s="221"/>
      <c r="YZ13" s="221"/>
      <c r="ZA13" s="221"/>
      <c r="ZB13" s="221"/>
      <c r="ZC13" s="221"/>
      <c r="ZD13" s="221"/>
      <c r="ZE13" s="221"/>
      <c r="ZF13" s="221"/>
      <c r="ZG13" s="221"/>
      <c r="ZH13" s="221"/>
      <c r="ZI13" s="221"/>
      <c r="ZJ13" s="221"/>
      <c r="ZK13" s="221"/>
      <c r="ZL13" s="221"/>
      <c r="ZM13" s="221"/>
      <c r="ZN13" s="221"/>
      <c r="ZO13" s="221"/>
      <c r="ZP13" s="221"/>
      <c r="ZQ13" s="221"/>
      <c r="ZR13" s="221"/>
      <c r="ZS13" s="221"/>
      <c r="ZT13" s="221"/>
      <c r="ZU13" s="221"/>
      <c r="ZV13" s="221"/>
      <c r="ZW13" s="221"/>
      <c r="ZX13" s="221"/>
      <c r="ZY13" s="221"/>
      <c r="ZZ13" s="221"/>
      <c r="AAA13" s="221"/>
      <c r="AAB13" s="221"/>
      <c r="AAC13" s="221"/>
      <c r="AAD13" s="221"/>
      <c r="AAE13" s="221"/>
      <c r="AAF13" s="221"/>
      <c r="AAG13" s="221"/>
      <c r="AAH13" s="221"/>
      <c r="AAI13" s="221"/>
      <c r="AAJ13" s="221"/>
      <c r="AAK13" s="221"/>
      <c r="AAL13" s="221"/>
      <c r="AAM13" s="221"/>
      <c r="AAN13" s="221"/>
      <c r="AAO13" s="221"/>
      <c r="AAP13" s="221"/>
      <c r="AAQ13" s="221"/>
      <c r="AAR13" s="221"/>
      <c r="AAS13" s="221"/>
      <c r="AAT13" s="221"/>
      <c r="AAU13" s="221"/>
      <c r="AAV13" s="221"/>
      <c r="AAW13" s="222"/>
      <c r="AAX13" s="220" t="s">
        <v>36</v>
      </c>
      <c r="AAY13" s="221"/>
      <c r="AAZ13" s="221"/>
      <c r="ABA13" s="221"/>
      <c r="ABB13" s="221"/>
      <c r="ABC13" s="221"/>
      <c r="ABD13" s="221"/>
      <c r="ABE13" s="221"/>
      <c r="ABF13" s="221"/>
      <c r="ABG13" s="221"/>
      <c r="ABH13" s="221"/>
      <c r="ABI13" s="221"/>
      <c r="ABJ13" s="221"/>
      <c r="ABK13" s="221"/>
      <c r="ABL13" s="221"/>
      <c r="ABM13" s="221"/>
      <c r="ABN13" s="221"/>
      <c r="ABO13" s="221"/>
      <c r="ABP13" s="221"/>
      <c r="ABQ13" s="221"/>
      <c r="ABR13" s="221"/>
      <c r="ABS13" s="221"/>
      <c r="ABT13" s="221"/>
      <c r="ABU13" s="221"/>
      <c r="ABV13" s="221"/>
      <c r="ABW13" s="221"/>
      <c r="ABX13" s="221"/>
      <c r="ABY13" s="221"/>
      <c r="ABZ13" s="221"/>
      <c r="ACA13" s="221"/>
      <c r="ACB13" s="221"/>
      <c r="ACC13" s="221"/>
      <c r="ACD13" s="221"/>
      <c r="ACE13" s="221"/>
      <c r="ACF13" s="221"/>
      <c r="ACG13" s="221"/>
      <c r="ACH13" s="221"/>
      <c r="ACI13" s="221"/>
      <c r="ACJ13" s="221"/>
      <c r="ACK13" s="221"/>
      <c r="ACL13" s="221"/>
      <c r="ACM13" s="221"/>
      <c r="ACN13" s="221"/>
      <c r="ACO13" s="221"/>
      <c r="ACP13" s="221"/>
      <c r="ACQ13" s="221"/>
      <c r="ACR13" s="221"/>
      <c r="ACS13" s="221"/>
      <c r="ACT13" s="221"/>
      <c r="ACU13" s="221"/>
      <c r="ACV13" s="221"/>
      <c r="ACW13" s="221"/>
      <c r="ACX13" s="221"/>
      <c r="ACY13" s="221"/>
      <c r="ACZ13" s="221"/>
      <c r="ADA13" s="221"/>
      <c r="ADB13" s="221"/>
      <c r="ADC13" s="221"/>
      <c r="ADD13" s="221"/>
      <c r="ADE13" s="222"/>
      <c r="ADF13" s="220" t="s">
        <v>36</v>
      </c>
      <c r="ADG13" s="221"/>
      <c r="ADH13" s="221"/>
      <c r="ADI13" s="221"/>
      <c r="ADJ13" s="221"/>
      <c r="ADK13" s="221"/>
      <c r="ADL13" s="221"/>
      <c r="ADM13" s="221"/>
      <c r="ADN13" s="221"/>
      <c r="ADO13" s="221"/>
      <c r="ADP13" s="221"/>
      <c r="ADQ13" s="221"/>
      <c r="ADR13" s="221"/>
      <c r="ADS13" s="221"/>
      <c r="ADT13" s="221"/>
      <c r="ADU13" s="221"/>
      <c r="ADV13" s="221"/>
      <c r="ADW13" s="221"/>
      <c r="ADX13" s="221"/>
      <c r="ADY13" s="221"/>
      <c r="ADZ13" s="221"/>
      <c r="AEA13" s="221"/>
      <c r="AEB13" s="221"/>
      <c r="AEC13" s="221"/>
      <c r="AED13" s="221"/>
      <c r="AEE13" s="221"/>
      <c r="AEF13" s="221"/>
      <c r="AEG13" s="221"/>
      <c r="AEH13" s="221"/>
      <c r="AEI13" s="221"/>
      <c r="AEJ13" s="221"/>
      <c r="AEK13" s="221"/>
      <c r="AEL13" s="221"/>
      <c r="AEM13" s="221"/>
      <c r="AEN13" s="221"/>
      <c r="AEO13" s="221"/>
      <c r="AEP13" s="221"/>
      <c r="AEQ13" s="221"/>
      <c r="AER13" s="221"/>
      <c r="AES13" s="221"/>
      <c r="AET13" s="221"/>
      <c r="AEU13" s="221"/>
      <c r="AEV13" s="221"/>
      <c r="AEW13" s="221"/>
      <c r="AEX13" s="221"/>
      <c r="AEY13" s="221"/>
      <c r="AEZ13" s="221"/>
      <c r="AFA13" s="221"/>
      <c r="AFB13" s="221"/>
      <c r="AFC13" s="221"/>
      <c r="AFD13" s="221"/>
      <c r="AFE13" s="221"/>
      <c r="AFF13" s="221"/>
      <c r="AFG13" s="221"/>
      <c r="AFH13" s="221"/>
      <c r="AFI13" s="221"/>
      <c r="AFJ13" s="221"/>
      <c r="AFK13" s="221"/>
      <c r="AFL13" s="221"/>
      <c r="AFM13" s="222"/>
      <c r="AFN13" s="220" t="s">
        <v>36</v>
      </c>
      <c r="AFO13" s="221"/>
      <c r="AFP13" s="221"/>
      <c r="AFQ13" s="221"/>
      <c r="AFR13" s="221"/>
      <c r="AFS13" s="221"/>
      <c r="AFT13" s="221"/>
      <c r="AFU13" s="221"/>
      <c r="AFV13" s="221"/>
      <c r="AFW13" s="221"/>
      <c r="AFX13" s="221"/>
      <c r="AFY13" s="221"/>
      <c r="AFZ13" s="221"/>
      <c r="AGA13" s="221"/>
      <c r="AGB13" s="221"/>
      <c r="AGC13" s="221"/>
      <c r="AGD13" s="221"/>
      <c r="AGE13" s="221"/>
      <c r="AGF13" s="221"/>
      <c r="AGG13" s="221"/>
      <c r="AGH13" s="221"/>
      <c r="AGI13" s="221"/>
      <c r="AGJ13" s="221"/>
      <c r="AGK13" s="221"/>
      <c r="AGL13" s="221"/>
      <c r="AGM13" s="221"/>
      <c r="AGN13" s="221"/>
      <c r="AGO13" s="221"/>
      <c r="AGP13" s="221"/>
      <c r="AGQ13" s="221"/>
      <c r="AGR13" s="221"/>
      <c r="AGS13" s="221"/>
      <c r="AGT13" s="221"/>
      <c r="AGU13" s="221"/>
      <c r="AGV13" s="221"/>
      <c r="AGW13" s="221"/>
      <c r="AGX13" s="221"/>
      <c r="AGY13" s="221"/>
      <c r="AGZ13" s="221"/>
      <c r="AHA13" s="221"/>
      <c r="AHB13" s="221"/>
      <c r="AHC13" s="221"/>
      <c r="AHD13" s="221"/>
      <c r="AHE13" s="221"/>
      <c r="AHF13" s="221"/>
      <c r="AHG13" s="221"/>
      <c r="AHH13" s="221"/>
      <c r="AHI13" s="221"/>
      <c r="AHJ13" s="221"/>
      <c r="AHK13" s="221"/>
      <c r="AHL13" s="221"/>
      <c r="AHM13" s="221"/>
      <c r="AHN13" s="221"/>
      <c r="AHO13" s="221"/>
      <c r="AHP13" s="221"/>
      <c r="AHQ13" s="221"/>
      <c r="AHR13" s="221"/>
      <c r="AHS13" s="221"/>
      <c r="AHT13" s="221"/>
      <c r="AHU13" s="222"/>
      <c r="AHV13" s="220" t="s">
        <v>36</v>
      </c>
      <c r="AHW13" s="221"/>
      <c r="AHX13" s="221"/>
      <c r="AHY13" s="221"/>
      <c r="AHZ13" s="221"/>
      <c r="AIA13" s="221"/>
      <c r="AIB13" s="221"/>
      <c r="AIC13" s="221"/>
      <c r="AID13" s="221"/>
      <c r="AIE13" s="221"/>
      <c r="AIF13" s="221"/>
      <c r="AIG13" s="221"/>
      <c r="AIH13" s="221"/>
      <c r="AII13" s="221"/>
      <c r="AIJ13" s="221"/>
      <c r="AIK13" s="221"/>
      <c r="AIL13" s="221"/>
      <c r="AIM13" s="221"/>
      <c r="AIN13" s="221"/>
      <c r="AIO13" s="221"/>
      <c r="AIP13" s="221"/>
      <c r="AIQ13" s="221"/>
      <c r="AIR13" s="221"/>
      <c r="AIS13" s="221"/>
      <c r="AIT13" s="221"/>
      <c r="AIU13" s="221"/>
      <c r="AIV13" s="221"/>
      <c r="AIW13" s="221"/>
      <c r="AIX13" s="221"/>
      <c r="AIY13" s="221"/>
      <c r="AIZ13" s="221"/>
      <c r="AJA13" s="221"/>
      <c r="AJB13" s="221"/>
      <c r="AJC13" s="221"/>
      <c r="AJD13" s="221"/>
      <c r="AJE13" s="221"/>
      <c r="AJF13" s="221"/>
      <c r="AJG13" s="221"/>
      <c r="AJH13" s="221"/>
      <c r="AJI13" s="221"/>
      <c r="AJJ13" s="221"/>
      <c r="AJK13" s="221"/>
      <c r="AJL13" s="221"/>
      <c r="AJM13" s="221"/>
      <c r="AJN13" s="221"/>
      <c r="AJO13" s="221"/>
      <c r="AJP13" s="221"/>
      <c r="AJQ13" s="221"/>
      <c r="AJR13" s="221"/>
      <c r="AJS13" s="221"/>
      <c r="AJT13" s="221"/>
      <c r="AJU13" s="221"/>
      <c r="AJV13" s="221"/>
      <c r="AJW13" s="221"/>
      <c r="AJX13" s="221"/>
      <c r="AJY13" s="221"/>
      <c r="AJZ13" s="221"/>
      <c r="AKA13" s="221"/>
      <c r="AKB13" s="221"/>
      <c r="AKC13" s="222"/>
      <c r="AKD13" s="220" t="s">
        <v>36</v>
      </c>
      <c r="AKE13" s="221"/>
      <c r="AKF13" s="221"/>
      <c r="AKG13" s="221"/>
      <c r="AKH13" s="221"/>
      <c r="AKI13" s="221"/>
      <c r="AKJ13" s="221"/>
      <c r="AKK13" s="221"/>
      <c r="AKL13" s="221"/>
      <c r="AKM13" s="221"/>
      <c r="AKN13" s="221"/>
      <c r="AKO13" s="221"/>
      <c r="AKP13" s="221"/>
      <c r="AKQ13" s="221"/>
      <c r="AKR13" s="221"/>
      <c r="AKS13" s="221"/>
      <c r="AKT13" s="221"/>
      <c r="AKU13" s="221"/>
      <c r="AKV13" s="221"/>
      <c r="AKW13" s="221"/>
      <c r="AKX13" s="221"/>
      <c r="AKY13" s="221"/>
      <c r="AKZ13" s="221"/>
      <c r="ALA13" s="221"/>
      <c r="ALB13" s="221"/>
      <c r="ALC13" s="221"/>
      <c r="ALD13" s="221"/>
      <c r="ALE13" s="221"/>
      <c r="ALF13" s="221"/>
      <c r="ALG13" s="221"/>
      <c r="ALH13" s="221"/>
      <c r="ALI13" s="221"/>
      <c r="ALJ13" s="221"/>
      <c r="ALK13" s="221"/>
      <c r="ALL13" s="221"/>
      <c r="ALM13" s="221"/>
      <c r="ALN13" s="221"/>
      <c r="ALO13" s="221"/>
      <c r="ALP13" s="221"/>
      <c r="ALQ13" s="221"/>
      <c r="ALR13" s="221"/>
      <c r="ALS13" s="221"/>
      <c r="ALT13" s="221"/>
      <c r="ALU13" s="221"/>
      <c r="ALV13" s="221"/>
      <c r="ALW13" s="221"/>
      <c r="ALX13" s="221"/>
      <c r="ALY13" s="221"/>
      <c r="ALZ13" s="221"/>
      <c r="AMA13" s="221"/>
      <c r="AMB13" s="221"/>
      <c r="AMC13" s="221"/>
      <c r="AMD13" s="221"/>
      <c r="AME13" s="221"/>
      <c r="AMF13" s="221"/>
      <c r="AMG13" s="221"/>
      <c r="AMH13" s="221"/>
      <c r="AMI13" s="221"/>
      <c r="AMJ13" s="221"/>
      <c r="AMK13" s="222"/>
      <c r="AML13" s="220" t="s">
        <v>36</v>
      </c>
      <c r="AMM13" s="221"/>
      <c r="AMN13" s="221"/>
      <c r="AMO13" s="221"/>
      <c r="AMP13" s="221"/>
      <c r="AMQ13" s="221"/>
      <c r="AMR13" s="221"/>
      <c r="AMS13" s="221"/>
      <c r="AMT13" s="221"/>
      <c r="AMU13" s="221"/>
      <c r="AMV13" s="221"/>
      <c r="AMW13" s="221"/>
      <c r="AMX13" s="221"/>
      <c r="AMY13" s="221"/>
      <c r="AMZ13" s="221"/>
      <c r="ANA13" s="221"/>
      <c r="ANB13" s="221"/>
      <c r="ANC13" s="221"/>
      <c r="AND13" s="221"/>
      <c r="ANE13" s="221"/>
      <c r="ANF13" s="221"/>
      <c r="ANG13" s="221"/>
      <c r="ANH13" s="221"/>
      <c r="ANI13" s="221"/>
      <c r="ANJ13" s="221"/>
      <c r="ANK13" s="221"/>
      <c r="ANL13" s="221"/>
      <c r="ANM13" s="221"/>
      <c r="ANN13" s="221"/>
      <c r="ANO13" s="221"/>
      <c r="ANP13" s="221"/>
      <c r="ANQ13" s="221"/>
      <c r="ANR13" s="221"/>
      <c r="ANS13" s="221"/>
      <c r="ANT13" s="221"/>
      <c r="ANU13" s="221"/>
      <c r="ANV13" s="221"/>
      <c r="ANW13" s="221"/>
      <c r="ANX13" s="221"/>
      <c r="ANY13" s="221"/>
      <c r="ANZ13" s="221"/>
      <c r="AOA13" s="221"/>
      <c r="AOB13" s="221"/>
      <c r="AOC13" s="221"/>
      <c r="AOD13" s="221"/>
      <c r="AOE13" s="221"/>
      <c r="AOF13" s="221"/>
      <c r="AOG13" s="221"/>
      <c r="AOH13" s="221"/>
      <c r="AOI13" s="221"/>
      <c r="AOJ13" s="221"/>
      <c r="AOK13" s="221"/>
      <c r="AOL13" s="221"/>
      <c r="AOM13" s="221"/>
      <c r="AON13" s="221"/>
      <c r="AOO13" s="221"/>
      <c r="AOP13" s="221"/>
      <c r="AOQ13" s="221"/>
      <c r="AOR13" s="221"/>
      <c r="AOS13" s="222"/>
      <c r="AOT13" s="220" t="s">
        <v>36</v>
      </c>
      <c r="AOU13" s="221"/>
      <c r="AOV13" s="221"/>
      <c r="AOW13" s="221"/>
      <c r="AOX13" s="221"/>
      <c r="AOY13" s="221"/>
      <c r="AOZ13" s="221"/>
      <c r="APA13" s="221"/>
      <c r="APB13" s="221"/>
      <c r="APC13" s="221"/>
      <c r="APD13" s="221"/>
      <c r="APE13" s="221"/>
      <c r="APF13" s="221"/>
      <c r="APG13" s="221"/>
      <c r="APH13" s="221"/>
      <c r="API13" s="221"/>
      <c r="APJ13" s="221"/>
      <c r="APK13" s="221"/>
      <c r="APL13" s="221"/>
      <c r="APM13" s="221"/>
      <c r="APN13" s="221"/>
      <c r="APO13" s="221"/>
      <c r="APP13" s="221"/>
      <c r="APQ13" s="221"/>
      <c r="APR13" s="221"/>
      <c r="APS13" s="221"/>
      <c r="APT13" s="221"/>
      <c r="APU13" s="221"/>
      <c r="APV13" s="221"/>
      <c r="APW13" s="221"/>
      <c r="APX13" s="221"/>
      <c r="APY13" s="221"/>
      <c r="APZ13" s="221"/>
      <c r="AQA13" s="221"/>
      <c r="AQB13" s="221"/>
      <c r="AQC13" s="221"/>
      <c r="AQD13" s="221"/>
      <c r="AQE13" s="221"/>
      <c r="AQF13" s="221"/>
      <c r="AQG13" s="221"/>
      <c r="AQH13" s="221"/>
      <c r="AQI13" s="221"/>
      <c r="AQJ13" s="221"/>
      <c r="AQK13" s="221"/>
      <c r="AQL13" s="221"/>
      <c r="AQM13" s="221"/>
      <c r="AQN13" s="221"/>
      <c r="AQO13" s="221"/>
      <c r="AQP13" s="221"/>
      <c r="AQQ13" s="221"/>
      <c r="AQR13" s="221"/>
      <c r="AQS13" s="221"/>
      <c r="AQT13" s="221"/>
      <c r="AQU13" s="221"/>
      <c r="AQV13" s="221"/>
      <c r="AQW13" s="221"/>
      <c r="AQX13" s="221"/>
      <c r="AQY13" s="221"/>
      <c r="AQZ13" s="221"/>
      <c r="ARA13" s="222"/>
      <c r="ARB13" s="220" t="s">
        <v>36</v>
      </c>
      <c r="ARC13" s="221"/>
      <c r="ARD13" s="221"/>
      <c r="ARE13" s="221"/>
      <c r="ARF13" s="221"/>
      <c r="ARG13" s="221"/>
      <c r="ARH13" s="221"/>
      <c r="ARI13" s="221"/>
      <c r="ARJ13" s="221"/>
      <c r="ARK13" s="221"/>
      <c r="ARL13" s="221"/>
      <c r="ARM13" s="221"/>
      <c r="ARN13" s="221"/>
      <c r="ARO13" s="221"/>
      <c r="ARP13" s="221"/>
      <c r="ARQ13" s="221"/>
      <c r="ARR13" s="221"/>
      <c r="ARS13" s="221"/>
      <c r="ART13" s="221"/>
      <c r="ARU13" s="221"/>
      <c r="ARV13" s="221"/>
      <c r="ARW13" s="221"/>
      <c r="ARX13" s="221"/>
      <c r="ARY13" s="221"/>
      <c r="ARZ13" s="221"/>
      <c r="ASA13" s="221"/>
      <c r="ASB13" s="221"/>
      <c r="ASC13" s="221"/>
      <c r="ASD13" s="221"/>
      <c r="ASE13" s="221"/>
      <c r="ASF13" s="221"/>
      <c r="ASG13" s="221"/>
      <c r="ASH13" s="221"/>
      <c r="ASI13" s="221"/>
      <c r="ASJ13" s="221"/>
      <c r="ASK13" s="221"/>
      <c r="ASL13" s="221"/>
      <c r="ASM13" s="221"/>
      <c r="ASN13" s="221"/>
      <c r="ASO13" s="221"/>
      <c r="ASP13" s="221"/>
      <c r="ASQ13" s="221"/>
      <c r="ASR13" s="221"/>
      <c r="ASS13" s="221"/>
      <c r="AST13" s="221"/>
      <c r="ASU13" s="221"/>
      <c r="ASV13" s="221"/>
      <c r="ASW13" s="221"/>
      <c r="ASX13" s="221"/>
      <c r="ASY13" s="221"/>
      <c r="ASZ13" s="221"/>
      <c r="ATA13" s="221"/>
      <c r="ATB13" s="221"/>
      <c r="ATC13" s="221"/>
      <c r="ATD13" s="221"/>
      <c r="ATE13" s="221"/>
      <c r="ATF13" s="221"/>
      <c r="ATG13" s="221"/>
      <c r="ATH13" s="221"/>
      <c r="ATI13" s="222"/>
      <c r="ATJ13" s="220" t="s">
        <v>36</v>
      </c>
      <c r="ATK13" s="221"/>
      <c r="ATL13" s="221"/>
      <c r="ATM13" s="221"/>
      <c r="ATN13" s="221"/>
      <c r="ATO13" s="221"/>
      <c r="ATP13" s="221"/>
      <c r="ATQ13" s="221"/>
      <c r="ATR13" s="221"/>
      <c r="ATS13" s="221"/>
      <c r="ATT13" s="221"/>
      <c r="ATU13" s="221"/>
      <c r="ATV13" s="221"/>
      <c r="ATW13" s="221"/>
      <c r="ATX13" s="221"/>
      <c r="ATY13" s="221"/>
      <c r="ATZ13" s="221"/>
      <c r="AUA13" s="221"/>
      <c r="AUB13" s="221"/>
      <c r="AUC13" s="221"/>
      <c r="AUD13" s="221"/>
      <c r="AUE13" s="221"/>
      <c r="AUF13" s="221"/>
      <c r="AUG13" s="221"/>
      <c r="AUH13" s="221"/>
      <c r="AUI13" s="221"/>
      <c r="AUJ13" s="221"/>
      <c r="AUK13" s="221"/>
      <c r="AUL13" s="221"/>
      <c r="AUM13" s="221"/>
      <c r="AUN13" s="221"/>
      <c r="AUO13" s="221"/>
      <c r="AUP13" s="221"/>
      <c r="AUQ13" s="221"/>
      <c r="AUR13" s="221"/>
      <c r="AUS13" s="221"/>
      <c r="AUT13" s="221"/>
      <c r="AUU13" s="221"/>
      <c r="AUV13" s="221"/>
      <c r="AUW13" s="221"/>
      <c r="AUX13" s="221"/>
      <c r="AUY13" s="221"/>
      <c r="AUZ13" s="221"/>
      <c r="AVA13" s="221"/>
      <c r="AVB13" s="221"/>
      <c r="AVC13" s="221"/>
      <c r="AVD13" s="221"/>
      <c r="AVE13" s="221"/>
      <c r="AVF13" s="221"/>
      <c r="AVG13" s="221"/>
      <c r="AVH13" s="221"/>
      <c r="AVI13" s="221"/>
      <c r="AVJ13" s="221"/>
      <c r="AVK13" s="221"/>
      <c r="AVL13" s="221"/>
      <c r="AVM13" s="221"/>
      <c r="AVN13" s="221"/>
      <c r="AVO13" s="221"/>
      <c r="AVP13" s="221"/>
      <c r="AVQ13" s="222"/>
      <c r="AVR13" s="220" t="s">
        <v>36</v>
      </c>
      <c r="AVS13" s="221"/>
      <c r="AVT13" s="221"/>
      <c r="AVU13" s="221"/>
      <c r="AVV13" s="221"/>
      <c r="AVW13" s="221"/>
      <c r="AVX13" s="221"/>
      <c r="AVY13" s="221"/>
      <c r="AVZ13" s="221"/>
      <c r="AWA13" s="221"/>
      <c r="AWB13" s="221"/>
      <c r="AWC13" s="221"/>
      <c r="AWD13" s="221"/>
      <c r="AWE13" s="221"/>
      <c r="AWF13" s="221"/>
      <c r="AWG13" s="221"/>
      <c r="AWH13" s="221"/>
      <c r="AWI13" s="221"/>
      <c r="AWJ13" s="221"/>
      <c r="AWK13" s="221"/>
      <c r="AWL13" s="221"/>
      <c r="AWM13" s="221"/>
      <c r="AWN13" s="221"/>
      <c r="AWO13" s="221"/>
      <c r="AWP13" s="221"/>
      <c r="AWQ13" s="221"/>
      <c r="AWR13" s="221"/>
      <c r="AWS13" s="221"/>
      <c r="AWT13" s="221"/>
      <c r="AWU13" s="221"/>
      <c r="AWV13" s="221"/>
      <c r="AWW13" s="221"/>
      <c r="AWX13" s="221"/>
      <c r="AWY13" s="221"/>
      <c r="AWZ13" s="221"/>
      <c r="AXA13" s="221"/>
      <c r="AXB13" s="221"/>
      <c r="AXC13" s="221"/>
      <c r="AXD13" s="221"/>
      <c r="AXE13" s="221"/>
      <c r="AXF13" s="221"/>
      <c r="AXG13" s="221"/>
      <c r="AXH13" s="221"/>
      <c r="AXI13" s="221"/>
      <c r="AXJ13" s="221"/>
      <c r="AXK13" s="221"/>
      <c r="AXL13" s="221"/>
      <c r="AXM13" s="221"/>
      <c r="AXN13" s="221"/>
      <c r="AXO13" s="221"/>
      <c r="AXP13" s="221"/>
      <c r="AXQ13" s="221"/>
      <c r="AXR13" s="221"/>
      <c r="AXS13" s="221"/>
      <c r="AXT13" s="221"/>
      <c r="AXU13" s="221"/>
      <c r="AXV13" s="221"/>
      <c r="AXW13" s="221"/>
      <c r="AXX13" s="221"/>
      <c r="AXY13" s="222"/>
      <c r="AXZ13" s="73"/>
      <c r="BAH13" s="2" t="s">
        <v>73</v>
      </c>
      <c r="BCP13" s="2" t="s">
        <v>72</v>
      </c>
      <c r="BEX13" s="2" t="s">
        <v>70</v>
      </c>
      <c r="BHF13" s="2" t="s">
        <v>69</v>
      </c>
      <c r="BJN13" s="2" t="s">
        <v>67</v>
      </c>
    </row>
    <row r="14" spans="1:1660" ht="12.75" customHeight="1" thickBot="1" x14ac:dyDescent="0.35">
      <c r="B14" s="51"/>
      <c r="C14" s="230"/>
      <c r="D14" s="118"/>
      <c r="E14" s="228"/>
      <c r="F14" s="81"/>
      <c r="G14" s="82"/>
      <c r="H14" s="82"/>
      <c r="I14" s="82"/>
      <c r="J14" s="207" t="s">
        <v>17</v>
      </c>
      <c r="K14" s="207"/>
      <c r="L14" s="207"/>
      <c r="M14" s="207"/>
      <c r="N14" s="82"/>
      <c r="O14" s="82"/>
      <c r="P14" s="208" t="s">
        <v>18</v>
      </c>
      <c r="Q14" s="208"/>
      <c r="R14" s="208"/>
      <c r="S14" s="208"/>
      <c r="T14" s="102"/>
      <c r="U14" s="102"/>
      <c r="V14" s="207" t="s">
        <v>19</v>
      </c>
      <c r="W14" s="207"/>
      <c r="X14" s="207"/>
      <c r="Y14" s="207"/>
      <c r="Z14" s="82"/>
      <c r="AA14" s="82"/>
      <c r="AB14" s="208" t="s">
        <v>20</v>
      </c>
      <c r="AC14" s="208"/>
      <c r="AD14" s="208"/>
      <c r="AE14" s="208"/>
      <c r="AF14" s="102"/>
      <c r="AG14" s="102"/>
      <c r="AH14" s="207" t="s">
        <v>21</v>
      </c>
      <c r="AI14" s="207"/>
      <c r="AJ14" s="207"/>
      <c r="AK14" s="207"/>
      <c r="AL14" s="82"/>
      <c r="AM14" s="82"/>
      <c r="AN14" s="208" t="s">
        <v>22</v>
      </c>
      <c r="AO14" s="208"/>
      <c r="AP14" s="208"/>
      <c r="AQ14" s="208"/>
      <c r="AR14" s="102"/>
      <c r="AS14" s="102"/>
      <c r="AT14" s="207" t="s">
        <v>23</v>
      </c>
      <c r="AU14" s="207"/>
      <c r="AV14" s="207"/>
      <c r="AW14" s="207"/>
      <c r="AX14" s="82"/>
      <c r="AY14" s="82"/>
      <c r="AZ14" s="208" t="s">
        <v>24</v>
      </c>
      <c r="BA14" s="208"/>
      <c r="BB14" s="208"/>
      <c r="BC14" s="208"/>
      <c r="BD14" s="102"/>
      <c r="BE14" s="102"/>
      <c r="BF14" s="207" t="s">
        <v>25</v>
      </c>
      <c r="BG14" s="207"/>
      <c r="BH14" s="207"/>
      <c r="BI14" s="207"/>
      <c r="BJ14" s="82"/>
      <c r="BK14" s="82"/>
      <c r="BL14" s="82"/>
      <c r="BM14" s="83"/>
      <c r="BN14" s="81"/>
      <c r="BO14" s="82"/>
      <c r="BP14" s="82"/>
      <c r="BQ14" s="82"/>
      <c r="BR14" s="207" t="s">
        <v>17</v>
      </c>
      <c r="BS14" s="207"/>
      <c r="BT14" s="207"/>
      <c r="BU14" s="207"/>
      <c r="BV14" s="82"/>
      <c r="BW14" s="82"/>
      <c r="BX14" s="208" t="s">
        <v>18</v>
      </c>
      <c r="BY14" s="208"/>
      <c r="BZ14" s="208"/>
      <c r="CA14" s="208"/>
      <c r="CB14" s="102"/>
      <c r="CC14" s="102"/>
      <c r="CD14" s="207" t="s">
        <v>19</v>
      </c>
      <c r="CE14" s="207"/>
      <c r="CF14" s="207"/>
      <c r="CG14" s="207"/>
      <c r="CH14" s="82"/>
      <c r="CI14" s="82"/>
      <c r="CJ14" s="208" t="s">
        <v>20</v>
      </c>
      <c r="CK14" s="208"/>
      <c r="CL14" s="208"/>
      <c r="CM14" s="208"/>
      <c r="CN14" s="102"/>
      <c r="CO14" s="102"/>
      <c r="CP14" s="207" t="s">
        <v>21</v>
      </c>
      <c r="CQ14" s="207"/>
      <c r="CR14" s="207"/>
      <c r="CS14" s="207"/>
      <c r="CT14" s="82"/>
      <c r="CU14" s="82"/>
      <c r="CV14" s="208" t="s">
        <v>22</v>
      </c>
      <c r="CW14" s="208"/>
      <c r="CX14" s="208"/>
      <c r="CY14" s="208"/>
      <c r="CZ14" s="102"/>
      <c r="DA14" s="102"/>
      <c r="DB14" s="207" t="s">
        <v>23</v>
      </c>
      <c r="DC14" s="207"/>
      <c r="DD14" s="207"/>
      <c r="DE14" s="207"/>
      <c r="DF14" s="82"/>
      <c r="DG14" s="82"/>
      <c r="DH14" s="208" t="s">
        <v>24</v>
      </c>
      <c r="DI14" s="208"/>
      <c r="DJ14" s="208"/>
      <c r="DK14" s="208"/>
      <c r="DL14" s="102"/>
      <c r="DM14" s="102"/>
      <c r="DN14" s="207" t="s">
        <v>25</v>
      </c>
      <c r="DO14" s="207"/>
      <c r="DP14" s="207"/>
      <c r="DQ14" s="207"/>
      <c r="DR14" s="82"/>
      <c r="DS14" s="82"/>
      <c r="DT14" s="82"/>
      <c r="DU14" s="83"/>
      <c r="DV14" s="81"/>
      <c r="DW14" s="82"/>
      <c r="DX14" s="82"/>
      <c r="DY14" s="82"/>
      <c r="DZ14" s="207" t="s">
        <v>17</v>
      </c>
      <c r="EA14" s="207"/>
      <c r="EB14" s="207"/>
      <c r="EC14" s="207"/>
      <c r="ED14" s="82"/>
      <c r="EE14" s="82"/>
      <c r="EF14" s="208" t="s">
        <v>18</v>
      </c>
      <c r="EG14" s="208"/>
      <c r="EH14" s="208"/>
      <c r="EI14" s="208"/>
      <c r="EJ14" s="102"/>
      <c r="EK14" s="102"/>
      <c r="EL14" s="207" t="s">
        <v>19</v>
      </c>
      <c r="EM14" s="207"/>
      <c r="EN14" s="207"/>
      <c r="EO14" s="207"/>
      <c r="EP14" s="82"/>
      <c r="EQ14" s="82"/>
      <c r="ER14" s="208" t="s">
        <v>20</v>
      </c>
      <c r="ES14" s="208"/>
      <c r="ET14" s="208"/>
      <c r="EU14" s="208"/>
      <c r="EV14" s="102"/>
      <c r="EW14" s="102"/>
      <c r="EX14" s="207" t="s">
        <v>21</v>
      </c>
      <c r="EY14" s="207"/>
      <c r="EZ14" s="207"/>
      <c r="FA14" s="207"/>
      <c r="FB14" s="82"/>
      <c r="FC14" s="82"/>
      <c r="FD14" s="208" t="s">
        <v>22</v>
      </c>
      <c r="FE14" s="208"/>
      <c r="FF14" s="208"/>
      <c r="FG14" s="208"/>
      <c r="FH14" s="102"/>
      <c r="FI14" s="102"/>
      <c r="FJ14" s="207" t="s">
        <v>23</v>
      </c>
      <c r="FK14" s="207"/>
      <c r="FL14" s="207"/>
      <c r="FM14" s="207"/>
      <c r="FN14" s="82"/>
      <c r="FO14" s="82"/>
      <c r="FP14" s="208" t="s">
        <v>24</v>
      </c>
      <c r="FQ14" s="208"/>
      <c r="FR14" s="208"/>
      <c r="FS14" s="208"/>
      <c r="FT14" s="102"/>
      <c r="FU14" s="102"/>
      <c r="FV14" s="207" t="s">
        <v>25</v>
      </c>
      <c r="FW14" s="207"/>
      <c r="FX14" s="207"/>
      <c r="FY14" s="207"/>
      <c r="FZ14" s="82"/>
      <c r="GA14" s="82"/>
      <c r="GB14" s="82"/>
      <c r="GC14" s="83"/>
      <c r="GD14" s="81"/>
      <c r="GE14" s="82"/>
      <c r="GF14" s="82"/>
      <c r="GG14" s="82"/>
      <c r="GH14" s="207" t="s">
        <v>17</v>
      </c>
      <c r="GI14" s="207"/>
      <c r="GJ14" s="207"/>
      <c r="GK14" s="207"/>
      <c r="GL14" s="82"/>
      <c r="GM14" s="82"/>
      <c r="GN14" s="208" t="s">
        <v>18</v>
      </c>
      <c r="GO14" s="208"/>
      <c r="GP14" s="208"/>
      <c r="GQ14" s="208"/>
      <c r="GR14" s="102"/>
      <c r="GS14" s="102"/>
      <c r="GT14" s="207" t="s">
        <v>19</v>
      </c>
      <c r="GU14" s="207"/>
      <c r="GV14" s="207"/>
      <c r="GW14" s="207"/>
      <c r="GX14" s="82"/>
      <c r="GY14" s="82"/>
      <c r="GZ14" s="208" t="s">
        <v>20</v>
      </c>
      <c r="HA14" s="208"/>
      <c r="HB14" s="208"/>
      <c r="HC14" s="208"/>
      <c r="HD14" s="102"/>
      <c r="HE14" s="102"/>
      <c r="HF14" s="207" t="s">
        <v>21</v>
      </c>
      <c r="HG14" s="207"/>
      <c r="HH14" s="207"/>
      <c r="HI14" s="207"/>
      <c r="HJ14" s="82"/>
      <c r="HK14" s="82"/>
      <c r="HL14" s="208" t="s">
        <v>22</v>
      </c>
      <c r="HM14" s="208"/>
      <c r="HN14" s="208"/>
      <c r="HO14" s="208"/>
      <c r="HP14" s="102"/>
      <c r="HQ14" s="102"/>
      <c r="HR14" s="207" t="s">
        <v>23</v>
      </c>
      <c r="HS14" s="207"/>
      <c r="HT14" s="207"/>
      <c r="HU14" s="207"/>
      <c r="HV14" s="82"/>
      <c r="HW14" s="82"/>
      <c r="HX14" s="208" t="s">
        <v>24</v>
      </c>
      <c r="HY14" s="208"/>
      <c r="HZ14" s="208"/>
      <c r="IA14" s="208"/>
      <c r="IB14" s="102"/>
      <c r="IC14" s="102"/>
      <c r="ID14" s="207" t="s">
        <v>25</v>
      </c>
      <c r="IE14" s="207"/>
      <c r="IF14" s="207"/>
      <c r="IG14" s="207"/>
      <c r="IH14" s="82"/>
      <c r="II14" s="82"/>
      <c r="IJ14" s="82"/>
      <c r="IK14" s="83"/>
      <c r="IL14" s="81"/>
      <c r="IM14" s="82"/>
      <c r="IN14" s="82"/>
      <c r="IO14" s="82"/>
      <c r="IP14" s="207" t="s">
        <v>17</v>
      </c>
      <c r="IQ14" s="207"/>
      <c r="IR14" s="207"/>
      <c r="IS14" s="207"/>
      <c r="IT14" s="82"/>
      <c r="IU14" s="82"/>
      <c r="IV14" s="208" t="s">
        <v>18</v>
      </c>
      <c r="IW14" s="208"/>
      <c r="IX14" s="208"/>
      <c r="IY14" s="208"/>
      <c r="IZ14" s="102"/>
      <c r="JA14" s="102"/>
      <c r="JB14" s="207" t="s">
        <v>19</v>
      </c>
      <c r="JC14" s="207"/>
      <c r="JD14" s="207"/>
      <c r="JE14" s="207"/>
      <c r="JF14" s="82"/>
      <c r="JG14" s="82"/>
      <c r="JH14" s="208" t="s">
        <v>20</v>
      </c>
      <c r="JI14" s="208"/>
      <c r="JJ14" s="208"/>
      <c r="JK14" s="208"/>
      <c r="JL14" s="102"/>
      <c r="JM14" s="102"/>
      <c r="JN14" s="207" t="s">
        <v>21</v>
      </c>
      <c r="JO14" s="207"/>
      <c r="JP14" s="207"/>
      <c r="JQ14" s="207"/>
      <c r="JR14" s="82"/>
      <c r="JS14" s="82"/>
      <c r="JT14" s="208" t="s">
        <v>22</v>
      </c>
      <c r="JU14" s="208"/>
      <c r="JV14" s="208"/>
      <c r="JW14" s="208"/>
      <c r="JX14" s="102"/>
      <c r="JY14" s="102"/>
      <c r="JZ14" s="207" t="s">
        <v>23</v>
      </c>
      <c r="KA14" s="207"/>
      <c r="KB14" s="207"/>
      <c r="KC14" s="207"/>
      <c r="KD14" s="82"/>
      <c r="KE14" s="82"/>
      <c r="KF14" s="208" t="s">
        <v>24</v>
      </c>
      <c r="KG14" s="208"/>
      <c r="KH14" s="208"/>
      <c r="KI14" s="208"/>
      <c r="KJ14" s="102"/>
      <c r="KK14" s="102"/>
      <c r="KL14" s="207" t="s">
        <v>25</v>
      </c>
      <c r="KM14" s="207"/>
      <c r="KN14" s="207"/>
      <c r="KO14" s="207"/>
      <c r="KP14" s="82"/>
      <c r="KQ14" s="82"/>
      <c r="KR14" s="82"/>
      <c r="KS14" s="83"/>
      <c r="KT14" s="81"/>
      <c r="KU14" s="82"/>
      <c r="KV14" s="82"/>
      <c r="KW14" s="82"/>
      <c r="KX14" s="207" t="s">
        <v>17</v>
      </c>
      <c r="KY14" s="207"/>
      <c r="KZ14" s="207"/>
      <c r="LA14" s="207"/>
      <c r="LB14" s="82"/>
      <c r="LC14" s="82"/>
      <c r="LD14" s="208" t="s">
        <v>18</v>
      </c>
      <c r="LE14" s="208"/>
      <c r="LF14" s="208"/>
      <c r="LG14" s="208"/>
      <c r="LH14" s="102"/>
      <c r="LI14" s="102"/>
      <c r="LJ14" s="207" t="s">
        <v>19</v>
      </c>
      <c r="LK14" s="207"/>
      <c r="LL14" s="207"/>
      <c r="LM14" s="207"/>
      <c r="LN14" s="82"/>
      <c r="LO14" s="82"/>
      <c r="LP14" s="208" t="s">
        <v>20</v>
      </c>
      <c r="LQ14" s="208"/>
      <c r="LR14" s="208"/>
      <c r="LS14" s="208"/>
      <c r="LT14" s="102"/>
      <c r="LU14" s="102"/>
      <c r="LV14" s="207" t="s">
        <v>21</v>
      </c>
      <c r="LW14" s="207"/>
      <c r="LX14" s="207"/>
      <c r="LY14" s="207"/>
      <c r="LZ14" s="82"/>
      <c r="MA14" s="82"/>
      <c r="MB14" s="208" t="s">
        <v>22</v>
      </c>
      <c r="MC14" s="208"/>
      <c r="MD14" s="208"/>
      <c r="ME14" s="208"/>
      <c r="MF14" s="102"/>
      <c r="MG14" s="102"/>
      <c r="MH14" s="207" t="s">
        <v>23</v>
      </c>
      <c r="MI14" s="207"/>
      <c r="MJ14" s="207"/>
      <c r="MK14" s="207"/>
      <c r="ML14" s="82"/>
      <c r="MM14" s="82"/>
      <c r="MN14" s="208" t="s">
        <v>24</v>
      </c>
      <c r="MO14" s="208"/>
      <c r="MP14" s="208"/>
      <c r="MQ14" s="208"/>
      <c r="MR14" s="102"/>
      <c r="MS14" s="102"/>
      <c r="MT14" s="207" t="s">
        <v>25</v>
      </c>
      <c r="MU14" s="207"/>
      <c r="MV14" s="207"/>
      <c r="MW14" s="207"/>
      <c r="MX14" s="82"/>
      <c r="MY14" s="82"/>
      <c r="MZ14" s="82"/>
      <c r="NA14" s="83"/>
      <c r="NB14" s="81"/>
      <c r="NC14" s="82"/>
      <c r="ND14" s="82"/>
      <c r="NE14" s="82"/>
      <c r="NF14" s="207" t="s">
        <v>17</v>
      </c>
      <c r="NG14" s="207"/>
      <c r="NH14" s="207"/>
      <c r="NI14" s="207"/>
      <c r="NJ14" s="82"/>
      <c r="NK14" s="82"/>
      <c r="NL14" s="208" t="s">
        <v>18</v>
      </c>
      <c r="NM14" s="208"/>
      <c r="NN14" s="208"/>
      <c r="NO14" s="208"/>
      <c r="NP14" s="102"/>
      <c r="NQ14" s="102"/>
      <c r="NR14" s="207" t="s">
        <v>19</v>
      </c>
      <c r="NS14" s="207"/>
      <c r="NT14" s="207"/>
      <c r="NU14" s="207"/>
      <c r="NV14" s="82"/>
      <c r="NW14" s="82"/>
      <c r="NX14" s="208" t="s">
        <v>20</v>
      </c>
      <c r="NY14" s="208"/>
      <c r="NZ14" s="208"/>
      <c r="OA14" s="208"/>
      <c r="OB14" s="102"/>
      <c r="OC14" s="102"/>
      <c r="OD14" s="207" t="s">
        <v>21</v>
      </c>
      <c r="OE14" s="207"/>
      <c r="OF14" s="207"/>
      <c r="OG14" s="207"/>
      <c r="OH14" s="82"/>
      <c r="OI14" s="82"/>
      <c r="OJ14" s="208" t="s">
        <v>22</v>
      </c>
      <c r="OK14" s="208"/>
      <c r="OL14" s="208"/>
      <c r="OM14" s="208"/>
      <c r="ON14" s="102"/>
      <c r="OO14" s="102"/>
      <c r="OP14" s="207" t="s">
        <v>23</v>
      </c>
      <c r="OQ14" s="207"/>
      <c r="OR14" s="207"/>
      <c r="OS14" s="207"/>
      <c r="OT14" s="82"/>
      <c r="OU14" s="82"/>
      <c r="OV14" s="208" t="s">
        <v>24</v>
      </c>
      <c r="OW14" s="208"/>
      <c r="OX14" s="208"/>
      <c r="OY14" s="208"/>
      <c r="OZ14" s="102"/>
      <c r="PA14" s="102"/>
      <c r="PB14" s="207" t="s">
        <v>25</v>
      </c>
      <c r="PC14" s="207"/>
      <c r="PD14" s="207"/>
      <c r="PE14" s="207"/>
      <c r="PF14" s="82"/>
      <c r="PG14" s="82"/>
      <c r="PH14" s="82"/>
      <c r="PI14" s="83"/>
      <c r="PJ14" s="81"/>
      <c r="PK14" s="82"/>
      <c r="PL14" s="82"/>
      <c r="PM14" s="82"/>
      <c r="PN14" s="207" t="s">
        <v>17</v>
      </c>
      <c r="PO14" s="207"/>
      <c r="PP14" s="207"/>
      <c r="PQ14" s="207"/>
      <c r="PR14" s="82"/>
      <c r="PS14" s="82"/>
      <c r="PT14" s="208" t="s">
        <v>18</v>
      </c>
      <c r="PU14" s="208"/>
      <c r="PV14" s="208"/>
      <c r="PW14" s="208"/>
      <c r="PX14" s="102"/>
      <c r="PY14" s="102"/>
      <c r="PZ14" s="207" t="s">
        <v>19</v>
      </c>
      <c r="QA14" s="207"/>
      <c r="QB14" s="207"/>
      <c r="QC14" s="207"/>
      <c r="QD14" s="82"/>
      <c r="QE14" s="82"/>
      <c r="QF14" s="208" t="s">
        <v>20</v>
      </c>
      <c r="QG14" s="208"/>
      <c r="QH14" s="208"/>
      <c r="QI14" s="208"/>
      <c r="QJ14" s="102"/>
      <c r="QK14" s="102"/>
      <c r="QL14" s="207" t="s">
        <v>21</v>
      </c>
      <c r="QM14" s="207"/>
      <c r="QN14" s="207"/>
      <c r="QO14" s="207"/>
      <c r="QP14" s="82"/>
      <c r="QQ14" s="82"/>
      <c r="QR14" s="208" t="s">
        <v>22</v>
      </c>
      <c r="QS14" s="208"/>
      <c r="QT14" s="208"/>
      <c r="QU14" s="208"/>
      <c r="QV14" s="102"/>
      <c r="QW14" s="102"/>
      <c r="QX14" s="207" t="s">
        <v>23</v>
      </c>
      <c r="QY14" s="207"/>
      <c r="QZ14" s="207"/>
      <c r="RA14" s="207"/>
      <c r="RB14" s="82"/>
      <c r="RC14" s="82"/>
      <c r="RD14" s="208" t="s">
        <v>24</v>
      </c>
      <c r="RE14" s="208"/>
      <c r="RF14" s="208"/>
      <c r="RG14" s="208"/>
      <c r="RH14" s="102"/>
      <c r="RI14" s="102"/>
      <c r="RJ14" s="207" t="s">
        <v>25</v>
      </c>
      <c r="RK14" s="207"/>
      <c r="RL14" s="207"/>
      <c r="RM14" s="207"/>
      <c r="RN14" s="82"/>
      <c r="RO14" s="82"/>
      <c r="RP14" s="82"/>
      <c r="RQ14" s="83"/>
      <c r="RR14" s="81"/>
      <c r="RS14" s="82"/>
      <c r="RT14" s="82"/>
      <c r="RU14" s="82"/>
      <c r="RV14" s="207" t="s">
        <v>17</v>
      </c>
      <c r="RW14" s="207"/>
      <c r="RX14" s="207"/>
      <c r="RY14" s="207"/>
      <c r="RZ14" s="82"/>
      <c r="SA14" s="82"/>
      <c r="SB14" s="208" t="s">
        <v>18</v>
      </c>
      <c r="SC14" s="208"/>
      <c r="SD14" s="208"/>
      <c r="SE14" s="208"/>
      <c r="SF14" s="102"/>
      <c r="SG14" s="102"/>
      <c r="SH14" s="207" t="s">
        <v>19</v>
      </c>
      <c r="SI14" s="207"/>
      <c r="SJ14" s="207"/>
      <c r="SK14" s="207"/>
      <c r="SL14" s="82"/>
      <c r="SM14" s="82"/>
      <c r="SN14" s="208" t="s">
        <v>20</v>
      </c>
      <c r="SO14" s="208"/>
      <c r="SP14" s="208"/>
      <c r="SQ14" s="208"/>
      <c r="SR14" s="102"/>
      <c r="SS14" s="102"/>
      <c r="ST14" s="207" t="s">
        <v>21</v>
      </c>
      <c r="SU14" s="207"/>
      <c r="SV14" s="207"/>
      <c r="SW14" s="207"/>
      <c r="SX14" s="82"/>
      <c r="SY14" s="82"/>
      <c r="SZ14" s="208" t="s">
        <v>22</v>
      </c>
      <c r="TA14" s="208"/>
      <c r="TB14" s="208"/>
      <c r="TC14" s="208"/>
      <c r="TD14" s="102"/>
      <c r="TE14" s="102"/>
      <c r="TF14" s="207" t="s">
        <v>23</v>
      </c>
      <c r="TG14" s="207"/>
      <c r="TH14" s="207"/>
      <c r="TI14" s="207"/>
      <c r="TJ14" s="82"/>
      <c r="TK14" s="82"/>
      <c r="TL14" s="208" t="s">
        <v>24</v>
      </c>
      <c r="TM14" s="208"/>
      <c r="TN14" s="208"/>
      <c r="TO14" s="208"/>
      <c r="TP14" s="102"/>
      <c r="TQ14" s="102"/>
      <c r="TR14" s="207" t="s">
        <v>25</v>
      </c>
      <c r="TS14" s="207"/>
      <c r="TT14" s="207"/>
      <c r="TU14" s="207"/>
      <c r="TV14" s="82"/>
      <c r="TW14" s="82"/>
      <c r="TX14" s="82"/>
      <c r="TY14" s="83"/>
      <c r="TZ14" s="81"/>
      <c r="UA14" s="82"/>
      <c r="UB14" s="82"/>
      <c r="UC14" s="82"/>
      <c r="UD14" s="207" t="s">
        <v>17</v>
      </c>
      <c r="UE14" s="207"/>
      <c r="UF14" s="207"/>
      <c r="UG14" s="207"/>
      <c r="UH14" s="82"/>
      <c r="UI14" s="82"/>
      <c r="UJ14" s="208" t="s">
        <v>18</v>
      </c>
      <c r="UK14" s="208"/>
      <c r="UL14" s="208"/>
      <c r="UM14" s="208"/>
      <c r="UN14" s="102"/>
      <c r="UO14" s="102"/>
      <c r="UP14" s="207" t="s">
        <v>19</v>
      </c>
      <c r="UQ14" s="207"/>
      <c r="UR14" s="207"/>
      <c r="US14" s="207"/>
      <c r="UT14" s="82"/>
      <c r="UU14" s="82"/>
      <c r="UV14" s="208" t="s">
        <v>20</v>
      </c>
      <c r="UW14" s="208"/>
      <c r="UX14" s="208"/>
      <c r="UY14" s="208"/>
      <c r="UZ14" s="102"/>
      <c r="VA14" s="102"/>
      <c r="VB14" s="207" t="s">
        <v>21</v>
      </c>
      <c r="VC14" s="207"/>
      <c r="VD14" s="207"/>
      <c r="VE14" s="207"/>
      <c r="VF14" s="82"/>
      <c r="VG14" s="82"/>
      <c r="VH14" s="208" t="s">
        <v>22</v>
      </c>
      <c r="VI14" s="208"/>
      <c r="VJ14" s="208"/>
      <c r="VK14" s="208"/>
      <c r="VL14" s="102"/>
      <c r="VM14" s="102"/>
      <c r="VN14" s="207" t="s">
        <v>23</v>
      </c>
      <c r="VO14" s="207"/>
      <c r="VP14" s="207"/>
      <c r="VQ14" s="207"/>
      <c r="VR14" s="82"/>
      <c r="VS14" s="82"/>
      <c r="VT14" s="208" t="s">
        <v>24</v>
      </c>
      <c r="VU14" s="208"/>
      <c r="VV14" s="208"/>
      <c r="VW14" s="208"/>
      <c r="VX14" s="102"/>
      <c r="VY14" s="102"/>
      <c r="VZ14" s="207" t="s">
        <v>25</v>
      </c>
      <c r="WA14" s="207"/>
      <c r="WB14" s="207"/>
      <c r="WC14" s="207"/>
      <c r="WD14" s="82"/>
      <c r="WE14" s="82"/>
      <c r="WF14" s="82"/>
      <c r="WG14" s="83"/>
      <c r="WH14" s="81"/>
      <c r="WI14" s="82"/>
      <c r="WJ14" s="82"/>
      <c r="WK14" s="82"/>
      <c r="WL14" s="207" t="s">
        <v>17</v>
      </c>
      <c r="WM14" s="207"/>
      <c r="WN14" s="207"/>
      <c r="WO14" s="207"/>
      <c r="WP14" s="82"/>
      <c r="WQ14" s="82"/>
      <c r="WR14" s="208" t="s">
        <v>18</v>
      </c>
      <c r="WS14" s="208"/>
      <c r="WT14" s="208"/>
      <c r="WU14" s="208"/>
      <c r="WV14" s="102"/>
      <c r="WW14" s="102"/>
      <c r="WX14" s="207" t="s">
        <v>19</v>
      </c>
      <c r="WY14" s="207"/>
      <c r="WZ14" s="207"/>
      <c r="XA14" s="207"/>
      <c r="XB14" s="82"/>
      <c r="XC14" s="82"/>
      <c r="XD14" s="208" t="s">
        <v>20</v>
      </c>
      <c r="XE14" s="208"/>
      <c r="XF14" s="208"/>
      <c r="XG14" s="208"/>
      <c r="XH14" s="102"/>
      <c r="XI14" s="102"/>
      <c r="XJ14" s="207" t="s">
        <v>21</v>
      </c>
      <c r="XK14" s="207"/>
      <c r="XL14" s="207"/>
      <c r="XM14" s="207"/>
      <c r="XN14" s="82"/>
      <c r="XO14" s="82"/>
      <c r="XP14" s="208" t="s">
        <v>22</v>
      </c>
      <c r="XQ14" s="208"/>
      <c r="XR14" s="208"/>
      <c r="XS14" s="208"/>
      <c r="XT14" s="102"/>
      <c r="XU14" s="102"/>
      <c r="XV14" s="207" t="s">
        <v>23</v>
      </c>
      <c r="XW14" s="207"/>
      <c r="XX14" s="207"/>
      <c r="XY14" s="207"/>
      <c r="XZ14" s="82"/>
      <c r="YA14" s="82"/>
      <c r="YB14" s="208" t="s">
        <v>24</v>
      </c>
      <c r="YC14" s="208"/>
      <c r="YD14" s="208"/>
      <c r="YE14" s="208"/>
      <c r="YF14" s="102"/>
      <c r="YG14" s="102"/>
      <c r="YH14" s="207" t="s">
        <v>25</v>
      </c>
      <c r="YI14" s="207"/>
      <c r="YJ14" s="207"/>
      <c r="YK14" s="207"/>
      <c r="YL14" s="82"/>
      <c r="YM14" s="82"/>
      <c r="YN14" s="82"/>
      <c r="YO14" s="83"/>
      <c r="YP14" s="81"/>
      <c r="YQ14" s="82"/>
      <c r="YR14" s="82"/>
      <c r="YS14" s="82"/>
      <c r="YT14" s="207" t="s">
        <v>17</v>
      </c>
      <c r="YU14" s="207"/>
      <c r="YV14" s="207"/>
      <c r="YW14" s="207"/>
      <c r="YX14" s="82"/>
      <c r="YY14" s="82"/>
      <c r="YZ14" s="208" t="s">
        <v>18</v>
      </c>
      <c r="ZA14" s="208"/>
      <c r="ZB14" s="208"/>
      <c r="ZC14" s="208"/>
      <c r="ZD14" s="102"/>
      <c r="ZE14" s="102"/>
      <c r="ZF14" s="207" t="s">
        <v>19</v>
      </c>
      <c r="ZG14" s="207"/>
      <c r="ZH14" s="207"/>
      <c r="ZI14" s="207"/>
      <c r="ZJ14" s="82"/>
      <c r="ZK14" s="82"/>
      <c r="ZL14" s="208" t="s">
        <v>20</v>
      </c>
      <c r="ZM14" s="208"/>
      <c r="ZN14" s="208"/>
      <c r="ZO14" s="208"/>
      <c r="ZP14" s="102"/>
      <c r="ZQ14" s="102"/>
      <c r="ZR14" s="207" t="s">
        <v>21</v>
      </c>
      <c r="ZS14" s="207"/>
      <c r="ZT14" s="207"/>
      <c r="ZU14" s="207"/>
      <c r="ZV14" s="82"/>
      <c r="ZW14" s="82"/>
      <c r="ZX14" s="208" t="s">
        <v>22</v>
      </c>
      <c r="ZY14" s="208"/>
      <c r="ZZ14" s="208"/>
      <c r="AAA14" s="208"/>
      <c r="AAB14" s="102"/>
      <c r="AAC14" s="102"/>
      <c r="AAD14" s="207" t="s">
        <v>23</v>
      </c>
      <c r="AAE14" s="207"/>
      <c r="AAF14" s="207"/>
      <c r="AAG14" s="207"/>
      <c r="AAH14" s="82"/>
      <c r="AAI14" s="82"/>
      <c r="AAJ14" s="208" t="s">
        <v>24</v>
      </c>
      <c r="AAK14" s="208"/>
      <c r="AAL14" s="208"/>
      <c r="AAM14" s="208"/>
      <c r="AAN14" s="102"/>
      <c r="AAO14" s="102"/>
      <c r="AAP14" s="207" t="s">
        <v>25</v>
      </c>
      <c r="AAQ14" s="207"/>
      <c r="AAR14" s="207"/>
      <c r="AAS14" s="207"/>
      <c r="AAT14" s="82"/>
      <c r="AAU14" s="82"/>
      <c r="AAV14" s="82"/>
      <c r="AAW14" s="83"/>
      <c r="AAX14" s="81"/>
      <c r="AAY14" s="82"/>
      <c r="AAZ14" s="82"/>
      <c r="ABA14" s="82"/>
      <c r="ABB14" s="207" t="s">
        <v>17</v>
      </c>
      <c r="ABC14" s="207"/>
      <c r="ABD14" s="207"/>
      <c r="ABE14" s="207"/>
      <c r="ABF14" s="82"/>
      <c r="ABG14" s="82"/>
      <c r="ABH14" s="208" t="s">
        <v>18</v>
      </c>
      <c r="ABI14" s="208"/>
      <c r="ABJ14" s="208"/>
      <c r="ABK14" s="208"/>
      <c r="ABL14" s="102"/>
      <c r="ABM14" s="102"/>
      <c r="ABN14" s="207" t="s">
        <v>19</v>
      </c>
      <c r="ABO14" s="207"/>
      <c r="ABP14" s="207"/>
      <c r="ABQ14" s="207"/>
      <c r="ABR14" s="82"/>
      <c r="ABS14" s="82"/>
      <c r="ABT14" s="208" t="s">
        <v>20</v>
      </c>
      <c r="ABU14" s="208"/>
      <c r="ABV14" s="208"/>
      <c r="ABW14" s="208"/>
      <c r="ABX14" s="102"/>
      <c r="ABY14" s="102"/>
      <c r="ABZ14" s="207" t="s">
        <v>21</v>
      </c>
      <c r="ACA14" s="207"/>
      <c r="ACB14" s="207"/>
      <c r="ACC14" s="207"/>
      <c r="ACD14" s="82"/>
      <c r="ACE14" s="82"/>
      <c r="ACF14" s="208" t="s">
        <v>22</v>
      </c>
      <c r="ACG14" s="208"/>
      <c r="ACH14" s="208"/>
      <c r="ACI14" s="208"/>
      <c r="ACJ14" s="102"/>
      <c r="ACK14" s="102"/>
      <c r="ACL14" s="207" t="s">
        <v>23</v>
      </c>
      <c r="ACM14" s="207"/>
      <c r="ACN14" s="207"/>
      <c r="ACO14" s="207"/>
      <c r="ACP14" s="82"/>
      <c r="ACQ14" s="82"/>
      <c r="ACR14" s="208" t="s">
        <v>24</v>
      </c>
      <c r="ACS14" s="208"/>
      <c r="ACT14" s="208"/>
      <c r="ACU14" s="208"/>
      <c r="ACV14" s="102"/>
      <c r="ACW14" s="102"/>
      <c r="ACX14" s="207" t="s">
        <v>25</v>
      </c>
      <c r="ACY14" s="207"/>
      <c r="ACZ14" s="207"/>
      <c r="ADA14" s="207"/>
      <c r="ADB14" s="82"/>
      <c r="ADC14" s="82"/>
      <c r="ADD14" s="82"/>
      <c r="ADE14" s="83"/>
      <c r="ADF14" s="81"/>
      <c r="ADG14" s="82"/>
      <c r="ADH14" s="82"/>
      <c r="ADI14" s="82"/>
      <c r="ADJ14" s="207" t="s">
        <v>17</v>
      </c>
      <c r="ADK14" s="207"/>
      <c r="ADL14" s="207"/>
      <c r="ADM14" s="207"/>
      <c r="ADN14" s="82"/>
      <c r="ADO14" s="82"/>
      <c r="ADP14" s="208" t="s">
        <v>18</v>
      </c>
      <c r="ADQ14" s="208"/>
      <c r="ADR14" s="208"/>
      <c r="ADS14" s="208"/>
      <c r="ADT14" s="102"/>
      <c r="ADU14" s="102"/>
      <c r="ADV14" s="207" t="s">
        <v>19</v>
      </c>
      <c r="ADW14" s="207"/>
      <c r="ADX14" s="207"/>
      <c r="ADY14" s="207"/>
      <c r="ADZ14" s="82"/>
      <c r="AEA14" s="82"/>
      <c r="AEB14" s="208" t="s">
        <v>20</v>
      </c>
      <c r="AEC14" s="208"/>
      <c r="AED14" s="208"/>
      <c r="AEE14" s="208"/>
      <c r="AEF14" s="102"/>
      <c r="AEG14" s="102"/>
      <c r="AEH14" s="207" t="s">
        <v>21</v>
      </c>
      <c r="AEI14" s="207"/>
      <c r="AEJ14" s="207"/>
      <c r="AEK14" s="207"/>
      <c r="AEL14" s="82"/>
      <c r="AEM14" s="82"/>
      <c r="AEN14" s="208" t="s">
        <v>22</v>
      </c>
      <c r="AEO14" s="208"/>
      <c r="AEP14" s="208"/>
      <c r="AEQ14" s="208"/>
      <c r="AER14" s="102"/>
      <c r="AES14" s="102"/>
      <c r="AET14" s="207" t="s">
        <v>23</v>
      </c>
      <c r="AEU14" s="207"/>
      <c r="AEV14" s="207"/>
      <c r="AEW14" s="207"/>
      <c r="AEX14" s="82"/>
      <c r="AEY14" s="82"/>
      <c r="AEZ14" s="208" t="s">
        <v>24</v>
      </c>
      <c r="AFA14" s="208"/>
      <c r="AFB14" s="208"/>
      <c r="AFC14" s="208"/>
      <c r="AFD14" s="102"/>
      <c r="AFE14" s="102"/>
      <c r="AFF14" s="207" t="s">
        <v>25</v>
      </c>
      <c r="AFG14" s="207"/>
      <c r="AFH14" s="207"/>
      <c r="AFI14" s="207"/>
      <c r="AFJ14" s="82"/>
      <c r="AFK14" s="82"/>
      <c r="AFL14" s="82"/>
      <c r="AFM14" s="83"/>
      <c r="AFN14" s="81"/>
      <c r="AFO14" s="82"/>
      <c r="AFP14" s="82"/>
      <c r="AFQ14" s="82"/>
      <c r="AFR14" s="207" t="s">
        <v>17</v>
      </c>
      <c r="AFS14" s="207"/>
      <c r="AFT14" s="207"/>
      <c r="AFU14" s="207"/>
      <c r="AFV14" s="82"/>
      <c r="AFW14" s="82"/>
      <c r="AFX14" s="208" t="s">
        <v>18</v>
      </c>
      <c r="AFY14" s="208"/>
      <c r="AFZ14" s="208"/>
      <c r="AGA14" s="208"/>
      <c r="AGB14" s="102"/>
      <c r="AGC14" s="102"/>
      <c r="AGD14" s="207" t="s">
        <v>19</v>
      </c>
      <c r="AGE14" s="207"/>
      <c r="AGF14" s="207"/>
      <c r="AGG14" s="207"/>
      <c r="AGH14" s="82"/>
      <c r="AGI14" s="82"/>
      <c r="AGJ14" s="208" t="s">
        <v>20</v>
      </c>
      <c r="AGK14" s="208"/>
      <c r="AGL14" s="208"/>
      <c r="AGM14" s="208"/>
      <c r="AGN14" s="102"/>
      <c r="AGO14" s="102"/>
      <c r="AGP14" s="207" t="s">
        <v>21</v>
      </c>
      <c r="AGQ14" s="207"/>
      <c r="AGR14" s="207"/>
      <c r="AGS14" s="207"/>
      <c r="AGT14" s="82"/>
      <c r="AGU14" s="82"/>
      <c r="AGV14" s="208" t="s">
        <v>22</v>
      </c>
      <c r="AGW14" s="208"/>
      <c r="AGX14" s="208"/>
      <c r="AGY14" s="208"/>
      <c r="AGZ14" s="102"/>
      <c r="AHA14" s="102"/>
      <c r="AHB14" s="207" t="s">
        <v>23</v>
      </c>
      <c r="AHC14" s="207"/>
      <c r="AHD14" s="207"/>
      <c r="AHE14" s="207"/>
      <c r="AHF14" s="82"/>
      <c r="AHG14" s="82"/>
      <c r="AHH14" s="208" t="s">
        <v>24</v>
      </c>
      <c r="AHI14" s="208"/>
      <c r="AHJ14" s="208"/>
      <c r="AHK14" s="208"/>
      <c r="AHL14" s="102"/>
      <c r="AHM14" s="102"/>
      <c r="AHN14" s="207" t="s">
        <v>25</v>
      </c>
      <c r="AHO14" s="207"/>
      <c r="AHP14" s="207"/>
      <c r="AHQ14" s="207"/>
      <c r="AHR14" s="82"/>
      <c r="AHS14" s="82"/>
      <c r="AHT14" s="82"/>
      <c r="AHU14" s="83"/>
      <c r="AHV14" s="81"/>
      <c r="AHW14" s="82"/>
      <c r="AHX14" s="82"/>
      <c r="AHY14" s="82"/>
      <c r="AHZ14" s="207" t="s">
        <v>17</v>
      </c>
      <c r="AIA14" s="207"/>
      <c r="AIB14" s="207"/>
      <c r="AIC14" s="207"/>
      <c r="AID14" s="82"/>
      <c r="AIE14" s="82"/>
      <c r="AIF14" s="208" t="s">
        <v>18</v>
      </c>
      <c r="AIG14" s="208"/>
      <c r="AIH14" s="208"/>
      <c r="AII14" s="208"/>
      <c r="AIJ14" s="102"/>
      <c r="AIK14" s="102"/>
      <c r="AIL14" s="207" t="s">
        <v>19</v>
      </c>
      <c r="AIM14" s="207"/>
      <c r="AIN14" s="207"/>
      <c r="AIO14" s="207"/>
      <c r="AIP14" s="82"/>
      <c r="AIQ14" s="82"/>
      <c r="AIR14" s="208" t="s">
        <v>20</v>
      </c>
      <c r="AIS14" s="208"/>
      <c r="AIT14" s="208"/>
      <c r="AIU14" s="208"/>
      <c r="AIV14" s="102"/>
      <c r="AIW14" s="102"/>
      <c r="AIX14" s="207" t="s">
        <v>21</v>
      </c>
      <c r="AIY14" s="207"/>
      <c r="AIZ14" s="207"/>
      <c r="AJA14" s="207"/>
      <c r="AJB14" s="82"/>
      <c r="AJC14" s="82"/>
      <c r="AJD14" s="208" t="s">
        <v>22</v>
      </c>
      <c r="AJE14" s="208"/>
      <c r="AJF14" s="208"/>
      <c r="AJG14" s="208"/>
      <c r="AJH14" s="102"/>
      <c r="AJI14" s="102"/>
      <c r="AJJ14" s="207" t="s">
        <v>23</v>
      </c>
      <c r="AJK14" s="207"/>
      <c r="AJL14" s="207"/>
      <c r="AJM14" s="207"/>
      <c r="AJN14" s="82"/>
      <c r="AJO14" s="82"/>
      <c r="AJP14" s="208" t="s">
        <v>24</v>
      </c>
      <c r="AJQ14" s="208"/>
      <c r="AJR14" s="208"/>
      <c r="AJS14" s="208"/>
      <c r="AJT14" s="102"/>
      <c r="AJU14" s="102"/>
      <c r="AJV14" s="207" t="s">
        <v>25</v>
      </c>
      <c r="AJW14" s="207"/>
      <c r="AJX14" s="207"/>
      <c r="AJY14" s="207"/>
      <c r="AJZ14" s="82"/>
      <c r="AKA14" s="82"/>
      <c r="AKB14" s="82"/>
      <c r="AKC14" s="83"/>
      <c r="AKD14" s="81"/>
      <c r="AKE14" s="82"/>
      <c r="AKF14" s="82"/>
      <c r="AKG14" s="82"/>
      <c r="AKH14" s="207" t="s">
        <v>17</v>
      </c>
      <c r="AKI14" s="207"/>
      <c r="AKJ14" s="207"/>
      <c r="AKK14" s="207"/>
      <c r="AKL14" s="82"/>
      <c r="AKM14" s="82"/>
      <c r="AKN14" s="208" t="s">
        <v>18</v>
      </c>
      <c r="AKO14" s="208"/>
      <c r="AKP14" s="208"/>
      <c r="AKQ14" s="208"/>
      <c r="AKR14" s="102"/>
      <c r="AKS14" s="102"/>
      <c r="AKT14" s="207" t="s">
        <v>19</v>
      </c>
      <c r="AKU14" s="207"/>
      <c r="AKV14" s="207"/>
      <c r="AKW14" s="207"/>
      <c r="AKX14" s="82"/>
      <c r="AKY14" s="82"/>
      <c r="AKZ14" s="208" t="s">
        <v>20</v>
      </c>
      <c r="ALA14" s="208"/>
      <c r="ALB14" s="208"/>
      <c r="ALC14" s="208"/>
      <c r="ALD14" s="102"/>
      <c r="ALE14" s="102"/>
      <c r="ALF14" s="207" t="s">
        <v>21</v>
      </c>
      <c r="ALG14" s="207"/>
      <c r="ALH14" s="207"/>
      <c r="ALI14" s="207"/>
      <c r="ALJ14" s="82"/>
      <c r="ALK14" s="82"/>
      <c r="ALL14" s="208" t="s">
        <v>22</v>
      </c>
      <c r="ALM14" s="208"/>
      <c r="ALN14" s="208"/>
      <c r="ALO14" s="208"/>
      <c r="ALP14" s="102"/>
      <c r="ALQ14" s="102"/>
      <c r="ALR14" s="207" t="s">
        <v>23</v>
      </c>
      <c r="ALS14" s="207"/>
      <c r="ALT14" s="207"/>
      <c r="ALU14" s="207"/>
      <c r="ALV14" s="82"/>
      <c r="ALW14" s="82"/>
      <c r="ALX14" s="208" t="s">
        <v>24</v>
      </c>
      <c r="ALY14" s="208"/>
      <c r="ALZ14" s="208"/>
      <c r="AMA14" s="208"/>
      <c r="AMB14" s="102"/>
      <c r="AMC14" s="102"/>
      <c r="AMD14" s="207" t="s">
        <v>25</v>
      </c>
      <c r="AME14" s="207"/>
      <c r="AMF14" s="207"/>
      <c r="AMG14" s="207"/>
      <c r="AMH14" s="82"/>
      <c r="AMI14" s="82"/>
      <c r="AMJ14" s="82"/>
      <c r="AMK14" s="83"/>
      <c r="AML14" s="81"/>
      <c r="AMM14" s="82"/>
      <c r="AMN14" s="82"/>
      <c r="AMO14" s="82"/>
      <c r="AMP14" s="207" t="s">
        <v>17</v>
      </c>
      <c r="AMQ14" s="207"/>
      <c r="AMR14" s="207"/>
      <c r="AMS14" s="207"/>
      <c r="AMT14" s="82"/>
      <c r="AMU14" s="82"/>
      <c r="AMV14" s="208" t="s">
        <v>18</v>
      </c>
      <c r="AMW14" s="208"/>
      <c r="AMX14" s="208"/>
      <c r="AMY14" s="208"/>
      <c r="AMZ14" s="102"/>
      <c r="ANA14" s="102"/>
      <c r="ANB14" s="207" t="s">
        <v>19</v>
      </c>
      <c r="ANC14" s="207"/>
      <c r="AND14" s="207"/>
      <c r="ANE14" s="207"/>
      <c r="ANF14" s="82"/>
      <c r="ANG14" s="82"/>
      <c r="ANH14" s="208" t="s">
        <v>20</v>
      </c>
      <c r="ANI14" s="208"/>
      <c r="ANJ14" s="208"/>
      <c r="ANK14" s="208"/>
      <c r="ANL14" s="102"/>
      <c r="ANM14" s="102"/>
      <c r="ANN14" s="207" t="s">
        <v>21</v>
      </c>
      <c r="ANO14" s="207"/>
      <c r="ANP14" s="207"/>
      <c r="ANQ14" s="207"/>
      <c r="ANR14" s="82"/>
      <c r="ANS14" s="82"/>
      <c r="ANT14" s="208" t="s">
        <v>22</v>
      </c>
      <c r="ANU14" s="208"/>
      <c r="ANV14" s="208"/>
      <c r="ANW14" s="208"/>
      <c r="ANX14" s="102"/>
      <c r="ANY14" s="102"/>
      <c r="ANZ14" s="207" t="s">
        <v>23</v>
      </c>
      <c r="AOA14" s="207"/>
      <c r="AOB14" s="207"/>
      <c r="AOC14" s="207"/>
      <c r="AOD14" s="82"/>
      <c r="AOE14" s="82"/>
      <c r="AOF14" s="208" t="s">
        <v>24</v>
      </c>
      <c r="AOG14" s="208"/>
      <c r="AOH14" s="208"/>
      <c r="AOI14" s="208"/>
      <c r="AOJ14" s="102"/>
      <c r="AOK14" s="102"/>
      <c r="AOL14" s="207" t="s">
        <v>25</v>
      </c>
      <c r="AOM14" s="207"/>
      <c r="AON14" s="207"/>
      <c r="AOO14" s="207"/>
      <c r="AOP14" s="82"/>
      <c r="AOQ14" s="82"/>
      <c r="AOR14" s="82"/>
      <c r="AOS14" s="83"/>
      <c r="AOT14" s="81"/>
      <c r="AOU14" s="82"/>
      <c r="AOV14" s="82"/>
      <c r="AOW14" s="82"/>
      <c r="AOX14" s="207" t="s">
        <v>17</v>
      </c>
      <c r="AOY14" s="207"/>
      <c r="AOZ14" s="207"/>
      <c r="APA14" s="207"/>
      <c r="APB14" s="82"/>
      <c r="APC14" s="82"/>
      <c r="APD14" s="208" t="s">
        <v>18</v>
      </c>
      <c r="APE14" s="208"/>
      <c r="APF14" s="208"/>
      <c r="APG14" s="208"/>
      <c r="APH14" s="102"/>
      <c r="API14" s="102"/>
      <c r="APJ14" s="207" t="s">
        <v>19</v>
      </c>
      <c r="APK14" s="207"/>
      <c r="APL14" s="207"/>
      <c r="APM14" s="207"/>
      <c r="APN14" s="82"/>
      <c r="APO14" s="82"/>
      <c r="APP14" s="208" t="s">
        <v>20</v>
      </c>
      <c r="APQ14" s="208"/>
      <c r="APR14" s="208"/>
      <c r="APS14" s="208"/>
      <c r="APT14" s="102"/>
      <c r="APU14" s="102"/>
      <c r="APV14" s="207" t="s">
        <v>21</v>
      </c>
      <c r="APW14" s="207"/>
      <c r="APX14" s="207"/>
      <c r="APY14" s="207"/>
      <c r="APZ14" s="82"/>
      <c r="AQA14" s="82"/>
      <c r="AQB14" s="208" t="s">
        <v>22</v>
      </c>
      <c r="AQC14" s="208"/>
      <c r="AQD14" s="208"/>
      <c r="AQE14" s="208"/>
      <c r="AQF14" s="102"/>
      <c r="AQG14" s="102"/>
      <c r="AQH14" s="207" t="s">
        <v>23</v>
      </c>
      <c r="AQI14" s="207"/>
      <c r="AQJ14" s="207"/>
      <c r="AQK14" s="207"/>
      <c r="AQL14" s="82"/>
      <c r="AQM14" s="82"/>
      <c r="AQN14" s="208" t="s">
        <v>24</v>
      </c>
      <c r="AQO14" s="208"/>
      <c r="AQP14" s="208"/>
      <c r="AQQ14" s="208"/>
      <c r="AQR14" s="102"/>
      <c r="AQS14" s="102"/>
      <c r="AQT14" s="207" t="s">
        <v>25</v>
      </c>
      <c r="AQU14" s="207"/>
      <c r="AQV14" s="207"/>
      <c r="AQW14" s="207"/>
      <c r="AQX14" s="82"/>
      <c r="AQY14" s="82"/>
      <c r="AQZ14" s="82"/>
      <c r="ARA14" s="83"/>
      <c r="ARB14" s="81"/>
      <c r="ARC14" s="82"/>
      <c r="ARD14" s="82"/>
      <c r="ARE14" s="82"/>
      <c r="ARF14" s="207" t="s">
        <v>17</v>
      </c>
      <c r="ARG14" s="207"/>
      <c r="ARH14" s="207"/>
      <c r="ARI14" s="207"/>
      <c r="ARJ14" s="82"/>
      <c r="ARK14" s="82"/>
      <c r="ARL14" s="208" t="s">
        <v>18</v>
      </c>
      <c r="ARM14" s="208"/>
      <c r="ARN14" s="208"/>
      <c r="ARO14" s="208"/>
      <c r="ARP14" s="102"/>
      <c r="ARQ14" s="102"/>
      <c r="ARR14" s="207" t="s">
        <v>19</v>
      </c>
      <c r="ARS14" s="207"/>
      <c r="ART14" s="207"/>
      <c r="ARU14" s="207"/>
      <c r="ARV14" s="82"/>
      <c r="ARW14" s="82"/>
      <c r="ARX14" s="208" t="s">
        <v>20</v>
      </c>
      <c r="ARY14" s="208"/>
      <c r="ARZ14" s="208"/>
      <c r="ASA14" s="208"/>
      <c r="ASB14" s="102"/>
      <c r="ASC14" s="102"/>
      <c r="ASD14" s="207" t="s">
        <v>21</v>
      </c>
      <c r="ASE14" s="207"/>
      <c r="ASF14" s="207"/>
      <c r="ASG14" s="207"/>
      <c r="ASH14" s="82"/>
      <c r="ASI14" s="82"/>
      <c r="ASJ14" s="208" t="s">
        <v>22</v>
      </c>
      <c r="ASK14" s="208"/>
      <c r="ASL14" s="208"/>
      <c r="ASM14" s="208"/>
      <c r="ASN14" s="102"/>
      <c r="ASO14" s="102"/>
      <c r="ASP14" s="207" t="s">
        <v>23</v>
      </c>
      <c r="ASQ14" s="207"/>
      <c r="ASR14" s="207"/>
      <c r="ASS14" s="207"/>
      <c r="AST14" s="82"/>
      <c r="ASU14" s="82"/>
      <c r="ASV14" s="208" t="s">
        <v>24</v>
      </c>
      <c r="ASW14" s="208"/>
      <c r="ASX14" s="208"/>
      <c r="ASY14" s="208"/>
      <c r="ASZ14" s="102"/>
      <c r="ATA14" s="102"/>
      <c r="ATB14" s="207" t="s">
        <v>25</v>
      </c>
      <c r="ATC14" s="207"/>
      <c r="ATD14" s="207"/>
      <c r="ATE14" s="207"/>
      <c r="ATF14" s="82"/>
      <c r="ATG14" s="82"/>
      <c r="ATH14" s="82"/>
      <c r="ATI14" s="83"/>
      <c r="ATJ14" s="81"/>
      <c r="ATK14" s="82"/>
      <c r="ATL14" s="82"/>
      <c r="ATM14" s="82"/>
      <c r="ATN14" s="207" t="s">
        <v>17</v>
      </c>
      <c r="ATO14" s="207"/>
      <c r="ATP14" s="207"/>
      <c r="ATQ14" s="207"/>
      <c r="ATR14" s="82"/>
      <c r="ATS14" s="82"/>
      <c r="ATT14" s="208" t="s">
        <v>18</v>
      </c>
      <c r="ATU14" s="208"/>
      <c r="ATV14" s="208"/>
      <c r="ATW14" s="208"/>
      <c r="ATX14" s="102"/>
      <c r="ATY14" s="102"/>
      <c r="ATZ14" s="207" t="s">
        <v>19</v>
      </c>
      <c r="AUA14" s="207"/>
      <c r="AUB14" s="207"/>
      <c r="AUC14" s="207"/>
      <c r="AUD14" s="82"/>
      <c r="AUE14" s="82"/>
      <c r="AUF14" s="208" t="s">
        <v>20</v>
      </c>
      <c r="AUG14" s="208"/>
      <c r="AUH14" s="208"/>
      <c r="AUI14" s="208"/>
      <c r="AUJ14" s="102"/>
      <c r="AUK14" s="102"/>
      <c r="AUL14" s="207" t="s">
        <v>21</v>
      </c>
      <c r="AUM14" s="207"/>
      <c r="AUN14" s="207"/>
      <c r="AUO14" s="207"/>
      <c r="AUP14" s="82"/>
      <c r="AUQ14" s="82"/>
      <c r="AUR14" s="208" t="s">
        <v>22</v>
      </c>
      <c r="AUS14" s="208"/>
      <c r="AUT14" s="208"/>
      <c r="AUU14" s="208"/>
      <c r="AUV14" s="102"/>
      <c r="AUW14" s="102"/>
      <c r="AUX14" s="207" t="s">
        <v>23</v>
      </c>
      <c r="AUY14" s="207"/>
      <c r="AUZ14" s="207"/>
      <c r="AVA14" s="207"/>
      <c r="AVB14" s="82"/>
      <c r="AVC14" s="82"/>
      <c r="AVD14" s="208" t="s">
        <v>24</v>
      </c>
      <c r="AVE14" s="208"/>
      <c r="AVF14" s="208"/>
      <c r="AVG14" s="208"/>
      <c r="AVH14" s="102"/>
      <c r="AVI14" s="102"/>
      <c r="AVJ14" s="207" t="s">
        <v>25</v>
      </c>
      <c r="AVK14" s="207"/>
      <c r="AVL14" s="207"/>
      <c r="AVM14" s="207"/>
      <c r="AVN14" s="82"/>
      <c r="AVO14" s="82"/>
      <c r="AVP14" s="82"/>
      <c r="AVQ14" s="83"/>
      <c r="AVR14" s="81"/>
      <c r="AVS14" s="82"/>
      <c r="AVT14" s="82"/>
      <c r="AVU14" s="82"/>
      <c r="AVV14" s="207" t="s">
        <v>17</v>
      </c>
      <c r="AVW14" s="207"/>
      <c r="AVX14" s="207"/>
      <c r="AVY14" s="207"/>
      <c r="AVZ14" s="82"/>
      <c r="AWA14" s="82"/>
      <c r="AWB14" s="208" t="s">
        <v>18</v>
      </c>
      <c r="AWC14" s="208"/>
      <c r="AWD14" s="208"/>
      <c r="AWE14" s="208"/>
      <c r="AWF14" s="102"/>
      <c r="AWG14" s="102"/>
      <c r="AWH14" s="207" t="s">
        <v>19</v>
      </c>
      <c r="AWI14" s="207"/>
      <c r="AWJ14" s="207"/>
      <c r="AWK14" s="207"/>
      <c r="AWL14" s="82"/>
      <c r="AWM14" s="82"/>
      <c r="AWN14" s="208" t="s">
        <v>20</v>
      </c>
      <c r="AWO14" s="208"/>
      <c r="AWP14" s="208"/>
      <c r="AWQ14" s="208"/>
      <c r="AWR14" s="102"/>
      <c r="AWS14" s="102"/>
      <c r="AWT14" s="207" t="s">
        <v>21</v>
      </c>
      <c r="AWU14" s="207"/>
      <c r="AWV14" s="207"/>
      <c r="AWW14" s="207"/>
      <c r="AWX14" s="82"/>
      <c r="AWY14" s="82"/>
      <c r="AWZ14" s="208" t="s">
        <v>22</v>
      </c>
      <c r="AXA14" s="208"/>
      <c r="AXB14" s="208"/>
      <c r="AXC14" s="208"/>
      <c r="AXD14" s="102"/>
      <c r="AXE14" s="102"/>
      <c r="AXF14" s="207" t="s">
        <v>23</v>
      </c>
      <c r="AXG14" s="207"/>
      <c r="AXH14" s="207"/>
      <c r="AXI14" s="207"/>
      <c r="AXJ14" s="82"/>
      <c r="AXK14" s="82"/>
      <c r="AXL14" s="208" t="s">
        <v>24</v>
      </c>
      <c r="AXM14" s="208"/>
      <c r="AXN14" s="208"/>
      <c r="AXO14" s="208"/>
      <c r="AXP14" s="102"/>
      <c r="AXQ14" s="102"/>
      <c r="AXR14" s="207" t="s">
        <v>25</v>
      </c>
      <c r="AXS14" s="207"/>
      <c r="AXT14" s="207"/>
      <c r="AXU14" s="207"/>
      <c r="AXV14" s="82"/>
      <c r="AXW14" s="82"/>
      <c r="AXX14" s="82"/>
      <c r="AXY14" s="83"/>
      <c r="AXZ14" s="73"/>
    </row>
    <row r="15" spans="1:1660" ht="20.100000000000001" customHeight="1" x14ac:dyDescent="0.25">
      <c r="A15" s="78" t="s">
        <v>26</v>
      </c>
      <c r="B15" s="51" t="str">
        <f>IF(LEN(C15)=0,"",C15)</f>
        <v xml:space="preserve">Absences - imprévus </v>
      </c>
      <c r="C15" s="226" t="s">
        <v>27</v>
      </c>
      <c r="D15" s="122" t="str">
        <f>setValueToTime(E15)</f>
        <v>2h 50 min</v>
      </c>
      <c r="E15" s="26">
        <v>34</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73"/>
      <c r="AYA15" s="248"/>
      <c r="AYB15" s="248"/>
      <c r="AYC15" s="248"/>
      <c r="AYD15" s="248"/>
      <c r="AYE15" s="248"/>
      <c r="AYF15" s="248"/>
      <c r="AYG15" s="248"/>
      <c r="AYH15" s="248"/>
      <c r="AYI15" s="248"/>
      <c r="AYJ15" s="248"/>
      <c r="AYK15" s="248"/>
      <c r="AYL15" s="248"/>
      <c r="AYM15" s="248"/>
      <c r="AYN15" s="248"/>
      <c r="AYO15" s="248"/>
      <c r="AYP15" s="248"/>
      <c r="AYQ15" s="248"/>
      <c r="AYR15" s="248"/>
      <c r="AYS15" s="248"/>
      <c r="AYT15" s="248"/>
      <c r="AYU15" s="248"/>
      <c r="AYV15" s="248"/>
      <c r="AYW15" s="248"/>
      <c r="AYX15" s="248"/>
      <c r="AYY15" s="248"/>
      <c r="AYZ15" s="248"/>
      <c r="AZA15" s="248"/>
      <c r="AZB15" s="248"/>
      <c r="AZC15" s="248"/>
      <c r="AZD15" s="248"/>
      <c r="AZE15" s="248"/>
      <c r="AZF15" s="248"/>
      <c r="AZG15" s="248"/>
      <c r="AZH15" s="248"/>
      <c r="AZI15" s="248"/>
      <c r="AZJ15" s="248"/>
      <c r="AZK15" s="248"/>
      <c r="AZL15" s="248"/>
      <c r="AZM15" s="248"/>
      <c r="AZN15" s="248"/>
      <c r="AZO15" s="248"/>
      <c r="AZP15" s="248"/>
      <c r="AZQ15" s="248"/>
      <c r="AZR15" s="248"/>
      <c r="AZS15" s="248"/>
      <c r="AZT15" s="248"/>
      <c r="AZU15" s="248"/>
      <c r="AZV15" s="248"/>
      <c r="AZW15" s="248"/>
      <c r="AZX15" s="248"/>
      <c r="AZY15" s="248"/>
      <c r="AZZ15" s="248"/>
      <c r="BAA15" s="248"/>
      <c r="BAB15" s="248"/>
      <c r="BAC15" s="248"/>
      <c r="BAD15" s="248"/>
      <c r="BAE15" s="248"/>
      <c r="BAF15" s="248"/>
      <c r="BAG15" s="248"/>
      <c r="BAH15" s="248"/>
      <c r="BAI15" s="248"/>
      <c r="BAJ15" s="248"/>
      <c r="BAK15" s="248"/>
      <c r="BAL15" s="248"/>
      <c r="BAM15" s="248"/>
      <c r="BAN15" s="248"/>
      <c r="BAO15" s="248"/>
      <c r="BAP15" s="248"/>
      <c r="BAQ15" s="248"/>
      <c r="BAR15" s="248"/>
      <c r="BAS15" s="248"/>
      <c r="BAT15" s="248"/>
      <c r="BAU15" s="248"/>
      <c r="BAV15" s="248"/>
      <c r="BAW15" s="248"/>
      <c r="BAX15" s="248"/>
      <c r="BAY15" s="248"/>
      <c r="BAZ15" s="248"/>
      <c r="BBA15" s="248"/>
      <c r="BBB15" s="248"/>
      <c r="BBC15" s="248"/>
      <c r="BBD15" s="248"/>
      <c r="BBE15" s="248"/>
      <c r="BBF15" s="248"/>
      <c r="BBG15" s="248"/>
      <c r="BBH15" s="248"/>
      <c r="BBI15" s="248"/>
      <c r="BBJ15" s="248"/>
      <c r="BBK15" s="248"/>
      <c r="BBL15" s="248"/>
      <c r="BBM15" s="248"/>
      <c r="BBN15" s="248"/>
      <c r="BBO15" s="248"/>
      <c r="BBP15" s="248"/>
      <c r="BBQ15" s="248"/>
      <c r="BBR15" s="248"/>
      <c r="BBS15" s="248"/>
      <c r="BBT15" s="248"/>
      <c r="BBU15" s="248"/>
      <c r="BBV15" s="248"/>
      <c r="BBW15" s="248"/>
      <c r="BBX15" s="248"/>
      <c r="BBY15" s="248"/>
      <c r="BBZ15" s="248"/>
      <c r="BCA15" s="248"/>
      <c r="BCB15" s="248"/>
      <c r="BCC15" s="248"/>
      <c r="BCD15" s="248"/>
      <c r="BCE15" s="248"/>
      <c r="BCF15" s="248"/>
      <c r="BCG15" s="248"/>
      <c r="BCH15" s="248"/>
      <c r="BCI15" s="248"/>
      <c r="BCJ15" s="248"/>
      <c r="BCK15" s="248"/>
      <c r="BCL15" s="248"/>
      <c r="BCM15" s="248"/>
      <c r="BCN15" s="248"/>
      <c r="BCO15" s="248"/>
      <c r="BCP15" s="248"/>
      <c r="BCQ15" s="248"/>
      <c r="BCR15" s="248"/>
      <c r="BCS15" s="248"/>
      <c r="BCT15" s="248"/>
      <c r="BCU15" s="248"/>
      <c r="BCV15" s="248"/>
      <c r="BCW15" s="248"/>
      <c r="BCX15" s="248"/>
      <c r="BCY15" s="248"/>
      <c r="BCZ15" s="248"/>
      <c r="BDA15" s="248"/>
      <c r="BDB15" s="248"/>
      <c r="BDC15" s="248"/>
      <c r="BDD15" s="248"/>
      <c r="BDE15" s="248"/>
      <c r="BDF15" s="248"/>
      <c r="BDG15" s="248"/>
      <c r="BDH15" s="248"/>
      <c r="BDI15" s="248"/>
      <c r="BDJ15" s="248"/>
      <c r="BDK15" s="248"/>
      <c r="BDL15" s="248"/>
      <c r="BDM15" s="248"/>
      <c r="BDN15" s="248"/>
      <c r="BDO15" s="248"/>
      <c r="BDP15" s="248"/>
      <c r="BDQ15" s="248"/>
      <c r="BDR15" s="248"/>
      <c r="BDS15" s="248"/>
      <c r="BDT15" s="248"/>
      <c r="BDU15" s="248"/>
      <c r="BDV15" s="248"/>
      <c r="BDW15" s="248"/>
      <c r="BDX15" s="248"/>
      <c r="BDY15" s="248"/>
      <c r="BDZ15" s="248"/>
      <c r="BEA15" s="248"/>
      <c r="BEB15" s="248"/>
      <c r="BEC15" s="248"/>
      <c r="BED15" s="248"/>
      <c r="BEE15" s="248"/>
      <c r="BEF15" s="248"/>
      <c r="BEG15" s="248"/>
      <c r="BEH15" s="248"/>
      <c r="BEI15" s="248"/>
      <c r="BEJ15" s="248"/>
      <c r="BEK15" s="248"/>
      <c r="BEL15" s="248"/>
      <c r="BEM15" s="248"/>
      <c r="BEN15" s="248"/>
      <c r="BEO15" s="248"/>
      <c r="BEP15" s="248"/>
      <c r="BEQ15" s="248"/>
      <c r="BER15" s="248"/>
      <c r="BES15" s="248"/>
      <c r="BET15" s="248"/>
      <c r="BEU15" s="248"/>
      <c r="BEV15" s="248"/>
      <c r="BEW15" s="248"/>
      <c r="BEX15" s="248"/>
      <c r="BEY15" s="248"/>
      <c r="BEZ15" s="248"/>
      <c r="BFA15" s="248"/>
      <c r="BFB15" s="248"/>
      <c r="BFC15" s="248"/>
      <c r="BFD15" s="248"/>
      <c r="BFE15" s="248"/>
      <c r="BFF15" s="248"/>
      <c r="BFG15" s="248"/>
      <c r="BFH15" s="248"/>
      <c r="BFI15" s="248"/>
      <c r="BFJ15" s="248"/>
      <c r="BFK15" s="248"/>
      <c r="BFL15" s="248"/>
      <c r="BFM15" s="248"/>
      <c r="BFN15" s="248"/>
      <c r="BFO15" s="248"/>
      <c r="BFP15" s="248"/>
      <c r="BFQ15" s="248"/>
      <c r="BFR15" s="248"/>
      <c r="BFS15" s="248"/>
      <c r="BFT15" s="248"/>
      <c r="BFU15" s="248"/>
      <c r="BFV15" s="248"/>
      <c r="BFW15" s="248"/>
      <c r="BFX15" s="248"/>
      <c r="BFY15" s="248"/>
      <c r="BFZ15" s="248"/>
      <c r="BGA15" s="248"/>
      <c r="BGB15" s="248"/>
      <c r="BGC15" s="248"/>
      <c r="BGD15" s="248"/>
      <c r="BGE15" s="248"/>
      <c r="BGF15" s="248"/>
      <c r="BGG15" s="248"/>
      <c r="BGH15" s="248"/>
      <c r="BGI15" s="248"/>
      <c r="BGJ15" s="248"/>
      <c r="BGK15" s="248"/>
      <c r="BGL15" s="248"/>
      <c r="BGM15" s="248"/>
      <c r="BGN15" s="248"/>
      <c r="BGO15" s="248"/>
      <c r="BGP15" s="248"/>
      <c r="BGQ15" s="248"/>
      <c r="BGR15" s="248"/>
      <c r="BGS15" s="248"/>
      <c r="BGT15" s="248"/>
      <c r="BGU15" s="248"/>
      <c r="BGV15" s="248"/>
      <c r="BGW15" s="248"/>
      <c r="BGX15" s="248"/>
      <c r="BGY15" s="248"/>
      <c r="BGZ15" s="248"/>
      <c r="BHA15" s="248"/>
      <c r="BHB15" s="248"/>
      <c r="BHC15" s="248"/>
      <c r="BHD15" s="248"/>
      <c r="BHE15" s="248"/>
      <c r="BHF15" s="248"/>
      <c r="BHG15" s="248"/>
      <c r="BHH15" s="248"/>
      <c r="BHI15" s="248"/>
      <c r="BHJ15" s="248"/>
      <c r="BHK15" s="248"/>
      <c r="BHL15" s="248"/>
      <c r="BHM15" s="248"/>
      <c r="BHN15" s="248"/>
      <c r="BHO15" s="248"/>
      <c r="BHP15" s="248"/>
      <c r="BHQ15" s="248"/>
      <c r="BHR15" s="248"/>
      <c r="BHS15" s="248"/>
      <c r="BHT15" s="248"/>
      <c r="BHU15" s="248"/>
      <c r="BHV15" s="248"/>
      <c r="BHW15" s="248"/>
      <c r="BHX15" s="248"/>
      <c r="BHY15" s="248"/>
      <c r="BHZ15" s="248"/>
      <c r="BIA15" s="248"/>
      <c r="BIB15" s="248"/>
      <c r="BIC15" s="248"/>
      <c r="BID15" s="248"/>
      <c r="BIE15" s="248"/>
      <c r="BIF15" s="248"/>
      <c r="BIG15" s="248"/>
      <c r="BIH15" s="248"/>
      <c r="BII15" s="248"/>
      <c r="BIJ15" s="248"/>
      <c r="BIK15" s="248"/>
      <c r="BIL15" s="248"/>
      <c r="BIM15" s="248"/>
      <c r="BIN15" s="248"/>
      <c r="BIO15" s="248"/>
      <c r="BIP15" s="248"/>
      <c r="BIQ15" s="248"/>
      <c r="BIR15" s="248"/>
      <c r="BIS15" s="248"/>
      <c r="BIT15" s="248"/>
      <c r="BIU15" s="248"/>
      <c r="BIV15" s="248"/>
      <c r="BIW15" s="248"/>
      <c r="BIX15" s="248"/>
      <c r="BIY15" s="248"/>
      <c r="BIZ15" s="248"/>
      <c r="BJA15" s="248"/>
      <c r="BJB15" s="248"/>
      <c r="BJC15" s="248"/>
      <c r="BJD15" s="248"/>
      <c r="BJE15" s="248"/>
      <c r="BJF15" s="248"/>
      <c r="BJG15" s="248"/>
      <c r="BJH15" s="248"/>
      <c r="BJI15" s="248"/>
      <c r="BJJ15" s="248"/>
      <c r="BJK15" s="248"/>
      <c r="BJL15" s="248"/>
      <c r="BJM15" s="248"/>
      <c r="BJN15" s="248"/>
    </row>
    <row r="16" spans="1:1660" ht="20.100000000000001" customHeight="1" x14ac:dyDescent="0.25">
      <c r="A16" s="78" t="s">
        <v>28</v>
      </c>
      <c r="B16" s="51" t="str">
        <f>IF(LEN(C17)=0,"",C17)</f>
        <v>Analyse – définition des rôles et permissions</v>
      </c>
      <c r="C16" s="210"/>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73"/>
      <c r="AYA16" s="248"/>
      <c r="AYB16" s="248"/>
      <c r="AYC16" s="248"/>
      <c r="AYD16" s="248"/>
      <c r="AYE16" s="248"/>
      <c r="AYF16" s="248"/>
      <c r="AYG16" s="248"/>
      <c r="AYH16" s="248"/>
      <c r="AYI16" s="248"/>
      <c r="AYJ16" s="248"/>
      <c r="AYK16" s="248"/>
      <c r="AYL16" s="248"/>
      <c r="AYM16" s="248"/>
      <c r="AYN16" s="248"/>
      <c r="AYO16" s="248"/>
      <c r="AYP16" s="248"/>
      <c r="AYQ16" s="248"/>
      <c r="AYR16" s="248"/>
      <c r="AYS16" s="248"/>
      <c r="AYT16" s="248"/>
      <c r="AYU16" s="248"/>
      <c r="AYV16" s="248"/>
      <c r="AYW16" s="248"/>
      <c r="AYX16" s="248"/>
      <c r="AYY16" s="248"/>
      <c r="AYZ16" s="248"/>
      <c r="AZA16" s="248"/>
      <c r="AZB16" s="248"/>
      <c r="AZC16" s="248"/>
      <c r="AZD16" s="248"/>
      <c r="AZE16" s="248"/>
      <c r="AZF16" s="248"/>
      <c r="AZG16" s="248"/>
      <c r="AZH16" s="248"/>
      <c r="AZI16" s="248"/>
      <c r="AZJ16" s="248"/>
      <c r="AZK16" s="248"/>
      <c r="AZL16" s="248"/>
      <c r="AZM16" s="248"/>
      <c r="AZN16" s="248"/>
      <c r="AZO16" s="248"/>
      <c r="AZP16" s="248"/>
      <c r="AZQ16" s="248"/>
      <c r="AZR16" s="248"/>
      <c r="AZS16" s="248"/>
      <c r="AZT16" s="248"/>
      <c r="AZU16" s="248"/>
      <c r="AZV16" s="248"/>
      <c r="AZW16" s="248"/>
      <c r="AZX16" s="248"/>
      <c r="AZY16" s="248"/>
      <c r="AZZ16" s="248"/>
      <c r="BAA16" s="248"/>
      <c r="BAB16" s="248"/>
      <c r="BAC16" s="248"/>
      <c r="BAD16" s="248"/>
      <c r="BAE16" s="248"/>
      <c r="BAF16" s="248"/>
      <c r="BAG16" s="248"/>
      <c r="BAH16" s="248"/>
      <c r="BAI16" s="248"/>
      <c r="BAJ16" s="248"/>
      <c r="BAK16" s="248"/>
      <c r="BAL16" s="248"/>
      <c r="BAM16" s="248"/>
      <c r="BAN16" s="248"/>
      <c r="BAO16" s="248"/>
      <c r="BAP16" s="248"/>
      <c r="BAQ16" s="248"/>
      <c r="BAR16" s="248"/>
      <c r="BAS16" s="248"/>
      <c r="BAT16" s="248"/>
      <c r="BAU16" s="248"/>
      <c r="BAV16" s="248"/>
      <c r="BAW16" s="248"/>
      <c r="BAX16" s="248"/>
      <c r="BAY16" s="248"/>
      <c r="BAZ16" s="248"/>
      <c r="BBA16" s="248"/>
      <c r="BBB16" s="248"/>
      <c r="BBC16" s="248"/>
      <c r="BBD16" s="248"/>
      <c r="BBE16" s="248"/>
      <c r="BBF16" s="248"/>
      <c r="BBG16" s="248"/>
      <c r="BBH16" s="248"/>
      <c r="BBI16" s="248"/>
      <c r="BBJ16" s="248"/>
      <c r="BBK16" s="248"/>
      <c r="BBL16" s="248"/>
      <c r="BBM16" s="248"/>
      <c r="BBN16" s="248"/>
      <c r="BBO16" s="248"/>
      <c r="BBP16" s="248"/>
      <c r="BBQ16" s="248"/>
      <c r="BBR16" s="248"/>
      <c r="BBS16" s="248"/>
      <c r="BBT16" s="248"/>
      <c r="BBU16" s="248"/>
      <c r="BBV16" s="248"/>
      <c r="BBW16" s="248"/>
      <c r="BBX16" s="248"/>
      <c r="BBY16" s="248"/>
      <c r="BBZ16" s="248"/>
      <c r="BCA16" s="248"/>
      <c r="BCB16" s="248"/>
      <c r="BCC16" s="248"/>
      <c r="BCD16" s="248"/>
      <c r="BCE16" s="248"/>
      <c r="BCF16" s="248"/>
      <c r="BCG16" s="248"/>
      <c r="BCH16" s="248"/>
      <c r="BCI16" s="248"/>
      <c r="BCJ16" s="248"/>
      <c r="BCK16" s="248"/>
      <c r="BCL16" s="248"/>
      <c r="BCM16" s="248"/>
      <c r="BCN16" s="248"/>
      <c r="BCO16" s="248"/>
      <c r="BCP16" s="248"/>
      <c r="BCQ16" s="248"/>
      <c r="BCR16" s="248"/>
      <c r="BCS16" s="248"/>
      <c r="BCT16" s="248"/>
      <c r="BCU16" s="248"/>
      <c r="BCV16" s="248"/>
      <c r="BCW16" s="248"/>
      <c r="BCX16" s="248"/>
      <c r="BCY16" s="248"/>
      <c r="BCZ16" s="248"/>
      <c r="BDA16" s="248"/>
      <c r="BDB16" s="248"/>
      <c r="BDC16" s="248"/>
      <c r="BDD16" s="248"/>
      <c r="BDE16" s="248"/>
      <c r="BDF16" s="248"/>
      <c r="BDG16" s="248"/>
      <c r="BDH16" s="248"/>
      <c r="BDI16" s="248"/>
      <c r="BDJ16" s="248"/>
      <c r="BDK16" s="248"/>
      <c r="BDL16" s="248"/>
      <c r="BDM16" s="248"/>
      <c r="BDN16" s="248"/>
      <c r="BDO16" s="248"/>
      <c r="BDP16" s="248"/>
      <c r="BDQ16" s="248"/>
      <c r="BDR16" s="248"/>
      <c r="BDS16" s="248"/>
      <c r="BDT16" s="248"/>
      <c r="BDU16" s="248"/>
      <c r="BDV16" s="248"/>
      <c r="BDW16" s="248"/>
      <c r="BDX16" s="248"/>
      <c r="BDY16" s="248"/>
      <c r="BDZ16" s="248"/>
      <c r="BEA16" s="248"/>
      <c r="BEB16" s="248"/>
      <c r="BEC16" s="248"/>
      <c r="BED16" s="248"/>
      <c r="BEE16" s="248"/>
      <c r="BEF16" s="248"/>
      <c r="BEG16" s="248"/>
      <c r="BEH16" s="248"/>
      <c r="BEI16" s="248"/>
      <c r="BEJ16" s="248"/>
      <c r="BEK16" s="248"/>
      <c r="BEL16" s="248"/>
      <c r="BEM16" s="248"/>
      <c r="BEN16" s="248"/>
      <c r="BEO16" s="248"/>
      <c r="BEP16" s="248"/>
      <c r="BEQ16" s="248"/>
      <c r="BER16" s="248"/>
      <c r="BES16" s="248"/>
      <c r="BET16" s="248"/>
      <c r="BEU16" s="248"/>
      <c r="BEV16" s="248"/>
      <c r="BEW16" s="248"/>
      <c r="BEX16" s="248"/>
      <c r="BEY16" s="248"/>
      <c r="BEZ16" s="248"/>
      <c r="BFA16" s="248"/>
      <c r="BFB16" s="248"/>
      <c r="BFC16" s="248"/>
      <c r="BFD16" s="248"/>
      <c r="BFE16" s="248"/>
      <c r="BFF16" s="248"/>
      <c r="BFG16" s="248"/>
      <c r="BFH16" s="248"/>
      <c r="BFI16" s="248"/>
      <c r="BFJ16" s="248"/>
      <c r="BFK16" s="248"/>
      <c r="BFL16" s="248"/>
      <c r="BFM16" s="248"/>
      <c r="BFN16" s="248"/>
      <c r="BFO16" s="248"/>
      <c r="BFP16" s="248"/>
      <c r="BFQ16" s="248"/>
      <c r="BFR16" s="248"/>
      <c r="BFS16" s="248"/>
      <c r="BFT16" s="248"/>
      <c r="BFU16" s="248"/>
      <c r="BFV16" s="248"/>
      <c r="BFW16" s="248"/>
      <c r="BFX16" s="248"/>
      <c r="BFY16" s="248"/>
      <c r="BFZ16" s="248"/>
      <c r="BGA16" s="248"/>
      <c r="BGB16" s="248"/>
      <c r="BGC16" s="248"/>
      <c r="BGD16" s="248"/>
      <c r="BGE16" s="248"/>
      <c r="BGF16" s="248"/>
      <c r="BGG16" s="248"/>
      <c r="BGH16" s="248"/>
      <c r="BGI16" s="248"/>
      <c r="BGJ16" s="248"/>
      <c r="BGK16" s="248"/>
      <c r="BGL16" s="248"/>
      <c r="BGM16" s="248"/>
      <c r="BGN16" s="248"/>
      <c r="BGO16" s="248"/>
      <c r="BGP16" s="248"/>
      <c r="BGQ16" s="248"/>
      <c r="BGR16" s="248"/>
      <c r="BGS16" s="248"/>
      <c r="BGT16" s="248"/>
      <c r="BGU16" s="248"/>
      <c r="BGV16" s="248"/>
      <c r="BGW16" s="248"/>
      <c r="BGX16" s="248"/>
      <c r="BGY16" s="248"/>
      <c r="BGZ16" s="248"/>
      <c r="BHA16" s="248"/>
      <c r="BHB16" s="248"/>
      <c r="BHC16" s="248"/>
      <c r="BHD16" s="248"/>
      <c r="BHE16" s="248"/>
      <c r="BHF16" s="248"/>
      <c r="BHG16" s="248"/>
      <c r="BHH16" s="248"/>
      <c r="BHI16" s="248"/>
      <c r="BHJ16" s="248"/>
      <c r="BHK16" s="248"/>
      <c r="BHL16" s="248"/>
      <c r="BHM16" s="248"/>
      <c r="BHN16" s="248"/>
      <c r="BHO16" s="248"/>
      <c r="BHP16" s="248"/>
      <c r="BHQ16" s="248"/>
      <c r="BHR16" s="248"/>
      <c r="BHS16" s="248"/>
      <c r="BHT16" s="248"/>
      <c r="BHU16" s="248"/>
      <c r="BHV16" s="248"/>
      <c r="BHW16" s="248"/>
      <c r="BHX16" s="248"/>
      <c r="BHY16" s="248"/>
      <c r="BHZ16" s="248"/>
      <c r="BIA16" s="248"/>
      <c r="BIB16" s="248"/>
      <c r="BIC16" s="248"/>
      <c r="BID16" s="248"/>
      <c r="BIE16" s="248"/>
      <c r="BIF16" s="248"/>
      <c r="BIG16" s="248"/>
      <c r="BIH16" s="248"/>
      <c r="BII16" s="248"/>
      <c r="BIJ16" s="248"/>
      <c r="BIK16" s="248"/>
      <c r="BIL16" s="248"/>
      <c r="BIM16" s="248"/>
      <c r="BIN16" s="248"/>
      <c r="BIO16" s="248"/>
      <c r="BIP16" s="248"/>
      <c r="BIQ16" s="248"/>
      <c r="BIR16" s="248"/>
      <c r="BIS16" s="248"/>
      <c r="BIT16" s="248"/>
      <c r="BIU16" s="248"/>
      <c r="BIV16" s="248"/>
      <c r="BIW16" s="248"/>
      <c r="BIX16" s="248"/>
      <c r="BIY16" s="248"/>
      <c r="BIZ16" s="248"/>
      <c r="BJA16" s="248"/>
      <c r="BJB16" s="248"/>
      <c r="BJC16" s="248"/>
      <c r="BJD16" s="248"/>
      <c r="BJE16" s="248"/>
      <c r="BJF16" s="248"/>
      <c r="BJG16" s="248"/>
      <c r="BJH16" s="248"/>
      <c r="BJI16" s="248"/>
      <c r="BJJ16" s="248"/>
      <c r="BJK16" s="248"/>
      <c r="BJL16" s="248"/>
      <c r="BJM16" s="248"/>
      <c r="BJN16" s="248"/>
      <c r="BJO16" s="248"/>
      <c r="BJP16" s="248"/>
      <c r="BJQ16" s="248"/>
      <c r="BJR16" s="248"/>
      <c r="BJS16" s="248"/>
      <c r="BJT16" s="248"/>
      <c r="BJU16" s="248"/>
      <c r="BJV16" s="248"/>
      <c r="BJW16" s="248"/>
      <c r="BJX16" s="248"/>
      <c r="BJY16" s="248"/>
      <c r="BJZ16" s="248"/>
      <c r="BKA16" s="248"/>
      <c r="BKB16" s="248"/>
      <c r="BKC16" s="248"/>
      <c r="BKD16" s="248"/>
      <c r="BKE16" s="248"/>
      <c r="BKF16" s="248"/>
      <c r="BKG16" s="248"/>
      <c r="BKH16" s="248"/>
      <c r="BKI16" s="248"/>
      <c r="BKJ16" s="248"/>
      <c r="BKK16" s="248"/>
      <c r="BKL16" s="248"/>
      <c r="BKM16" s="248"/>
      <c r="BKN16" s="248"/>
      <c r="BKO16" s="248"/>
      <c r="BKP16" s="248"/>
      <c r="BKQ16" s="248"/>
      <c r="BKR16" s="248"/>
      <c r="BKS16" s="248"/>
      <c r="BKT16" s="248"/>
      <c r="BKU16" s="248"/>
      <c r="BKV16" s="248"/>
    </row>
    <row r="17" spans="1:1660" ht="20.100000000000001" customHeight="1" x14ac:dyDescent="0.25">
      <c r="A17" s="78" t="s">
        <v>26</v>
      </c>
      <c r="B17" s="51" t="str">
        <f>IF(LEN(C19)=0,"",C19)</f>
        <v>Analyse – exigences fonctionnelles</v>
      </c>
      <c r="C17" s="209" t="s">
        <v>46</v>
      </c>
      <c r="D17" s="119" t="str">
        <f t="shared" si="0"/>
        <v>4h 50 min</v>
      </c>
      <c r="E17" s="26">
        <v>58</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251"/>
      <c r="ER17" s="251"/>
      <c r="ES17" s="253"/>
      <c r="ET17" s="251"/>
      <c r="EU17" s="251"/>
      <c r="EV17" s="251"/>
      <c r="EW17" s="251"/>
      <c r="EX17" s="251"/>
      <c r="EY17" s="254"/>
      <c r="EZ17" s="251"/>
      <c r="FA17" s="251"/>
      <c r="FB17" s="251"/>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251"/>
      <c r="HC17" s="251"/>
      <c r="HD17" s="251"/>
      <c r="HE17" s="251"/>
      <c r="HF17" s="251"/>
      <c r="HG17" s="254"/>
      <c r="HH17" s="251"/>
      <c r="HI17" s="251"/>
      <c r="HJ17" s="251"/>
      <c r="HK17" s="251"/>
      <c r="HL17" s="251"/>
      <c r="HM17" s="253"/>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73"/>
      <c r="AYA17" s="248"/>
      <c r="AYB17" s="248"/>
      <c r="AYC17" s="248"/>
      <c r="AYD17" s="248"/>
      <c r="AYE17" s="248"/>
      <c r="AYF17" s="248"/>
      <c r="AYG17" s="248"/>
      <c r="AYH17" s="248"/>
      <c r="AYI17" s="248"/>
      <c r="AYJ17" s="248"/>
      <c r="AYK17" s="248"/>
      <c r="AYL17" s="248"/>
      <c r="AYM17" s="248"/>
      <c r="AYN17" s="248"/>
      <c r="AYO17" s="248"/>
      <c r="AYP17" s="248"/>
      <c r="AYQ17" s="248"/>
      <c r="AYR17" s="248"/>
      <c r="AYS17" s="248"/>
      <c r="AYT17" s="248"/>
      <c r="AYU17" s="248"/>
      <c r="AYV17" s="248"/>
      <c r="AYW17" s="248"/>
      <c r="AYX17" s="248"/>
      <c r="AYY17" s="248"/>
      <c r="AYZ17" s="248"/>
      <c r="AZA17" s="248"/>
      <c r="AZB17" s="248"/>
      <c r="AZC17" s="248"/>
      <c r="AZD17" s="248"/>
      <c r="AZE17" s="248"/>
      <c r="AZF17" s="248"/>
      <c r="AZG17" s="248"/>
      <c r="AZH17" s="248"/>
      <c r="AZI17" s="248"/>
      <c r="AZJ17" s="248"/>
      <c r="AZK17" s="248"/>
      <c r="AZL17" s="248"/>
      <c r="AZM17" s="248"/>
      <c r="AZN17" s="248"/>
      <c r="AZO17" s="248"/>
      <c r="AZP17" s="248"/>
      <c r="AZQ17" s="248"/>
      <c r="AZR17" s="248"/>
      <c r="AZS17" s="248"/>
      <c r="AZT17" s="248"/>
      <c r="AZU17" s="248"/>
      <c r="AZV17" s="248"/>
      <c r="AZW17" s="248"/>
      <c r="AZX17" s="248"/>
      <c r="AZY17" s="248"/>
      <c r="AZZ17" s="248"/>
      <c r="BAA17" s="248"/>
      <c r="BAB17" s="248"/>
      <c r="BAC17" s="248"/>
      <c r="BAD17" s="248"/>
      <c r="BAE17" s="248"/>
      <c r="BAF17" s="248"/>
      <c r="BAG17" s="248"/>
      <c r="BAH17" s="248"/>
      <c r="BAI17" s="248"/>
      <c r="BAJ17" s="248"/>
      <c r="BAK17" s="248"/>
      <c r="BAL17" s="248"/>
      <c r="BAM17" s="248"/>
      <c r="BAN17" s="248"/>
      <c r="BAO17" s="248"/>
      <c r="BAP17" s="248"/>
      <c r="BAQ17" s="248"/>
      <c r="BAR17" s="248"/>
      <c r="BAS17" s="248"/>
      <c r="BAT17" s="248"/>
      <c r="BAU17" s="248"/>
      <c r="BAV17" s="248"/>
      <c r="BAW17" s="248"/>
      <c r="BAX17" s="248"/>
      <c r="BAY17" s="248"/>
      <c r="BAZ17" s="248"/>
      <c r="BBA17" s="248"/>
      <c r="BBB17" s="248"/>
      <c r="BBC17" s="248"/>
      <c r="BBD17" s="248"/>
      <c r="BBE17" s="248"/>
      <c r="BBF17" s="248"/>
      <c r="BBG17" s="248"/>
      <c r="BBH17" s="248"/>
      <c r="BBI17" s="248"/>
      <c r="BBJ17" s="248"/>
      <c r="BBK17" s="248"/>
      <c r="BBL17" s="248"/>
      <c r="BBM17" s="248"/>
      <c r="BBN17" s="248"/>
      <c r="BBO17" s="248"/>
      <c r="BBP17" s="248"/>
      <c r="BBQ17" s="248"/>
      <c r="BBR17" s="248"/>
      <c r="BBS17" s="248"/>
      <c r="BBT17" s="248"/>
      <c r="BBU17" s="248"/>
      <c r="BBV17" s="248"/>
      <c r="BBW17" s="248"/>
      <c r="BBX17" s="248"/>
      <c r="BBY17" s="248"/>
      <c r="BBZ17" s="248"/>
      <c r="BCA17" s="248"/>
      <c r="BCB17" s="248"/>
      <c r="BCC17" s="248"/>
      <c r="BCD17" s="248"/>
      <c r="BCE17" s="248"/>
      <c r="BCF17" s="248"/>
      <c r="BCG17" s="248"/>
      <c r="BCH17" s="248"/>
      <c r="BCI17" s="248"/>
      <c r="BCJ17" s="248"/>
      <c r="BCK17" s="248"/>
      <c r="BCL17" s="248"/>
      <c r="BCM17" s="248"/>
      <c r="BCN17" s="248"/>
      <c r="BCO17" s="248"/>
      <c r="BCP17" s="248"/>
      <c r="BCQ17" s="248"/>
      <c r="BCR17" s="248"/>
      <c r="BCS17" s="248"/>
      <c r="BCT17" s="248"/>
      <c r="BCU17" s="248"/>
      <c r="BCV17" s="248"/>
      <c r="BCW17" s="248"/>
      <c r="BCX17" s="248"/>
      <c r="BCY17" s="248"/>
      <c r="BCZ17" s="248"/>
      <c r="BDA17" s="248"/>
      <c r="BDB17" s="248"/>
      <c r="BDC17" s="248"/>
      <c r="BDD17" s="248"/>
      <c r="BDE17" s="248"/>
      <c r="BDF17" s="248"/>
      <c r="BDG17" s="248"/>
      <c r="BDH17" s="248"/>
      <c r="BDI17" s="248"/>
      <c r="BDJ17" s="248"/>
      <c r="BDK17" s="248"/>
      <c r="BDL17" s="248"/>
      <c r="BDM17" s="248"/>
      <c r="BDN17" s="248"/>
      <c r="BDO17" s="248"/>
      <c r="BDP17" s="248"/>
      <c r="BDQ17" s="248"/>
      <c r="BDR17" s="248"/>
      <c r="BDS17" s="248"/>
      <c r="BDT17" s="248"/>
      <c r="BDU17" s="248"/>
      <c r="BDV17" s="248"/>
      <c r="BDW17" s="248"/>
      <c r="BDX17" s="248"/>
      <c r="BDY17" s="248"/>
      <c r="BDZ17" s="248"/>
      <c r="BEA17" s="248"/>
      <c r="BEB17" s="248"/>
      <c r="BEC17" s="248"/>
      <c r="BED17" s="248"/>
      <c r="BEE17" s="248"/>
      <c r="BEF17" s="248"/>
      <c r="BEG17" s="248"/>
      <c r="BEH17" s="248"/>
      <c r="BEI17" s="248"/>
      <c r="BEJ17" s="248"/>
      <c r="BEK17" s="248"/>
      <c r="BEL17" s="248"/>
      <c r="BEM17" s="248"/>
      <c r="BEN17" s="248"/>
      <c r="BEO17" s="248"/>
      <c r="BEP17" s="248"/>
      <c r="BEQ17" s="248"/>
      <c r="BER17" s="248"/>
      <c r="BES17" s="248"/>
      <c r="BET17" s="248"/>
      <c r="BEU17" s="248"/>
      <c r="BEV17" s="248"/>
      <c r="BEW17" s="248"/>
      <c r="BEX17" s="248"/>
      <c r="BEY17" s="248"/>
      <c r="BEZ17" s="248"/>
      <c r="BFA17" s="248"/>
      <c r="BFB17" s="248"/>
      <c r="BFC17" s="248"/>
      <c r="BFD17" s="248"/>
      <c r="BFE17" s="248"/>
      <c r="BFF17" s="248"/>
      <c r="BFG17" s="248"/>
      <c r="BFH17" s="248"/>
      <c r="BFI17" s="248"/>
      <c r="BFJ17" s="248"/>
      <c r="BFK17" s="248"/>
      <c r="BFL17" s="248"/>
      <c r="BFM17" s="248"/>
      <c r="BFN17" s="248"/>
      <c r="BFO17" s="248"/>
      <c r="BFP17" s="248"/>
      <c r="BFQ17" s="248"/>
      <c r="BFR17" s="248"/>
      <c r="BFS17" s="248"/>
      <c r="BFT17" s="248"/>
      <c r="BFU17" s="248"/>
      <c r="BFV17" s="248"/>
      <c r="BFW17" s="248"/>
      <c r="BFX17" s="248"/>
      <c r="BFY17" s="248"/>
      <c r="BFZ17" s="248"/>
      <c r="BGA17" s="248"/>
      <c r="BGB17" s="248"/>
      <c r="BGC17" s="248"/>
      <c r="BGD17" s="248"/>
      <c r="BGE17" s="248"/>
      <c r="BGF17" s="248"/>
      <c r="BGG17" s="248"/>
      <c r="BGH17" s="248"/>
      <c r="BGI17" s="248"/>
      <c r="BGJ17" s="248"/>
      <c r="BGK17" s="248"/>
      <c r="BGL17" s="248"/>
      <c r="BGM17" s="248"/>
      <c r="BGN17" s="248"/>
      <c r="BGO17" s="248"/>
      <c r="BGP17" s="248"/>
      <c r="BGQ17" s="248"/>
      <c r="BGR17" s="248"/>
      <c r="BGS17" s="248"/>
      <c r="BGT17" s="248"/>
      <c r="BGU17" s="248"/>
      <c r="BGV17" s="248"/>
      <c r="BGW17" s="248"/>
      <c r="BGX17" s="248"/>
      <c r="BGY17" s="248"/>
      <c r="BGZ17" s="248"/>
      <c r="BHA17" s="248"/>
      <c r="BHB17" s="248"/>
      <c r="BHC17" s="248"/>
      <c r="BHD17" s="248"/>
      <c r="BHE17" s="248"/>
      <c r="BHF17" s="248"/>
      <c r="BHG17" s="248"/>
      <c r="BHH17" s="248"/>
      <c r="BHI17" s="248"/>
      <c r="BHJ17" s="248"/>
      <c r="BHK17" s="248"/>
      <c r="BHL17" s="248"/>
      <c r="BHM17" s="248"/>
      <c r="BHN17" s="248"/>
      <c r="BHO17" s="248"/>
      <c r="BHP17" s="248"/>
      <c r="BHQ17" s="248"/>
      <c r="BHR17" s="248"/>
      <c r="BHS17" s="248"/>
      <c r="BHT17" s="248"/>
      <c r="BHU17" s="248"/>
      <c r="BHV17" s="248"/>
      <c r="BHW17" s="248"/>
      <c r="BHX17" s="248"/>
      <c r="BHY17" s="248"/>
      <c r="BHZ17" s="248"/>
      <c r="BIA17" s="248"/>
      <c r="BIB17" s="248"/>
      <c r="BIC17" s="248"/>
      <c r="BID17" s="248"/>
      <c r="BIE17" s="248"/>
      <c r="BIF17" s="248"/>
      <c r="BIG17" s="248"/>
      <c r="BIH17" s="248"/>
      <c r="BII17" s="248"/>
      <c r="BIJ17" s="248"/>
      <c r="BIK17" s="248"/>
      <c r="BIL17" s="248"/>
      <c r="BIM17" s="248"/>
      <c r="BIN17" s="248"/>
      <c r="BIO17" s="248"/>
      <c r="BIP17" s="248"/>
      <c r="BIQ17" s="248"/>
      <c r="BIR17" s="248"/>
      <c r="BIS17" s="248"/>
      <c r="BIT17" s="248"/>
      <c r="BIU17" s="248"/>
      <c r="BIV17" s="248"/>
      <c r="BIW17" s="248"/>
      <c r="BIX17" s="248"/>
      <c r="BIY17" s="248"/>
      <c r="BIZ17" s="248"/>
      <c r="BJA17" s="248"/>
      <c r="BJB17" s="248"/>
      <c r="BJC17" s="248"/>
      <c r="BJD17" s="248"/>
      <c r="BJE17" s="248"/>
      <c r="BJF17" s="248"/>
      <c r="BJG17" s="248"/>
      <c r="BJH17" s="248"/>
      <c r="BJI17" s="248"/>
      <c r="BJJ17" s="248"/>
      <c r="BJK17" s="248"/>
      <c r="BJL17" s="248"/>
      <c r="BJM17" s="248"/>
      <c r="BJN17" s="248"/>
    </row>
    <row r="18" spans="1:1660" ht="20.100000000000001" customHeight="1" x14ac:dyDescent="0.3">
      <c r="A18" s="78" t="s">
        <v>28</v>
      </c>
      <c r="B18" s="51" t="str">
        <f>IF(LEN(C21)=0,"",C21)</f>
        <v>Analyse – modèle de données</v>
      </c>
      <c r="C18" s="210"/>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73"/>
      <c r="AYA18" s="248"/>
      <c r="AYB18" s="248"/>
      <c r="AYC18" s="248"/>
      <c r="AYD18" s="248"/>
      <c r="AYE18" s="248"/>
      <c r="AYF18" s="248"/>
      <c r="AYG18" s="248"/>
      <c r="AYH18" s="248"/>
      <c r="AYI18" s="248"/>
      <c r="AYJ18" s="248"/>
      <c r="AYK18" s="248"/>
      <c r="AYL18" s="248"/>
      <c r="AYM18" s="248"/>
      <c r="AYN18" s="248"/>
      <c r="AYO18" s="248"/>
      <c r="AYP18" s="248"/>
      <c r="AYQ18" s="248"/>
      <c r="AYR18" s="248"/>
      <c r="AYS18" s="248"/>
      <c r="AYT18" s="248"/>
      <c r="AYU18" s="248"/>
      <c r="AYV18" s="248"/>
      <c r="AYW18" s="248"/>
      <c r="AYX18" s="248"/>
      <c r="AYY18" s="248"/>
      <c r="AYZ18" s="248"/>
      <c r="AZA18" s="248"/>
      <c r="AZB18" s="248"/>
      <c r="AZC18" s="248"/>
      <c r="AZD18" s="248"/>
      <c r="AZE18" s="248"/>
      <c r="AZF18" s="248"/>
      <c r="AZG18" s="248"/>
      <c r="AZH18" s="248"/>
      <c r="AZI18" s="248"/>
      <c r="AZJ18" s="248"/>
      <c r="AZK18" s="248"/>
      <c r="AZL18" s="248"/>
      <c r="AZM18" s="248"/>
      <c r="AZN18" s="248"/>
      <c r="AZO18" s="248"/>
      <c r="AZP18" s="248"/>
      <c r="AZQ18" s="248"/>
      <c r="AZR18" s="248"/>
      <c r="AZS18" s="248"/>
      <c r="AZT18" s="248"/>
      <c r="AZU18" s="248"/>
      <c r="AZV18" s="248"/>
      <c r="AZW18" s="248"/>
      <c r="AZX18" s="248"/>
      <c r="AZY18" s="248"/>
      <c r="AZZ18" s="248"/>
      <c r="BAA18" s="248"/>
      <c r="BAB18" s="248"/>
      <c r="BAC18" s="248"/>
      <c r="BAD18" s="248"/>
      <c r="BAE18" s="248"/>
      <c r="BAF18" s="248"/>
      <c r="BAG18" s="248"/>
      <c r="BAH18" s="248"/>
      <c r="BAI18" s="248"/>
      <c r="BAJ18" s="248"/>
      <c r="BAK18" s="248"/>
      <c r="BAL18" s="248"/>
      <c r="BAM18" s="248"/>
      <c r="BAN18" s="248"/>
      <c r="BAO18" s="248"/>
      <c r="BAP18" s="248"/>
      <c r="BAQ18" s="248"/>
      <c r="BAR18" s="248"/>
      <c r="BAS18" s="248"/>
      <c r="BAT18" s="248"/>
      <c r="BAU18" s="248"/>
      <c r="BAV18" s="248"/>
      <c r="BAW18" s="248"/>
      <c r="BAX18" s="248"/>
      <c r="BAY18" s="248"/>
      <c r="BAZ18" s="248"/>
      <c r="BBA18" s="248"/>
      <c r="BBB18" s="248"/>
      <c r="BBC18" s="248"/>
      <c r="BBD18" s="248"/>
      <c r="BBE18" s="248"/>
      <c r="BBF18" s="248"/>
      <c r="BBG18" s="248"/>
      <c r="BBH18" s="248"/>
      <c r="BBI18" s="248"/>
      <c r="BBJ18" s="248"/>
      <c r="BBK18" s="248"/>
      <c r="BBL18" s="248"/>
      <c r="BBM18" s="248"/>
      <c r="BBN18" s="248"/>
      <c r="BBO18" s="248"/>
      <c r="BBP18" s="248"/>
      <c r="BBQ18" s="248"/>
      <c r="BBR18" s="248"/>
      <c r="BBS18" s="248"/>
      <c r="BBT18" s="248"/>
      <c r="BBU18" s="248"/>
      <c r="BBV18" s="248"/>
      <c r="BBW18" s="248"/>
      <c r="BBX18" s="248"/>
      <c r="BBY18" s="248"/>
      <c r="BBZ18" s="248"/>
      <c r="BCA18" s="248"/>
      <c r="BCB18" s="248"/>
      <c r="BCC18" s="248"/>
      <c r="BCD18" s="248"/>
      <c r="BCE18" s="248"/>
      <c r="BCF18" s="248"/>
      <c r="BCG18" s="248"/>
      <c r="BCH18" s="248"/>
      <c r="BCI18" s="248"/>
      <c r="BCJ18" s="248"/>
      <c r="BCK18" s="248"/>
      <c r="BCL18" s="248"/>
      <c r="BCM18" s="248"/>
      <c r="BCN18" s="248"/>
      <c r="BCO18" s="248"/>
      <c r="BCP18" s="248"/>
      <c r="BCQ18" s="248"/>
      <c r="BCR18" s="248"/>
      <c r="BCS18" s="248"/>
      <c r="BCT18" s="248"/>
      <c r="BCU18" s="248"/>
      <c r="BCV18" s="248"/>
      <c r="BCW18" s="248"/>
      <c r="BCX18" s="248"/>
      <c r="BCY18" s="248"/>
      <c r="BCZ18" s="248"/>
      <c r="BDA18" s="248"/>
      <c r="BDB18" s="248"/>
      <c r="BDC18" s="248"/>
      <c r="BDD18" s="248"/>
      <c r="BDE18" s="248"/>
      <c r="BDF18" s="248"/>
      <c r="BDG18" s="248"/>
      <c r="BDH18" s="248"/>
      <c r="BDI18" s="248"/>
      <c r="BDJ18" s="248"/>
      <c r="BDK18" s="248"/>
      <c r="BDL18" s="248"/>
      <c r="BDM18" s="248"/>
      <c r="BDN18" s="248"/>
      <c r="BDO18" s="248"/>
      <c r="BDP18" s="248"/>
      <c r="BDQ18" s="248"/>
      <c r="BDR18" s="248"/>
      <c r="BDS18" s="248"/>
      <c r="BDT18" s="248"/>
      <c r="BDU18" s="248"/>
      <c r="BDV18" s="248"/>
      <c r="BDW18" s="248"/>
      <c r="BDX18" s="248"/>
      <c r="BDY18" s="248"/>
      <c r="BDZ18" s="248"/>
      <c r="BEA18" s="248"/>
      <c r="BEB18" s="248"/>
      <c r="BEC18" s="248"/>
      <c r="BED18" s="248"/>
      <c r="BEE18" s="248"/>
      <c r="BEF18" s="248"/>
      <c r="BEG18" s="248"/>
      <c r="BEH18" s="248"/>
      <c r="BEI18" s="248"/>
      <c r="BEJ18" s="248"/>
      <c r="BEK18" s="248"/>
      <c r="BEL18" s="248"/>
      <c r="BEM18" s="248"/>
      <c r="BEN18" s="248"/>
      <c r="BEO18" s="248"/>
      <c r="BEP18" s="248"/>
      <c r="BEQ18" s="248"/>
      <c r="BER18" s="248"/>
      <c r="BES18" s="248"/>
      <c r="BET18" s="248"/>
      <c r="BEU18" s="248"/>
      <c r="BEV18" s="248"/>
      <c r="BEW18" s="248"/>
      <c r="BEX18" s="248"/>
      <c r="BEY18" s="248"/>
      <c r="BEZ18" s="248"/>
      <c r="BFA18" s="248"/>
      <c r="BFB18" s="248"/>
      <c r="BFC18" s="248"/>
      <c r="BFD18" s="248"/>
      <c r="BFE18" s="248"/>
      <c r="BFF18" s="248"/>
      <c r="BFG18" s="248"/>
      <c r="BFH18" s="248"/>
      <c r="BFI18" s="248"/>
      <c r="BFJ18" s="248"/>
      <c r="BFK18" s="248"/>
      <c r="BFL18" s="248"/>
      <c r="BFM18" s="248"/>
      <c r="BFN18" s="248"/>
      <c r="BFO18" s="248"/>
      <c r="BFP18" s="248"/>
      <c r="BFQ18" s="248"/>
      <c r="BFR18" s="248"/>
      <c r="BFS18" s="248"/>
      <c r="BFT18" s="248"/>
      <c r="BFU18" s="248"/>
      <c r="BFV18" s="248"/>
      <c r="BFW18" s="248"/>
      <c r="BFX18" s="248"/>
      <c r="BFY18" s="248"/>
      <c r="BFZ18" s="248"/>
      <c r="BGA18" s="248"/>
      <c r="BGB18" s="248"/>
      <c r="BGC18" s="248"/>
      <c r="BGD18" s="248"/>
      <c r="BGE18" s="248"/>
      <c r="BGF18" s="248"/>
      <c r="BGG18" s="248"/>
      <c r="BGH18" s="248"/>
      <c r="BGI18" s="248"/>
      <c r="BGJ18" s="248"/>
      <c r="BGK18" s="248"/>
      <c r="BGL18" s="248"/>
      <c r="BGM18" s="248"/>
      <c r="BGN18" s="248"/>
      <c r="BGO18" s="248"/>
      <c r="BGP18" s="248"/>
      <c r="BGQ18" s="248"/>
      <c r="BGR18" s="248"/>
      <c r="BGS18" s="248"/>
      <c r="BGT18" s="248"/>
      <c r="BGU18" s="248"/>
      <c r="BGV18" s="248"/>
      <c r="BGW18" s="248"/>
      <c r="BGX18" s="248"/>
      <c r="BGY18" s="248"/>
      <c r="BGZ18" s="248"/>
      <c r="BHA18" s="248"/>
      <c r="BHB18" s="248"/>
      <c r="BHC18" s="248"/>
      <c r="BHD18" s="248"/>
      <c r="BHE18" s="248"/>
      <c r="BHF18" s="248"/>
      <c r="BHG18" s="248"/>
      <c r="BHH18" s="248"/>
      <c r="BHI18" s="248"/>
      <c r="BHJ18" s="248"/>
      <c r="BHK18" s="248"/>
      <c r="BHL18" s="248"/>
      <c r="BHM18" s="248"/>
      <c r="BHN18" s="248"/>
      <c r="BHO18" s="248"/>
      <c r="BHP18" s="248"/>
      <c r="BHQ18" s="248"/>
      <c r="BHR18" s="248"/>
      <c r="BHS18" s="248"/>
      <c r="BHT18" s="248"/>
      <c r="BHU18" s="248"/>
      <c r="BHV18" s="248"/>
      <c r="BHW18" s="248"/>
      <c r="BHX18" s="248"/>
      <c r="BHY18" s="248"/>
      <c r="BHZ18" s="248"/>
      <c r="BIA18" s="248"/>
      <c r="BIB18" s="248"/>
      <c r="BIC18" s="248"/>
      <c r="BID18" s="248"/>
      <c r="BIE18" s="248"/>
      <c r="BIF18" s="248"/>
      <c r="BIG18" s="248"/>
      <c r="BIH18" s="248"/>
      <c r="BII18" s="248"/>
      <c r="BIJ18" s="248"/>
      <c r="BIK18" s="248"/>
      <c r="BIL18" s="248"/>
      <c r="BIM18" s="248"/>
      <c r="BIN18" s="248"/>
      <c r="BIO18" s="248"/>
      <c r="BIP18" s="248"/>
      <c r="BIQ18" s="248"/>
      <c r="BIR18" s="248"/>
      <c r="BIS18" s="248"/>
      <c r="BIT18" s="248"/>
      <c r="BIU18" s="248"/>
      <c r="BIV18" s="248"/>
      <c r="BIW18" s="248"/>
      <c r="BIX18" s="248"/>
      <c r="BIY18" s="248"/>
      <c r="BIZ18" s="248"/>
      <c r="BJA18" s="248"/>
      <c r="BJB18" s="248"/>
      <c r="BJC18" s="248"/>
      <c r="BJD18" s="248"/>
      <c r="BJE18" s="248"/>
      <c r="BJF18" s="248"/>
      <c r="BJG18" s="248"/>
      <c r="BJH18" s="248"/>
      <c r="BJI18" s="248"/>
      <c r="BJJ18" s="248"/>
      <c r="BJK18" s="248"/>
      <c r="BJL18" s="248"/>
      <c r="BJM18" s="248"/>
      <c r="BJN18" s="248"/>
      <c r="BJO18" s="248"/>
      <c r="BJP18" s="248"/>
      <c r="BJQ18" s="248"/>
      <c r="BJR18" s="248"/>
      <c r="BJS18" s="248"/>
      <c r="BJT18" s="248"/>
      <c r="BJU18" s="248"/>
      <c r="BJV18" s="248"/>
      <c r="BJW18" s="248"/>
      <c r="BJX18" s="248"/>
      <c r="BJY18" s="248"/>
      <c r="BJZ18" s="248"/>
      <c r="BKA18" s="248"/>
      <c r="BKB18" s="248"/>
      <c r="BKC18" s="248"/>
      <c r="BKD18" s="248"/>
      <c r="BKE18" s="248"/>
      <c r="BKF18" s="248"/>
      <c r="BKG18" s="248"/>
      <c r="BKH18" s="248"/>
      <c r="BKI18" s="248"/>
      <c r="BKJ18" s="248"/>
      <c r="BKK18" s="248"/>
      <c r="BKL18" s="248"/>
      <c r="BKM18" s="248"/>
      <c r="BKN18" s="248"/>
      <c r="BKO18" s="248"/>
      <c r="BKP18" s="248"/>
      <c r="BKQ18" s="248"/>
      <c r="BKR18" s="248"/>
      <c r="BKS18" s="248"/>
      <c r="BKT18" s="248"/>
      <c r="BKU18" s="248"/>
      <c r="BKV18" s="248"/>
    </row>
    <row r="19" spans="1:1660" ht="20.100000000000001" customHeight="1" x14ac:dyDescent="0.25">
      <c r="A19" s="78" t="s">
        <v>26</v>
      </c>
      <c r="B19" s="51" t="str">
        <f>IF(LEN(C23)=0,"",C23)</f>
        <v>Analyse - Planification initiale</v>
      </c>
      <c r="C19" s="209" t="s">
        <v>47</v>
      </c>
      <c r="D19" s="119" t="str">
        <f t="shared" si="0"/>
        <v>3h 30 min</v>
      </c>
      <c r="E19" s="34">
        <v>42</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59"/>
      <c r="NT19" s="255"/>
      <c r="NU19" s="255"/>
      <c r="NV19" s="255"/>
      <c r="NW19" s="255"/>
      <c r="NX19" s="255"/>
      <c r="NY19" s="258"/>
      <c r="NZ19" s="255"/>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73"/>
      <c r="AYA19" s="248"/>
      <c r="AYB19" s="248"/>
      <c r="AYC19" s="248"/>
      <c r="AYD19" s="248"/>
      <c r="AYE19" s="248"/>
      <c r="AYF19" s="248"/>
      <c r="AYG19" s="248"/>
      <c r="AYH19" s="248"/>
      <c r="AYI19" s="248"/>
      <c r="AYJ19" s="248"/>
      <c r="AYK19" s="248"/>
      <c r="AYL19" s="248"/>
      <c r="AYM19" s="248"/>
      <c r="AYN19" s="248"/>
      <c r="AYO19" s="248"/>
      <c r="AYP19" s="248"/>
      <c r="AYQ19" s="248"/>
      <c r="AYR19" s="248"/>
      <c r="AYS19" s="248"/>
      <c r="AYT19" s="248"/>
      <c r="AYU19" s="248"/>
      <c r="AYV19" s="248"/>
      <c r="AYW19" s="248"/>
      <c r="AYX19" s="248"/>
      <c r="AYY19" s="248"/>
      <c r="AYZ19" s="248"/>
      <c r="AZA19" s="248"/>
      <c r="AZB19" s="248"/>
      <c r="AZC19" s="248"/>
      <c r="AZD19" s="248"/>
      <c r="AZE19" s="248"/>
      <c r="AZF19" s="248"/>
      <c r="AZG19" s="248"/>
      <c r="AZH19" s="248"/>
      <c r="AZI19" s="248"/>
      <c r="AZJ19" s="248"/>
      <c r="AZK19" s="248"/>
      <c r="AZL19" s="248"/>
      <c r="AZM19" s="248"/>
      <c r="AZN19" s="248"/>
      <c r="AZO19" s="248"/>
      <c r="AZP19" s="248"/>
      <c r="AZQ19" s="248"/>
      <c r="AZR19" s="248"/>
      <c r="AZS19" s="248"/>
      <c r="AZT19" s="248"/>
      <c r="AZU19" s="248"/>
      <c r="AZV19" s="248"/>
      <c r="AZW19" s="248"/>
      <c r="AZX19" s="248"/>
      <c r="AZY19" s="248"/>
      <c r="AZZ19" s="248"/>
      <c r="BAA19" s="248"/>
      <c r="BAB19" s="248"/>
      <c r="BAC19" s="248"/>
      <c r="BAD19" s="248"/>
      <c r="BAE19" s="248"/>
      <c r="BAF19" s="248"/>
      <c r="BAG19" s="248"/>
      <c r="BAH19" s="248"/>
      <c r="BAI19" s="248"/>
      <c r="BAJ19" s="248"/>
      <c r="BAK19" s="248"/>
      <c r="BAL19" s="248"/>
      <c r="BAM19" s="248"/>
      <c r="BAN19" s="248"/>
      <c r="BAO19" s="248"/>
      <c r="BAP19" s="248"/>
      <c r="BAQ19" s="248"/>
      <c r="BAR19" s="248"/>
      <c r="BAS19" s="248"/>
      <c r="BAT19" s="248"/>
      <c r="BAU19" s="248"/>
      <c r="BAV19" s="248"/>
      <c r="BAW19" s="248"/>
      <c r="BAX19" s="248"/>
      <c r="BAY19" s="248"/>
      <c r="BAZ19" s="248"/>
      <c r="BBA19" s="248"/>
      <c r="BBB19" s="248"/>
      <c r="BBC19" s="248"/>
      <c r="BBD19" s="248"/>
      <c r="BBE19" s="248"/>
      <c r="BBF19" s="248"/>
      <c r="BBG19" s="248"/>
      <c r="BBH19" s="248"/>
      <c r="BBI19" s="248"/>
      <c r="BBJ19" s="248"/>
      <c r="BBK19" s="248"/>
      <c r="BBL19" s="248"/>
      <c r="BBM19" s="248"/>
      <c r="BBN19" s="248"/>
      <c r="BBO19" s="248"/>
      <c r="BBP19" s="248"/>
      <c r="BBQ19" s="248"/>
      <c r="BBR19" s="248"/>
      <c r="BBS19" s="248"/>
      <c r="BBT19" s="248"/>
      <c r="BBU19" s="248"/>
      <c r="BBV19" s="248"/>
      <c r="BBW19" s="248"/>
      <c r="BBX19" s="248"/>
      <c r="BBY19" s="248"/>
      <c r="BBZ19" s="248"/>
      <c r="BCA19" s="248"/>
      <c r="BCB19" s="248"/>
      <c r="BCC19" s="248"/>
      <c r="BCD19" s="248"/>
      <c r="BCE19" s="248"/>
      <c r="BCF19" s="248"/>
      <c r="BCG19" s="248"/>
      <c r="BCH19" s="248"/>
      <c r="BCI19" s="248"/>
      <c r="BCJ19" s="248"/>
      <c r="BCK19" s="248"/>
      <c r="BCL19" s="248"/>
      <c r="BCM19" s="248"/>
      <c r="BCN19" s="248"/>
      <c r="BCO19" s="248"/>
      <c r="BCP19" s="248"/>
      <c r="BCQ19" s="248"/>
      <c r="BCR19" s="248"/>
      <c r="BCS19" s="248"/>
      <c r="BCT19" s="248"/>
      <c r="BCU19" s="248"/>
      <c r="BCV19" s="248"/>
      <c r="BCW19" s="248"/>
      <c r="BCX19" s="248"/>
      <c r="BCY19" s="248"/>
      <c r="BCZ19" s="248"/>
      <c r="BDA19" s="248"/>
      <c r="BDB19" s="248"/>
      <c r="BDC19" s="248"/>
      <c r="BDD19" s="248"/>
      <c r="BDE19" s="248"/>
      <c r="BDF19" s="248"/>
      <c r="BDG19" s="248"/>
      <c r="BDH19" s="248"/>
      <c r="BDI19" s="248"/>
      <c r="BDJ19" s="248"/>
      <c r="BDK19" s="248"/>
      <c r="BDL19" s="248"/>
      <c r="BDM19" s="248"/>
      <c r="BDN19" s="248"/>
      <c r="BDO19" s="248"/>
      <c r="BDP19" s="248"/>
      <c r="BDQ19" s="248"/>
      <c r="BDR19" s="248"/>
      <c r="BDS19" s="248"/>
      <c r="BDT19" s="248"/>
      <c r="BDU19" s="248"/>
      <c r="BDV19" s="248"/>
      <c r="BDW19" s="248"/>
      <c r="BDX19" s="248"/>
      <c r="BDY19" s="248"/>
      <c r="BDZ19" s="248"/>
      <c r="BEA19" s="248"/>
      <c r="BEB19" s="248"/>
      <c r="BEC19" s="248"/>
      <c r="BED19" s="248"/>
      <c r="BEE19" s="248"/>
      <c r="BEF19" s="248"/>
      <c r="BEG19" s="248"/>
      <c r="BEH19" s="248"/>
      <c r="BEI19" s="248"/>
      <c r="BEJ19" s="248"/>
      <c r="BEK19" s="248"/>
      <c r="BEL19" s="248"/>
      <c r="BEM19" s="248"/>
      <c r="BEN19" s="248"/>
      <c r="BEO19" s="248"/>
      <c r="BEP19" s="248"/>
      <c r="BEQ19" s="248"/>
      <c r="BER19" s="248"/>
      <c r="BES19" s="248"/>
      <c r="BET19" s="248"/>
      <c r="BEU19" s="248"/>
      <c r="BEV19" s="248"/>
      <c r="BEW19" s="248"/>
      <c r="BEX19" s="248"/>
      <c r="BEY19" s="248"/>
      <c r="BEZ19" s="248"/>
      <c r="BFA19" s="248"/>
      <c r="BFB19" s="248"/>
      <c r="BFC19" s="248"/>
      <c r="BFD19" s="248"/>
      <c r="BFE19" s="248"/>
      <c r="BFF19" s="248"/>
      <c r="BFG19" s="248"/>
      <c r="BFH19" s="248"/>
      <c r="BFI19" s="248"/>
      <c r="BFJ19" s="248"/>
      <c r="BFK19" s="248"/>
      <c r="BFL19" s="248"/>
      <c r="BFM19" s="248"/>
      <c r="BFN19" s="248"/>
      <c r="BFO19" s="248"/>
      <c r="BFP19" s="248"/>
      <c r="BFQ19" s="248"/>
      <c r="BFR19" s="248"/>
      <c r="BFS19" s="248"/>
      <c r="BFT19" s="248"/>
      <c r="BFU19" s="248"/>
      <c r="BFV19" s="248"/>
      <c r="BFW19" s="248"/>
      <c r="BFX19" s="248"/>
      <c r="BFY19" s="248"/>
      <c r="BFZ19" s="248"/>
      <c r="BGA19" s="248"/>
      <c r="BGB19" s="248"/>
      <c r="BGC19" s="248"/>
      <c r="BGD19" s="248"/>
      <c r="BGE19" s="248"/>
      <c r="BGF19" s="248"/>
      <c r="BGG19" s="248"/>
      <c r="BGH19" s="248"/>
      <c r="BGI19" s="248"/>
      <c r="BGJ19" s="248"/>
      <c r="BGK19" s="248"/>
      <c r="BGL19" s="248"/>
      <c r="BGM19" s="248"/>
      <c r="BGN19" s="248"/>
      <c r="BGO19" s="248"/>
      <c r="BGP19" s="248"/>
      <c r="BGQ19" s="248"/>
      <c r="BGR19" s="248"/>
      <c r="BGS19" s="248"/>
      <c r="BGT19" s="248"/>
      <c r="BGU19" s="248"/>
      <c r="BGV19" s="248"/>
      <c r="BGW19" s="248"/>
      <c r="BGX19" s="248"/>
      <c r="BGY19" s="248"/>
      <c r="BGZ19" s="248"/>
      <c r="BHA19" s="248"/>
      <c r="BHB19" s="248"/>
      <c r="BHC19" s="248"/>
      <c r="BHD19" s="248"/>
      <c r="BHE19" s="248"/>
      <c r="BHF19" s="248"/>
      <c r="BHG19" s="248"/>
      <c r="BHH19" s="248"/>
      <c r="BHI19" s="248"/>
      <c r="BHJ19" s="248"/>
      <c r="BHK19" s="248"/>
      <c r="BHL19" s="248"/>
      <c r="BHM19" s="248"/>
      <c r="BHN19" s="248"/>
      <c r="BHO19" s="248"/>
      <c r="BHP19" s="248"/>
      <c r="BHQ19" s="248"/>
      <c r="BHR19" s="248"/>
      <c r="BHS19" s="248"/>
      <c r="BHT19" s="248"/>
      <c r="BHU19" s="248"/>
      <c r="BHV19" s="248"/>
      <c r="BHW19" s="248"/>
      <c r="BHX19" s="248"/>
      <c r="BHY19" s="248"/>
      <c r="BHZ19" s="248"/>
      <c r="BIA19" s="248"/>
      <c r="BIB19" s="248"/>
      <c r="BIC19" s="248"/>
      <c r="BID19" s="248"/>
      <c r="BIE19" s="248"/>
      <c r="BIF19" s="248"/>
      <c r="BIG19" s="248"/>
      <c r="BIH19" s="248"/>
      <c r="BII19" s="248"/>
      <c r="BIJ19" s="248"/>
      <c r="BIK19" s="248"/>
      <c r="BIL19" s="248"/>
      <c r="BIM19" s="248"/>
      <c r="BIN19" s="248"/>
      <c r="BIO19" s="248"/>
      <c r="BIP19" s="248"/>
      <c r="BIQ19" s="248"/>
      <c r="BIR19" s="248"/>
      <c r="BIS19" s="248"/>
      <c r="BIT19" s="248"/>
      <c r="BIU19" s="248"/>
      <c r="BIV19" s="248"/>
      <c r="BIW19" s="248"/>
      <c r="BIX19" s="248"/>
      <c r="BIY19" s="248"/>
      <c r="BIZ19" s="248"/>
      <c r="BJA19" s="248"/>
      <c r="BJB19" s="248"/>
      <c r="BJC19" s="248"/>
      <c r="BJD19" s="248"/>
      <c r="BJE19" s="248"/>
      <c r="BJF19" s="248"/>
      <c r="BJG19" s="248"/>
      <c r="BJH19" s="248"/>
      <c r="BJI19" s="248"/>
      <c r="BJJ19" s="248"/>
      <c r="BJK19" s="248"/>
      <c r="BJL19" s="248"/>
      <c r="BJM19" s="248"/>
      <c r="BJN19" s="248"/>
    </row>
    <row r="20" spans="1:1660" ht="20.100000000000001" customHeight="1" x14ac:dyDescent="0.25">
      <c r="A20" s="78" t="s">
        <v>28</v>
      </c>
      <c r="B20" s="51" t="str">
        <f>IF(LEN(C25)=0,"",C25)</f>
        <v>Analyse – scénarios</v>
      </c>
      <c r="C20" s="210"/>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73"/>
      <c r="AYA20" s="248"/>
      <c r="AYB20" s="248"/>
      <c r="AYC20" s="248"/>
      <c r="AYD20" s="248"/>
      <c r="AYE20" s="248"/>
      <c r="AYF20" s="248"/>
      <c r="AYG20" s="248"/>
      <c r="AYH20" s="248"/>
      <c r="AYI20" s="248"/>
      <c r="AYJ20" s="248"/>
      <c r="AYK20" s="248"/>
      <c r="AYL20" s="248"/>
      <c r="AYM20" s="248"/>
      <c r="AYN20" s="248"/>
      <c r="AYO20" s="248"/>
      <c r="AYP20" s="248"/>
      <c r="AYQ20" s="248"/>
      <c r="AYR20" s="248"/>
      <c r="AYS20" s="248"/>
      <c r="AYT20" s="248"/>
      <c r="AYU20" s="248"/>
      <c r="AYV20" s="248"/>
      <c r="AYW20" s="248"/>
      <c r="AYX20" s="248"/>
      <c r="AYY20" s="248"/>
      <c r="AYZ20" s="248"/>
      <c r="AZA20" s="248"/>
      <c r="AZB20" s="248"/>
      <c r="AZC20" s="248"/>
      <c r="AZD20" s="248"/>
      <c r="AZE20" s="248"/>
      <c r="AZF20" s="248"/>
      <c r="AZG20" s="248"/>
      <c r="AZH20" s="248"/>
      <c r="AZI20" s="248"/>
      <c r="AZJ20" s="248"/>
      <c r="AZK20" s="248"/>
      <c r="AZL20" s="248"/>
      <c r="AZM20" s="248"/>
      <c r="AZN20" s="248"/>
      <c r="AZO20" s="248"/>
      <c r="AZP20" s="248"/>
      <c r="AZQ20" s="248"/>
      <c r="AZR20" s="248"/>
      <c r="AZS20" s="248"/>
      <c r="AZT20" s="248"/>
      <c r="AZU20" s="248"/>
      <c r="AZV20" s="248"/>
      <c r="AZW20" s="248"/>
      <c r="AZX20" s="248"/>
      <c r="AZY20" s="248"/>
      <c r="AZZ20" s="248"/>
      <c r="BAA20" s="248"/>
      <c r="BAB20" s="248"/>
      <c r="BAC20" s="248"/>
      <c r="BAD20" s="248"/>
      <c r="BAE20" s="248"/>
      <c r="BAF20" s="248"/>
      <c r="BAG20" s="248"/>
      <c r="BAH20" s="248"/>
      <c r="BAI20" s="248"/>
      <c r="BAJ20" s="248"/>
      <c r="BAK20" s="248"/>
      <c r="BAL20" s="248"/>
      <c r="BAM20" s="248"/>
      <c r="BAN20" s="248"/>
      <c r="BAO20" s="248"/>
      <c r="BAP20" s="248"/>
      <c r="BAQ20" s="248"/>
      <c r="BAR20" s="248"/>
      <c r="BAS20" s="248"/>
      <c r="BAT20" s="248"/>
      <c r="BAU20" s="248"/>
      <c r="BAV20" s="248"/>
      <c r="BAW20" s="248"/>
      <c r="BAX20" s="248"/>
      <c r="BAY20" s="248"/>
      <c r="BAZ20" s="248"/>
      <c r="BBA20" s="248"/>
      <c r="BBB20" s="248"/>
      <c r="BBC20" s="248"/>
      <c r="BBD20" s="248"/>
      <c r="BBE20" s="248"/>
      <c r="BBF20" s="248"/>
      <c r="BBG20" s="248"/>
      <c r="BBH20" s="248"/>
      <c r="BBI20" s="248"/>
      <c r="BBJ20" s="248"/>
      <c r="BBK20" s="248"/>
      <c r="BBL20" s="248"/>
      <c r="BBM20" s="248"/>
      <c r="BBN20" s="248"/>
      <c r="BBO20" s="248"/>
      <c r="BBP20" s="248"/>
      <c r="BBQ20" s="248"/>
      <c r="BBR20" s="248"/>
      <c r="BBS20" s="248"/>
      <c r="BBT20" s="248"/>
      <c r="BBU20" s="248"/>
      <c r="BBV20" s="248"/>
      <c r="BBW20" s="248"/>
      <c r="BBX20" s="248"/>
      <c r="BBY20" s="248"/>
      <c r="BBZ20" s="248"/>
      <c r="BCA20" s="248"/>
      <c r="BCB20" s="248"/>
      <c r="BCC20" s="248"/>
      <c r="BCD20" s="248"/>
      <c r="BCE20" s="248"/>
      <c r="BCF20" s="248"/>
      <c r="BCG20" s="248"/>
      <c r="BCH20" s="248"/>
      <c r="BCI20" s="248"/>
      <c r="BCJ20" s="248"/>
      <c r="BCK20" s="248"/>
      <c r="BCL20" s="248"/>
      <c r="BCM20" s="248"/>
      <c r="BCN20" s="248"/>
      <c r="BCO20" s="248"/>
      <c r="BCP20" s="248"/>
      <c r="BCQ20" s="248"/>
      <c r="BCR20" s="248"/>
      <c r="BCS20" s="248"/>
      <c r="BCT20" s="248"/>
      <c r="BCU20" s="248"/>
      <c r="BCV20" s="248"/>
      <c r="BCW20" s="248"/>
      <c r="BCX20" s="248"/>
      <c r="BCY20" s="248"/>
      <c r="BCZ20" s="248"/>
      <c r="BDA20" s="248"/>
      <c r="BDB20" s="248"/>
      <c r="BDC20" s="248"/>
      <c r="BDD20" s="248"/>
      <c r="BDE20" s="248"/>
      <c r="BDF20" s="248"/>
      <c r="BDG20" s="248"/>
      <c r="BDH20" s="248"/>
      <c r="BDI20" s="248"/>
      <c r="BDJ20" s="248"/>
      <c r="BDK20" s="248"/>
      <c r="BDL20" s="248"/>
      <c r="BDM20" s="248"/>
      <c r="BDN20" s="248"/>
      <c r="BDO20" s="248"/>
      <c r="BDP20" s="248"/>
      <c r="BDQ20" s="248"/>
      <c r="BDR20" s="248"/>
      <c r="BDS20" s="248"/>
      <c r="BDT20" s="248"/>
      <c r="BDU20" s="248"/>
      <c r="BDV20" s="248"/>
      <c r="BDW20" s="248"/>
      <c r="BDX20" s="248"/>
      <c r="BDY20" s="248"/>
      <c r="BDZ20" s="248"/>
      <c r="BEA20" s="248"/>
      <c r="BEB20" s="248"/>
      <c r="BEC20" s="248"/>
      <c r="BED20" s="248"/>
      <c r="BEE20" s="248"/>
      <c r="BEF20" s="248"/>
      <c r="BEG20" s="248"/>
      <c r="BEH20" s="248"/>
      <c r="BEI20" s="248"/>
      <c r="BEJ20" s="248"/>
      <c r="BEK20" s="248"/>
      <c r="BEL20" s="248"/>
      <c r="BEM20" s="248"/>
      <c r="BEN20" s="248"/>
      <c r="BEO20" s="248"/>
      <c r="BEP20" s="248"/>
      <c r="BEQ20" s="248"/>
      <c r="BER20" s="248"/>
      <c r="BES20" s="248"/>
      <c r="BET20" s="248"/>
      <c r="BEU20" s="248"/>
      <c r="BEV20" s="248"/>
      <c r="BEW20" s="248"/>
      <c r="BEX20" s="248"/>
      <c r="BEY20" s="248"/>
      <c r="BEZ20" s="248"/>
      <c r="BFA20" s="248"/>
      <c r="BFB20" s="248"/>
      <c r="BFC20" s="248"/>
      <c r="BFD20" s="248"/>
      <c r="BFE20" s="248"/>
      <c r="BFF20" s="248"/>
      <c r="BFG20" s="248"/>
      <c r="BFH20" s="248"/>
      <c r="BFI20" s="248"/>
      <c r="BFJ20" s="248"/>
      <c r="BFK20" s="248"/>
      <c r="BFL20" s="248"/>
      <c r="BFM20" s="248"/>
      <c r="BFN20" s="248"/>
      <c r="BFO20" s="248"/>
      <c r="BFP20" s="248"/>
      <c r="BFQ20" s="248"/>
      <c r="BFR20" s="248"/>
      <c r="BFS20" s="248"/>
      <c r="BFT20" s="248"/>
      <c r="BFU20" s="248"/>
      <c r="BFV20" s="248"/>
      <c r="BFW20" s="248"/>
      <c r="BFX20" s="248"/>
      <c r="BFY20" s="248"/>
      <c r="BFZ20" s="248"/>
      <c r="BGA20" s="248"/>
      <c r="BGB20" s="248"/>
      <c r="BGC20" s="248"/>
      <c r="BGD20" s="248"/>
      <c r="BGE20" s="248"/>
      <c r="BGF20" s="248"/>
      <c r="BGG20" s="248"/>
      <c r="BGH20" s="248"/>
      <c r="BGI20" s="248"/>
      <c r="BGJ20" s="248"/>
      <c r="BGK20" s="248"/>
      <c r="BGL20" s="248"/>
      <c r="BGM20" s="248"/>
      <c r="BGN20" s="248"/>
      <c r="BGO20" s="248"/>
      <c r="BGP20" s="248"/>
      <c r="BGQ20" s="248"/>
      <c r="BGR20" s="248"/>
      <c r="BGS20" s="248"/>
      <c r="BGT20" s="248"/>
      <c r="BGU20" s="248"/>
      <c r="BGV20" s="248"/>
      <c r="BGW20" s="248"/>
      <c r="BGX20" s="248"/>
      <c r="BGY20" s="248"/>
      <c r="BGZ20" s="248"/>
      <c r="BHA20" s="248"/>
      <c r="BHB20" s="248"/>
      <c r="BHC20" s="248"/>
      <c r="BHD20" s="248"/>
      <c r="BHE20" s="248"/>
      <c r="BHF20" s="248"/>
      <c r="BHG20" s="248"/>
      <c r="BHH20" s="248"/>
      <c r="BHI20" s="248"/>
      <c r="BHJ20" s="248"/>
      <c r="BHK20" s="248"/>
      <c r="BHL20" s="248"/>
      <c r="BHM20" s="248"/>
      <c r="BHN20" s="248"/>
      <c r="BHO20" s="248"/>
      <c r="BHP20" s="248"/>
      <c r="BHQ20" s="248"/>
      <c r="BHR20" s="248"/>
      <c r="BHS20" s="248"/>
      <c r="BHT20" s="248"/>
      <c r="BHU20" s="248"/>
      <c r="BHV20" s="248"/>
      <c r="BHW20" s="248"/>
      <c r="BHX20" s="248"/>
      <c r="BHY20" s="248"/>
      <c r="BHZ20" s="248"/>
      <c r="BIA20" s="248"/>
      <c r="BIB20" s="248"/>
      <c r="BIC20" s="248"/>
      <c r="BID20" s="248"/>
      <c r="BIE20" s="248"/>
      <c r="BIF20" s="248"/>
      <c r="BIG20" s="248"/>
      <c r="BIH20" s="248"/>
      <c r="BII20" s="248"/>
      <c r="BIJ20" s="248"/>
      <c r="BIK20" s="248"/>
      <c r="BIL20" s="248"/>
      <c r="BIM20" s="248"/>
      <c r="BIN20" s="248"/>
      <c r="BIO20" s="248"/>
      <c r="BIP20" s="248"/>
      <c r="BIQ20" s="248"/>
      <c r="BIR20" s="248"/>
      <c r="BIS20" s="248"/>
      <c r="BIT20" s="248"/>
      <c r="BIU20" s="248"/>
      <c r="BIV20" s="248"/>
      <c r="BIW20" s="248"/>
      <c r="BIX20" s="248"/>
      <c r="BIY20" s="248"/>
      <c r="BIZ20" s="248"/>
      <c r="BJA20" s="248"/>
      <c r="BJB20" s="248"/>
      <c r="BJC20" s="248"/>
      <c r="BJD20" s="248"/>
      <c r="BJE20" s="248"/>
      <c r="BJF20" s="248"/>
      <c r="BJG20" s="248"/>
      <c r="BJH20" s="248"/>
      <c r="BJI20" s="248"/>
      <c r="BJJ20" s="248"/>
      <c r="BJK20" s="248"/>
      <c r="BJL20" s="248"/>
      <c r="BJM20" s="248"/>
      <c r="BJN20" s="248"/>
      <c r="BJO20" s="248"/>
      <c r="BJP20" s="248"/>
      <c r="BJQ20" s="248"/>
      <c r="BJR20" s="248"/>
      <c r="BJS20" s="248"/>
      <c r="BJT20" s="248"/>
      <c r="BJU20" s="248"/>
      <c r="BJV20" s="248"/>
      <c r="BJW20" s="248"/>
      <c r="BJX20" s="248"/>
      <c r="BJY20" s="248"/>
      <c r="BJZ20" s="248"/>
      <c r="BKA20" s="248"/>
      <c r="BKB20" s="248"/>
      <c r="BKC20" s="248"/>
      <c r="BKD20" s="248"/>
      <c r="BKE20" s="248"/>
      <c r="BKF20" s="248"/>
      <c r="BKG20" s="248"/>
      <c r="BKH20" s="248"/>
      <c r="BKI20" s="248"/>
      <c r="BKJ20" s="248"/>
      <c r="BKK20" s="248"/>
      <c r="BKL20" s="248"/>
      <c r="BKM20" s="248"/>
      <c r="BKN20" s="248"/>
      <c r="BKO20" s="248"/>
      <c r="BKP20" s="248"/>
      <c r="BKQ20" s="248"/>
      <c r="BKR20" s="248"/>
      <c r="BKS20" s="248"/>
      <c r="BKT20" s="248"/>
      <c r="BKU20" s="248"/>
      <c r="BKV20" s="248"/>
    </row>
    <row r="21" spans="1:1660" ht="20.100000000000001" customHeight="1" x14ac:dyDescent="0.25">
      <c r="A21" s="78" t="s">
        <v>26</v>
      </c>
      <c r="B21" s="51" t="str">
        <f>IF(LEN(C27)=0,"",C27)</f>
        <v>Conception - Backend</v>
      </c>
      <c r="C21" s="209" t="s">
        <v>48</v>
      </c>
      <c r="D21" s="119" t="str">
        <f t="shared" si="0"/>
        <v>5h 20 min</v>
      </c>
      <c r="E21" s="26">
        <v>64</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251"/>
      <c r="CB21" s="251"/>
      <c r="CC21" s="251"/>
      <c r="CD21" s="251"/>
      <c r="CE21" s="254"/>
      <c r="CF21" s="251"/>
      <c r="CG21" s="251"/>
      <c r="CH21" s="251"/>
      <c r="CI21" s="251"/>
      <c r="CJ21" s="251"/>
      <c r="CK21" s="253"/>
      <c r="CL21" s="251"/>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250"/>
      <c r="DW21" s="251"/>
      <c r="DX21" s="251"/>
      <c r="DY21" s="251"/>
      <c r="DZ21" s="251"/>
      <c r="EA21" s="252"/>
      <c r="EB21" s="251"/>
      <c r="EC21" s="251"/>
      <c r="ED21" s="251"/>
      <c r="EE21" s="251"/>
      <c r="EF21" s="251"/>
      <c r="EG21" s="253"/>
      <c r="EH21" s="251"/>
      <c r="EI21" s="251"/>
      <c r="EJ21" s="251"/>
      <c r="EK21" s="251"/>
      <c r="EL21" s="251"/>
      <c r="EM21" s="254"/>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73"/>
      <c r="AYA21" s="248"/>
      <c r="AYB21" s="248"/>
      <c r="AYC21" s="248"/>
      <c r="AYD21" s="248"/>
      <c r="AYE21" s="248"/>
      <c r="AYF21" s="248"/>
      <c r="AYG21" s="248"/>
      <c r="AYH21" s="248"/>
      <c r="AYI21" s="248"/>
      <c r="AYJ21" s="248"/>
      <c r="AYK21" s="248"/>
      <c r="AYL21" s="248"/>
      <c r="AYM21" s="248"/>
      <c r="AYN21" s="248"/>
      <c r="AYO21" s="248"/>
      <c r="AYP21" s="248"/>
      <c r="AYQ21" s="248"/>
      <c r="AYR21" s="248"/>
      <c r="AYS21" s="248"/>
      <c r="AYT21" s="248"/>
      <c r="AYU21" s="248"/>
      <c r="AYV21" s="248"/>
      <c r="AYW21" s="248"/>
      <c r="AYX21" s="248"/>
      <c r="AYY21" s="248"/>
      <c r="AYZ21" s="248"/>
      <c r="AZA21" s="248"/>
      <c r="AZB21" s="248"/>
      <c r="AZC21" s="248"/>
      <c r="AZD21" s="248"/>
      <c r="AZE21" s="248"/>
      <c r="AZF21" s="248"/>
      <c r="AZG21" s="248"/>
      <c r="AZH21" s="248"/>
      <c r="AZI21" s="248"/>
      <c r="AZJ21" s="248"/>
      <c r="AZK21" s="248"/>
      <c r="AZL21" s="248"/>
      <c r="AZM21" s="248"/>
      <c r="AZN21" s="248"/>
      <c r="AZO21" s="248"/>
      <c r="AZP21" s="248"/>
      <c r="AZQ21" s="248"/>
      <c r="AZR21" s="248"/>
      <c r="AZS21" s="248"/>
      <c r="AZT21" s="248"/>
      <c r="AZU21" s="248"/>
      <c r="AZV21" s="248"/>
      <c r="AZW21" s="248"/>
      <c r="AZX21" s="248"/>
      <c r="AZY21" s="248"/>
      <c r="AZZ21" s="248"/>
      <c r="BAA21" s="248"/>
      <c r="BAB21" s="248"/>
      <c r="BAC21" s="248"/>
      <c r="BAD21" s="248"/>
      <c r="BAE21" s="248"/>
      <c r="BAF21" s="248"/>
      <c r="BAG21" s="248"/>
      <c r="BAH21" s="248"/>
      <c r="BAI21" s="248"/>
      <c r="BAJ21" s="248"/>
      <c r="BAK21" s="248"/>
      <c r="BAL21" s="248"/>
      <c r="BAM21" s="248"/>
      <c r="BAN21" s="248"/>
      <c r="BAO21" s="248"/>
      <c r="BAP21" s="248"/>
      <c r="BAQ21" s="248"/>
      <c r="BAR21" s="248"/>
      <c r="BAS21" s="248"/>
      <c r="BAT21" s="248"/>
      <c r="BAU21" s="248"/>
      <c r="BAV21" s="248"/>
      <c r="BAW21" s="248"/>
      <c r="BAX21" s="248"/>
      <c r="BAY21" s="248"/>
      <c r="BAZ21" s="248"/>
      <c r="BBA21" s="248"/>
      <c r="BBB21" s="248"/>
      <c r="BBC21" s="248"/>
      <c r="BBD21" s="248"/>
      <c r="BBE21" s="248"/>
      <c r="BBF21" s="248"/>
      <c r="BBG21" s="248"/>
      <c r="BBH21" s="248"/>
      <c r="BBI21" s="248"/>
      <c r="BBJ21" s="248"/>
      <c r="BBK21" s="248"/>
      <c r="BBL21" s="248"/>
      <c r="BBM21" s="248"/>
      <c r="BBN21" s="248"/>
      <c r="BBO21" s="248"/>
      <c r="BBP21" s="248"/>
      <c r="BBQ21" s="248"/>
      <c r="BBR21" s="248"/>
      <c r="BBS21" s="248"/>
      <c r="BBT21" s="248"/>
      <c r="BBU21" s="248"/>
      <c r="BBV21" s="248"/>
      <c r="BBW21" s="248"/>
      <c r="BBX21" s="248"/>
      <c r="BBY21" s="248"/>
      <c r="BBZ21" s="248"/>
      <c r="BCA21" s="248"/>
      <c r="BCB21" s="248"/>
      <c r="BCC21" s="248"/>
      <c r="BCD21" s="248"/>
      <c r="BCE21" s="248"/>
      <c r="BCF21" s="248"/>
      <c r="BCG21" s="248"/>
      <c r="BCH21" s="248"/>
      <c r="BCI21" s="248"/>
      <c r="BCJ21" s="248"/>
      <c r="BCK21" s="248"/>
      <c r="BCL21" s="248"/>
      <c r="BCM21" s="248"/>
      <c r="BCN21" s="248"/>
      <c r="BCO21" s="248"/>
      <c r="BCP21" s="248"/>
      <c r="BCQ21" s="248"/>
      <c r="BCR21" s="248"/>
      <c r="BCS21" s="248"/>
      <c r="BCT21" s="248"/>
      <c r="BCU21" s="248"/>
      <c r="BCV21" s="248"/>
      <c r="BCW21" s="248"/>
      <c r="BCX21" s="248"/>
      <c r="BCY21" s="248"/>
      <c r="BCZ21" s="248"/>
      <c r="BDA21" s="248"/>
      <c r="BDB21" s="248"/>
      <c r="BDC21" s="248"/>
      <c r="BDD21" s="248"/>
      <c r="BDE21" s="248"/>
      <c r="BDF21" s="248"/>
      <c r="BDG21" s="248"/>
      <c r="BDH21" s="248"/>
      <c r="BDI21" s="248"/>
      <c r="BDJ21" s="248"/>
      <c r="BDK21" s="248"/>
      <c r="BDL21" s="248"/>
      <c r="BDM21" s="248"/>
      <c r="BDN21" s="248"/>
      <c r="BDO21" s="248"/>
      <c r="BDP21" s="248"/>
      <c r="BDQ21" s="248"/>
      <c r="BDR21" s="248"/>
      <c r="BDS21" s="248"/>
      <c r="BDT21" s="248"/>
      <c r="BDU21" s="248"/>
      <c r="BDV21" s="248"/>
      <c r="BDW21" s="248"/>
      <c r="BDX21" s="248"/>
      <c r="BDY21" s="248"/>
      <c r="BDZ21" s="248"/>
      <c r="BEA21" s="248"/>
      <c r="BEB21" s="248"/>
      <c r="BEC21" s="248"/>
      <c r="BED21" s="248"/>
      <c r="BEE21" s="248"/>
      <c r="BEF21" s="248"/>
      <c r="BEG21" s="248"/>
      <c r="BEH21" s="248"/>
      <c r="BEI21" s="248"/>
      <c r="BEJ21" s="248"/>
      <c r="BEK21" s="248"/>
      <c r="BEL21" s="248"/>
      <c r="BEM21" s="248"/>
      <c r="BEN21" s="248"/>
      <c r="BEO21" s="248"/>
      <c r="BEP21" s="248"/>
      <c r="BEQ21" s="248"/>
      <c r="BER21" s="248"/>
      <c r="BES21" s="248"/>
      <c r="BET21" s="248"/>
      <c r="BEU21" s="248"/>
      <c r="BEV21" s="248"/>
      <c r="BEW21" s="248"/>
      <c r="BEX21" s="248"/>
      <c r="BEY21" s="248"/>
      <c r="BEZ21" s="248"/>
      <c r="BFA21" s="248"/>
      <c r="BFB21" s="248"/>
      <c r="BFC21" s="248"/>
      <c r="BFD21" s="248"/>
      <c r="BFE21" s="248"/>
      <c r="BFF21" s="248"/>
      <c r="BFG21" s="248"/>
      <c r="BFH21" s="248"/>
      <c r="BFI21" s="248"/>
      <c r="BFJ21" s="248"/>
      <c r="BFK21" s="248"/>
      <c r="BFL21" s="248"/>
      <c r="BFM21" s="248"/>
      <c r="BFN21" s="248"/>
      <c r="BFO21" s="248"/>
      <c r="BFP21" s="248"/>
      <c r="BFQ21" s="248"/>
      <c r="BFR21" s="248"/>
      <c r="BFS21" s="248"/>
      <c r="BFT21" s="248"/>
      <c r="BFU21" s="248"/>
      <c r="BFV21" s="248"/>
      <c r="BFW21" s="248"/>
      <c r="BFX21" s="248"/>
      <c r="BFY21" s="248"/>
      <c r="BFZ21" s="248"/>
      <c r="BGA21" s="248"/>
      <c r="BGB21" s="248"/>
      <c r="BGC21" s="248"/>
      <c r="BGD21" s="248"/>
      <c r="BGE21" s="248"/>
      <c r="BGF21" s="248"/>
      <c r="BGG21" s="248"/>
      <c r="BGH21" s="248"/>
      <c r="BGI21" s="248"/>
      <c r="BGJ21" s="248"/>
      <c r="BGK21" s="248"/>
      <c r="BGL21" s="248"/>
      <c r="BGM21" s="248"/>
      <c r="BGN21" s="248"/>
      <c r="BGO21" s="248"/>
      <c r="BGP21" s="248"/>
      <c r="BGQ21" s="248"/>
      <c r="BGR21" s="248"/>
      <c r="BGS21" s="248"/>
      <c r="BGT21" s="248"/>
      <c r="BGU21" s="248"/>
      <c r="BGV21" s="248"/>
      <c r="BGW21" s="248"/>
      <c r="BGX21" s="248"/>
      <c r="BGY21" s="248"/>
      <c r="BGZ21" s="248"/>
      <c r="BHA21" s="248"/>
      <c r="BHB21" s="248"/>
      <c r="BHC21" s="248"/>
      <c r="BHD21" s="248"/>
      <c r="BHE21" s="248"/>
      <c r="BHF21" s="248"/>
      <c r="BHG21" s="248"/>
      <c r="BHH21" s="248"/>
      <c r="BHI21" s="248"/>
      <c r="BHJ21" s="248"/>
      <c r="BHK21" s="248"/>
      <c r="BHL21" s="248"/>
      <c r="BHM21" s="248"/>
      <c r="BHN21" s="248"/>
      <c r="BHO21" s="248"/>
      <c r="BHP21" s="248"/>
      <c r="BHQ21" s="248"/>
      <c r="BHR21" s="248"/>
      <c r="BHS21" s="248"/>
      <c r="BHT21" s="248"/>
      <c r="BHU21" s="248"/>
      <c r="BHV21" s="248"/>
      <c r="BHW21" s="248"/>
      <c r="BHX21" s="248"/>
      <c r="BHY21" s="248"/>
      <c r="BHZ21" s="248"/>
      <c r="BIA21" s="248"/>
      <c r="BIB21" s="248"/>
      <c r="BIC21" s="248"/>
      <c r="BID21" s="248"/>
      <c r="BIE21" s="248"/>
      <c r="BIF21" s="248"/>
      <c r="BIG21" s="248"/>
      <c r="BIH21" s="248"/>
      <c r="BII21" s="248"/>
      <c r="BIJ21" s="248"/>
      <c r="BIK21" s="248"/>
      <c r="BIL21" s="248"/>
      <c r="BIM21" s="248"/>
      <c r="BIN21" s="248"/>
      <c r="BIO21" s="248"/>
      <c r="BIP21" s="248"/>
      <c r="BIQ21" s="248"/>
      <c r="BIR21" s="248"/>
      <c r="BIS21" s="248"/>
      <c r="BIT21" s="248"/>
      <c r="BIU21" s="248"/>
      <c r="BIV21" s="248"/>
      <c r="BIW21" s="248"/>
      <c r="BIX21" s="248"/>
      <c r="BIY21" s="248"/>
      <c r="BIZ21" s="248"/>
      <c r="BJA21" s="248"/>
      <c r="BJB21" s="248"/>
      <c r="BJC21" s="248"/>
      <c r="BJD21" s="248"/>
      <c r="BJE21" s="248"/>
      <c r="BJF21" s="248"/>
      <c r="BJG21" s="248"/>
      <c r="BJH21" s="248"/>
      <c r="BJI21" s="248"/>
      <c r="BJJ21" s="248"/>
      <c r="BJK21" s="248"/>
      <c r="BJL21" s="248"/>
      <c r="BJM21" s="248"/>
      <c r="BJN21" s="248"/>
    </row>
    <row r="22" spans="1:1660" ht="20.100000000000001" customHeight="1" x14ac:dyDescent="0.25">
      <c r="A22" s="78" t="s">
        <v>28</v>
      </c>
      <c r="B22" s="51" t="str">
        <f>IF(LEN(C29)=0,"",C29)</f>
        <v>Conception – interfaces principales</v>
      </c>
      <c r="C22" s="216"/>
      <c r="D22" s="120" t="str">
        <f t="shared" si="0"/>
        <v/>
      </c>
      <c r="E22" s="30">
        <v>0</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73"/>
      <c r="AYA22" s="248"/>
      <c r="AYB22" s="248"/>
      <c r="AYC22" s="248"/>
      <c r="AYD22" s="248"/>
      <c r="AYE22" s="248"/>
      <c r="AYF22" s="248"/>
      <c r="AYG22" s="248"/>
      <c r="AYH22" s="248"/>
      <c r="AYI22" s="248"/>
      <c r="AYJ22" s="248"/>
      <c r="AYK22" s="248"/>
      <c r="AYL22" s="248"/>
      <c r="AYM22" s="248"/>
      <c r="AYN22" s="248"/>
      <c r="AYO22" s="248"/>
      <c r="AYP22" s="248"/>
      <c r="AYQ22" s="248"/>
      <c r="AYR22" s="248"/>
      <c r="AYS22" s="248"/>
      <c r="AYT22" s="248"/>
      <c r="AYU22" s="248"/>
      <c r="AYV22" s="248"/>
      <c r="AYW22" s="248"/>
      <c r="AYX22" s="248"/>
      <c r="AYY22" s="248"/>
      <c r="AYZ22" s="248"/>
      <c r="AZA22" s="248"/>
      <c r="AZB22" s="248"/>
      <c r="AZC22" s="248"/>
      <c r="AZD22" s="248"/>
      <c r="AZE22" s="248"/>
      <c r="AZF22" s="248"/>
      <c r="AZG22" s="248"/>
      <c r="AZH22" s="248"/>
      <c r="AZI22" s="248"/>
      <c r="AZJ22" s="248"/>
      <c r="AZK22" s="248"/>
      <c r="AZL22" s="248"/>
      <c r="AZM22" s="248"/>
      <c r="AZN22" s="248"/>
      <c r="AZO22" s="248"/>
      <c r="AZP22" s="248"/>
      <c r="AZQ22" s="248"/>
      <c r="AZR22" s="248"/>
      <c r="AZS22" s="248"/>
      <c r="AZT22" s="248"/>
      <c r="AZU22" s="248"/>
      <c r="AZV22" s="248"/>
      <c r="AZW22" s="248"/>
      <c r="AZX22" s="248"/>
      <c r="AZY22" s="248"/>
      <c r="AZZ22" s="248"/>
      <c r="BAA22" s="248"/>
      <c r="BAB22" s="248"/>
      <c r="BAC22" s="248"/>
      <c r="BAD22" s="248"/>
      <c r="BAE22" s="248"/>
      <c r="BAF22" s="248"/>
      <c r="BAG22" s="248"/>
      <c r="BAH22" s="248"/>
      <c r="BAI22" s="248"/>
      <c r="BAJ22" s="248"/>
      <c r="BAK22" s="248"/>
      <c r="BAL22" s="248"/>
      <c r="BAM22" s="248"/>
      <c r="BAN22" s="248"/>
      <c r="BAO22" s="248"/>
      <c r="BAP22" s="248"/>
      <c r="BAQ22" s="248"/>
      <c r="BAR22" s="248"/>
      <c r="BAS22" s="248"/>
      <c r="BAT22" s="248"/>
      <c r="BAU22" s="248"/>
      <c r="BAV22" s="248"/>
      <c r="BAW22" s="248"/>
      <c r="BAX22" s="248"/>
      <c r="BAY22" s="248"/>
      <c r="BAZ22" s="248"/>
      <c r="BBA22" s="248"/>
      <c r="BBB22" s="248"/>
      <c r="BBC22" s="248"/>
      <c r="BBD22" s="248"/>
      <c r="BBE22" s="248"/>
      <c r="BBF22" s="248"/>
      <c r="BBG22" s="248"/>
      <c r="BBH22" s="248"/>
      <c r="BBI22" s="248"/>
      <c r="BBJ22" s="248"/>
      <c r="BBK22" s="248"/>
      <c r="BBL22" s="248"/>
      <c r="BBM22" s="248"/>
      <c r="BBN22" s="248"/>
      <c r="BBO22" s="248"/>
      <c r="BBP22" s="248"/>
      <c r="BBQ22" s="248"/>
      <c r="BBR22" s="248"/>
      <c r="BBS22" s="248"/>
      <c r="BBT22" s="248"/>
      <c r="BBU22" s="248"/>
      <c r="BBV22" s="248"/>
      <c r="BBW22" s="248"/>
      <c r="BBX22" s="248"/>
      <c r="BBY22" s="248"/>
      <c r="BBZ22" s="248"/>
      <c r="BCA22" s="248"/>
      <c r="BCB22" s="248"/>
      <c r="BCC22" s="248"/>
      <c r="BCD22" s="248"/>
      <c r="BCE22" s="248"/>
      <c r="BCF22" s="248"/>
      <c r="BCG22" s="248"/>
      <c r="BCH22" s="248"/>
      <c r="BCI22" s="248"/>
      <c r="BCJ22" s="248"/>
      <c r="BCK22" s="248"/>
      <c r="BCL22" s="248"/>
      <c r="BCM22" s="248"/>
      <c r="BCN22" s="248"/>
      <c r="BCO22" s="248"/>
      <c r="BCP22" s="248"/>
      <c r="BCQ22" s="248"/>
      <c r="BCR22" s="248"/>
      <c r="BCS22" s="248"/>
      <c r="BCT22" s="248"/>
      <c r="BCU22" s="248"/>
      <c r="BCV22" s="248"/>
      <c r="BCW22" s="248"/>
      <c r="BCX22" s="248"/>
      <c r="BCY22" s="248"/>
      <c r="BCZ22" s="248"/>
      <c r="BDA22" s="248"/>
      <c r="BDB22" s="248"/>
      <c r="BDC22" s="248"/>
      <c r="BDD22" s="248"/>
      <c r="BDE22" s="248"/>
      <c r="BDF22" s="248"/>
      <c r="BDG22" s="248"/>
      <c r="BDH22" s="248"/>
      <c r="BDI22" s="248"/>
      <c r="BDJ22" s="248"/>
      <c r="BDK22" s="248"/>
      <c r="BDL22" s="248"/>
      <c r="BDM22" s="248"/>
      <c r="BDN22" s="248"/>
      <c r="BDO22" s="248"/>
      <c r="BDP22" s="248"/>
      <c r="BDQ22" s="248"/>
      <c r="BDR22" s="248"/>
      <c r="BDS22" s="248"/>
      <c r="BDT22" s="248"/>
      <c r="BDU22" s="248"/>
      <c r="BDV22" s="248"/>
      <c r="BDW22" s="248"/>
      <c r="BDX22" s="248"/>
      <c r="BDY22" s="248"/>
      <c r="BDZ22" s="248"/>
      <c r="BEA22" s="248"/>
      <c r="BEB22" s="248"/>
      <c r="BEC22" s="248"/>
      <c r="BED22" s="248"/>
      <c r="BEE22" s="248"/>
      <c r="BEF22" s="248"/>
      <c r="BEG22" s="248"/>
      <c r="BEH22" s="248"/>
      <c r="BEI22" s="248"/>
      <c r="BEJ22" s="248"/>
      <c r="BEK22" s="248"/>
      <c r="BEL22" s="248"/>
      <c r="BEM22" s="248"/>
      <c r="BEN22" s="248"/>
      <c r="BEO22" s="248"/>
      <c r="BEP22" s="248"/>
      <c r="BEQ22" s="248"/>
      <c r="BER22" s="248"/>
      <c r="BES22" s="248"/>
      <c r="BET22" s="248"/>
      <c r="BEU22" s="248"/>
      <c r="BEV22" s="248"/>
      <c r="BEW22" s="248"/>
      <c r="BEX22" s="248"/>
      <c r="BEY22" s="248"/>
      <c r="BEZ22" s="248"/>
      <c r="BFA22" s="248"/>
      <c r="BFB22" s="248"/>
      <c r="BFC22" s="248"/>
      <c r="BFD22" s="248"/>
      <c r="BFE22" s="248"/>
      <c r="BFF22" s="248"/>
      <c r="BFG22" s="248"/>
      <c r="BFH22" s="248"/>
      <c r="BFI22" s="248"/>
      <c r="BFJ22" s="248"/>
      <c r="BFK22" s="248"/>
      <c r="BFL22" s="248"/>
      <c r="BFM22" s="248"/>
      <c r="BFN22" s="248"/>
      <c r="BFO22" s="248"/>
      <c r="BFP22" s="248"/>
      <c r="BFQ22" s="248"/>
      <c r="BFR22" s="248"/>
      <c r="BFS22" s="248"/>
      <c r="BFT22" s="248"/>
      <c r="BFU22" s="248"/>
      <c r="BFV22" s="248"/>
      <c r="BFW22" s="248"/>
      <c r="BFX22" s="248"/>
      <c r="BFY22" s="248"/>
      <c r="BFZ22" s="248"/>
      <c r="BGA22" s="248"/>
      <c r="BGB22" s="248"/>
      <c r="BGC22" s="248"/>
      <c r="BGD22" s="248"/>
      <c r="BGE22" s="248"/>
      <c r="BGF22" s="248"/>
      <c r="BGG22" s="248"/>
      <c r="BGH22" s="248"/>
      <c r="BGI22" s="248"/>
      <c r="BGJ22" s="248"/>
      <c r="BGK22" s="248"/>
      <c r="BGL22" s="248"/>
      <c r="BGM22" s="248"/>
      <c r="BGN22" s="248"/>
      <c r="BGO22" s="248"/>
      <c r="BGP22" s="248"/>
      <c r="BGQ22" s="248"/>
      <c r="BGR22" s="248"/>
      <c r="BGS22" s="248"/>
      <c r="BGT22" s="248"/>
      <c r="BGU22" s="248"/>
      <c r="BGV22" s="248"/>
      <c r="BGW22" s="248"/>
      <c r="BGX22" s="248"/>
      <c r="BGY22" s="248"/>
      <c r="BGZ22" s="248"/>
      <c r="BHA22" s="248"/>
      <c r="BHB22" s="248"/>
      <c r="BHC22" s="248"/>
      <c r="BHD22" s="248"/>
      <c r="BHE22" s="248"/>
      <c r="BHF22" s="248"/>
      <c r="BHG22" s="248"/>
      <c r="BHH22" s="248"/>
      <c r="BHI22" s="248"/>
      <c r="BHJ22" s="248"/>
      <c r="BHK22" s="248"/>
      <c r="BHL22" s="248"/>
      <c r="BHM22" s="248"/>
      <c r="BHN22" s="248"/>
      <c r="BHO22" s="248"/>
      <c r="BHP22" s="248"/>
      <c r="BHQ22" s="248"/>
      <c r="BHR22" s="248"/>
      <c r="BHS22" s="248"/>
      <c r="BHT22" s="248"/>
      <c r="BHU22" s="248"/>
      <c r="BHV22" s="248"/>
      <c r="BHW22" s="248"/>
      <c r="BHX22" s="248"/>
      <c r="BHY22" s="248"/>
      <c r="BHZ22" s="248"/>
      <c r="BIA22" s="248"/>
      <c r="BIB22" s="248"/>
      <c r="BIC22" s="248"/>
      <c r="BID22" s="248"/>
      <c r="BIE22" s="248"/>
      <c r="BIF22" s="248"/>
      <c r="BIG22" s="248"/>
      <c r="BIH22" s="248"/>
      <c r="BII22" s="248"/>
      <c r="BIJ22" s="248"/>
      <c r="BIK22" s="248"/>
      <c r="BIL22" s="248"/>
      <c r="BIM22" s="248"/>
      <c r="BIN22" s="248"/>
      <c r="BIO22" s="248"/>
      <c r="BIP22" s="248"/>
      <c r="BIQ22" s="248"/>
      <c r="BIR22" s="248"/>
      <c r="BIS22" s="248"/>
      <c r="BIT22" s="248"/>
      <c r="BIU22" s="248"/>
      <c r="BIV22" s="248"/>
      <c r="BIW22" s="248"/>
      <c r="BIX22" s="248"/>
      <c r="BIY22" s="248"/>
      <c r="BIZ22" s="248"/>
      <c r="BJA22" s="248"/>
      <c r="BJB22" s="248"/>
      <c r="BJC22" s="248"/>
      <c r="BJD22" s="248"/>
      <c r="BJE22" s="248"/>
      <c r="BJF22" s="248"/>
      <c r="BJG22" s="248"/>
      <c r="BJH22" s="248"/>
      <c r="BJI22" s="248"/>
      <c r="BJJ22" s="248"/>
      <c r="BJK22" s="248"/>
      <c r="BJL22" s="248"/>
      <c r="BJM22" s="248"/>
      <c r="BJN22" s="248"/>
      <c r="BJO22" s="248"/>
      <c r="BJP22" s="248"/>
      <c r="BJQ22" s="248"/>
      <c r="BJR22" s="248"/>
      <c r="BJS22" s="248"/>
      <c r="BJT22" s="248"/>
      <c r="BJU22" s="248"/>
      <c r="BJV22" s="248"/>
      <c r="BJW22" s="248"/>
      <c r="BJX22" s="248"/>
      <c r="BJY22" s="248"/>
      <c r="BJZ22" s="248"/>
      <c r="BKA22" s="248"/>
      <c r="BKB22" s="248"/>
      <c r="BKC22" s="248"/>
      <c r="BKD22" s="248"/>
      <c r="BKE22" s="248"/>
      <c r="BKF22" s="248"/>
      <c r="BKG22" s="248"/>
      <c r="BKH22" s="248"/>
      <c r="BKI22" s="248"/>
      <c r="BKJ22" s="248"/>
      <c r="BKK22" s="248"/>
      <c r="BKL22" s="248"/>
      <c r="BKM22" s="248"/>
      <c r="BKN22" s="248"/>
      <c r="BKO22" s="248"/>
      <c r="BKP22" s="248"/>
      <c r="BKQ22" s="248"/>
      <c r="BKR22" s="248"/>
      <c r="BKS22" s="248"/>
      <c r="BKT22" s="248"/>
      <c r="BKU22" s="248"/>
      <c r="BKV22" s="248"/>
    </row>
    <row r="23" spans="1:1660" ht="20.100000000000001" customHeight="1" x14ac:dyDescent="0.25">
      <c r="A23" s="78" t="s">
        <v>26</v>
      </c>
      <c r="B23" s="51" t="str">
        <f>IF(LEN(C31)=0,"",C31)</f>
        <v xml:space="preserve">Conception – structure technique </v>
      </c>
      <c r="C23" s="209" t="s">
        <v>29</v>
      </c>
      <c r="D23" s="119" t="str">
        <f t="shared" si="0"/>
        <v>4h</v>
      </c>
      <c r="E23" s="34">
        <v>48</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176"/>
      <c r="AQ23" s="176"/>
      <c r="AR23" s="176"/>
      <c r="AS23" s="176"/>
      <c r="AT23" s="176"/>
      <c r="AU23" s="179"/>
      <c r="AV23" s="176"/>
      <c r="AW23" s="176"/>
      <c r="AX23" s="176"/>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55"/>
      <c r="IO23" s="255"/>
      <c r="IP23" s="255"/>
      <c r="IQ23" s="257"/>
      <c r="IR23" s="255"/>
      <c r="IS23" s="255"/>
      <c r="IT23" s="255"/>
      <c r="IU23" s="255"/>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73"/>
      <c r="AYA23" s="248"/>
      <c r="AYB23" s="248"/>
      <c r="AYC23" s="248"/>
      <c r="AYD23" s="248"/>
      <c r="AYE23" s="248"/>
      <c r="AYF23" s="248"/>
      <c r="AYG23" s="248"/>
      <c r="AYH23" s="248"/>
      <c r="AYI23" s="248"/>
      <c r="AYJ23" s="248"/>
      <c r="AYK23" s="248"/>
      <c r="AYL23" s="248"/>
      <c r="AYM23" s="248"/>
      <c r="AYN23" s="248"/>
      <c r="AYO23" s="248"/>
      <c r="AYP23" s="248"/>
      <c r="AYQ23" s="248"/>
      <c r="AYR23" s="248"/>
      <c r="AYS23" s="248"/>
      <c r="AYT23" s="248"/>
      <c r="AYU23" s="248"/>
      <c r="AYV23" s="248"/>
      <c r="AYW23" s="248"/>
      <c r="AYX23" s="248"/>
      <c r="AYY23" s="248"/>
      <c r="AYZ23" s="248"/>
      <c r="AZA23" s="248"/>
      <c r="AZB23" s="248"/>
      <c r="AZC23" s="248"/>
      <c r="AZD23" s="248"/>
      <c r="AZE23" s="248"/>
      <c r="AZF23" s="248"/>
      <c r="AZG23" s="248"/>
      <c r="AZH23" s="248"/>
      <c r="AZI23" s="248"/>
      <c r="AZJ23" s="248"/>
      <c r="AZK23" s="248"/>
      <c r="AZL23" s="248"/>
      <c r="AZM23" s="248"/>
      <c r="AZN23" s="248"/>
      <c r="AZO23" s="248"/>
      <c r="AZP23" s="248"/>
      <c r="AZQ23" s="248"/>
      <c r="AZR23" s="248"/>
      <c r="AZS23" s="248"/>
      <c r="AZT23" s="248"/>
      <c r="AZU23" s="248"/>
      <c r="AZV23" s="248"/>
      <c r="AZW23" s="248"/>
      <c r="AZX23" s="248"/>
      <c r="AZY23" s="248"/>
      <c r="AZZ23" s="248"/>
      <c r="BAA23" s="248"/>
      <c r="BAB23" s="248"/>
      <c r="BAC23" s="248"/>
      <c r="BAD23" s="248"/>
      <c r="BAE23" s="248"/>
      <c r="BAF23" s="248"/>
      <c r="BAG23" s="248"/>
      <c r="BAH23" s="248"/>
      <c r="BAI23" s="248"/>
      <c r="BAJ23" s="248"/>
      <c r="BAK23" s="248"/>
      <c r="BAL23" s="248"/>
      <c r="BAM23" s="248"/>
      <c r="BAN23" s="248"/>
      <c r="BAO23" s="248"/>
      <c r="BAP23" s="248"/>
      <c r="BAQ23" s="248"/>
      <c r="BAR23" s="248"/>
      <c r="BAS23" s="248"/>
      <c r="BAT23" s="248"/>
      <c r="BAU23" s="248"/>
      <c r="BAV23" s="248"/>
      <c r="BAW23" s="248"/>
      <c r="BAX23" s="248"/>
      <c r="BAY23" s="248"/>
      <c r="BAZ23" s="248"/>
      <c r="BBA23" s="248"/>
      <c r="BBB23" s="248"/>
      <c r="BBC23" s="248"/>
      <c r="BBD23" s="248"/>
      <c r="BBE23" s="248"/>
      <c r="BBF23" s="248"/>
      <c r="BBG23" s="248"/>
      <c r="BBH23" s="248"/>
      <c r="BBI23" s="248"/>
      <c r="BBJ23" s="248"/>
      <c r="BBK23" s="248"/>
      <c r="BBL23" s="248"/>
      <c r="BBM23" s="248"/>
      <c r="BBN23" s="248"/>
      <c r="BBO23" s="248"/>
      <c r="BBP23" s="248"/>
      <c r="BBQ23" s="248"/>
      <c r="BBR23" s="248"/>
      <c r="BBS23" s="248"/>
      <c r="BBT23" s="248"/>
      <c r="BBU23" s="248"/>
      <c r="BBV23" s="248"/>
      <c r="BBW23" s="248"/>
      <c r="BBX23" s="248"/>
      <c r="BBY23" s="248"/>
      <c r="BBZ23" s="248"/>
      <c r="BCA23" s="248"/>
      <c r="BCB23" s="248"/>
      <c r="BCC23" s="248"/>
      <c r="BCD23" s="248"/>
      <c r="BCE23" s="248"/>
      <c r="BCF23" s="248"/>
      <c r="BCG23" s="248"/>
      <c r="BCH23" s="248"/>
      <c r="BCI23" s="248"/>
      <c r="BCJ23" s="248"/>
      <c r="BCK23" s="248"/>
      <c r="BCL23" s="248"/>
      <c r="BCM23" s="248"/>
      <c r="BCN23" s="248"/>
      <c r="BCO23" s="248"/>
      <c r="BCP23" s="248"/>
      <c r="BCQ23" s="248"/>
      <c r="BCR23" s="248"/>
      <c r="BCS23" s="248"/>
      <c r="BCT23" s="248"/>
      <c r="BCU23" s="248"/>
      <c r="BCV23" s="248"/>
      <c r="BCW23" s="248"/>
      <c r="BCX23" s="248"/>
      <c r="BCY23" s="248"/>
      <c r="BCZ23" s="248"/>
      <c r="BDA23" s="248"/>
      <c r="BDB23" s="248"/>
      <c r="BDC23" s="248"/>
      <c r="BDD23" s="248"/>
      <c r="BDE23" s="248"/>
      <c r="BDF23" s="248"/>
      <c r="BDG23" s="248"/>
      <c r="BDH23" s="248"/>
      <c r="BDI23" s="248"/>
      <c r="BDJ23" s="248"/>
      <c r="BDK23" s="248"/>
      <c r="BDL23" s="248"/>
      <c r="BDM23" s="248"/>
      <c r="BDN23" s="248"/>
      <c r="BDO23" s="248"/>
      <c r="BDP23" s="248"/>
      <c r="BDQ23" s="248"/>
      <c r="BDR23" s="248"/>
      <c r="BDS23" s="248"/>
      <c r="BDT23" s="248"/>
      <c r="BDU23" s="248"/>
      <c r="BDV23" s="248"/>
      <c r="BDW23" s="248"/>
      <c r="BDX23" s="248"/>
      <c r="BDY23" s="248"/>
      <c r="BDZ23" s="248"/>
      <c r="BEA23" s="248"/>
      <c r="BEB23" s="248"/>
      <c r="BEC23" s="248"/>
      <c r="BED23" s="248"/>
      <c r="BEE23" s="248"/>
      <c r="BEF23" s="248"/>
      <c r="BEG23" s="248"/>
      <c r="BEH23" s="248"/>
      <c r="BEI23" s="248"/>
      <c r="BEJ23" s="248"/>
      <c r="BEK23" s="248"/>
      <c r="BEL23" s="248"/>
      <c r="BEM23" s="248"/>
      <c r="BEN23" s="248"/>
      <c r="BEO23" s="248"/>
      <c r="BEP23" s="248"/>
      <c r="BEQ23" s="248"/>
      <c r="BER23" s="248"/>
      <c r="BES23" s="248"/>
      <c r="BET23" s="248"/>
      <c r="BEU23" s="248"/>
      <c r="BEV23" s="248"/>
      <c r="BEW23" s="248"/>
      <c r="BEX23" s="248"/>
      <c r="BEY23" s="248"/>
      <c r="BEZ23" s="248"/>
      <c r="BFA23" s="248"/>
      <c r="BFB23" s="248"/>
      <c r="BFC23" s="248"/>
      <c r="BFD23" s="248"/>
      <c r="BFE23" s="248"/>
      <c r="BFF23" s="248"/>
      <c r="BFG23" s="248"/>
      <c r="BFH23" s="248"/>
      <c r="BFI23" s="248"/>
      <c r="BFJ23" s="248"/>
      <c r="BFK23" s="248"/>
      <c r="BFL23" s="248"/>
      <c r="BFM23" s="248"/>
      <c r="BFN23" s="248"/>
      <c r="BFO23" s="248"/>
      <c r="BFP23" s="248"/>
      <c r="BFQ23" s="248"/>
      <c r="BFR23" s="248"/>
      <c r="BFS23" s="248"/>
      <c r="BFT23" s="248"/>
      <c r="BFU23" s="248"/>
      <c r="BFV23" s="248"/>
      <c r="BFW23" s="248"/>
      <c r="BFX23" s="248"/>
      <c r="BFY23" s="248"/>
      <c r="BFZ23" s="248"/>
      <c r="BGA23" s="248"/>
      <c r="BGB23" s="248"/>
      <c r="BGC23" s="248"/>
      <c r="BGD23" s="248"/>
      <c r="BGE23" s="248"/>
      <c r="BGF23" s="248"/>
      <c r="BGG23" s="248"/>
      <c r="BGH23" s="248"/>
      <c r="BGI23" s="248"/>
      <c r="BGJ23" s="248"/>
      <c r="BGK23" s="248"/>
      <c r="BGL23" s="248"/>
      <c r="BGM23" s="248"/>
      <c r="BGN23" s="248"/>
      <c r="BGO23" s="248"/>
      <c r="BGP23" s="248"/>
      <c r="BGQ23" s="248"/>
      <c r="BGR23" s="248"/>
      <c r="BGS23" s="248"/>
      <c r="BGT23" s="248"/>
      <c r="BGU23" s="248"/>
      <c r="BGV23" s="248"/>
      <c r="BGW23" s="248"/>
      <c r="BGX23" s="248"/>
      <c r="BGY23" s="248"/>
      <c r="BGZ23" s="248"/>
      <c r="BHA23" s="248"/>
      <c r="BHB23" s="248"/>
      <c r="BHC23" s="248"/>
      <c r="BHD23" s="248"/>
      <c r="BHE23" s="248"/>
      <c r="BHF23" s="248"/>
      <c r="BHG23" s="248"/>
      <c r="BHH23" s="248"/>
      <c r="BHI23" s="248"/>
      <c r="BHJ23" s="248"/>
      <c r="BHK23" s="248"/>
      <c r="BHL23" s="248"/>
      <c r="BHM23" s="248"/>
      <c r="BHN23" s="248"/>
      <c r="BHO23" s="248"/>
      <c r="BHP23" s="248"/>
      <c r="BHQ23" s="248"/>
      <c r="BHR23" s="248"/>
      <c r="BHS23" s="248"/>
      <c r="BHT23" s="248"/>
      <c r="BHU23" s="248"/>
      <c r="BHV23" s="248"/>
      <c r="BHW23" s="248"/>
      <c r="BHX23" s="248"/>
      <c r="BHY23" s="248"/>
      <c r="BHZ23" s="248"/>
      <c r="BIA23" s="248"/>
      <c r="BIB23" s="248"/>
      <c r="BIC23" s="248"/>
      <c r="BID23" s="248"/>
      <c r="BIE23" s="248"/>
      <c r="BIF23" s="248"/>
      <c r="BIG23" s="248"/>
      <c r="BIH23" s="248"/>
      <c r="BII23" s="248"/>
      <c r="BIJ23" s="248"/>
      <c r="BIK23" s="248"/>
      <c r="BIL23" s="248"/>
      <c r="BIM23" s="248"/>
      <c r="BIN23" s="248"/>
      <c r="BIO23" s="248"/>
      <c r="BIP23" s="248"/>
      <c r="BIQ23" s="248"/>
      <c r="BIR23" s="248"/>
      <c r="BIS23" s="248"/>
      <c r="BIT23" s="248"/>
      <c r="BIU23" s="248"/>
      <c r="BIV23" s="248"/>
      <c r="BIW23" s="248"/>
      <c r="BIX23" s="248"/>
      <c r="BIY23" s="248"/>
      <c r="BIZ23" s="248"/>
      <c r="BJA23" s="248"/>
      <c r="BJB23" s="248"/>
      <c r="BJC23" s="248"/>
      <c r="BJD23" s="248"/>
      <c r="BJE23" s="248"/>
      <c r="BJF23" s="248"/>
      <c r="BJG23" s="248"/>
      <c r="BJH23" s="248"/>
      <c r="BJI23" s="248"/>
      <c r="BJJ23" s="248"/>
      <c r="BJK23" s="248"/>
      <c r="BJL23" s="248"/>
      <c r="BJM23" s="248"/>
      <c r="BJN23" s="248"/>
    </row>
    <row r="24" spans="1:1660" ht="20.100000000000001" customHeight="1" x14ac:dyDescent="0.25">
      <c r="A24" s="78" t="s">
        <v>28</v>
      </c>
      <c r="B24" s="51" t="str">
        <f>IF(LEN(C33)=0,"",C33)</f>
        <v>Doc - Git</v>
      </c>
      <c r="C24" s="21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73"/>
      <c r="AYA24" s="248"/>
      <c r="AYB24" s="248"/>
      <c r="AYC24" s="248"/>
      <c r="AYD24" s="248"/>
      <c r="AYE24" s="248"/>
      <c r="AYF24" s="248"/>
      <c r="AYG24" s="248"/>
      <c r="AYH24" s="248"/>
      <c r="AYI24" s="248"/>
      <c r="AYJ24" s="248"/>
      <c r="AYK24" s="248"/>
      <c r="AYL24" s="248"/>
      <c r="AYM24" s="248"/>
      <c r="AYN24" s="248"/>
      <c r="AYO24" s="248"/>
      <c r="AYP24" s="248"/>
      <c r="AYQ24" s="248"/>
      <c r="AYR24" s="248"/>
      <c r="AYS24" s="248"/>
      <c r="AYT24" s="248"/>
      <c r="AYU24" s="248"/>
      <c r="AYV24" s="248"/>
      <c r="AYW24" s="248"/>
      <c r="AYX24" s="248"/>
      <c r="AYY24" s="248"/>
      <c r="AYZ24" s="248"/>
      <c r="AZA24" s="248"/>
      <c r="AZB24" s="248"/>
      <c r="AZC24" s="248"/>
      <c r="AZD24" s="248"/>
      <c r="AZE24" s="248"/>
      <c r="AZF24" s="248"/>
      <c r="AZG24" s="248"/>
      <c r="AZH24" s="248"/>
      <c r="AZI24" s="248"/>
      <c r="AZJ24" s="248"/>
      <c r="AZK24" s="248"/>
      <c r="AZL24" s="248"/>
      <c r="AZM24" s="248"/>
      <c r="AZN24" s="248"/>
      <c r="AZO24" s="248"/>
      <c r="AZP24" s="248"/>
      <c r="AZQ24" s="248"/>
      <c r="AZR24" s="248"/>
      <c r="AZS24" s="248"/>
      <c r="AZT24" s="248"/>
      <c r="AZU24" s="248"/>
      <c r="AZV24" s="248"/>
      <c r="AZW24" s="248"/>
      <c r="AZX24" s="248"/>
      <c r="AZY24" s="248"/>
      <c r="AZZ24" s="248"/>
      <c r="BAA24" s="248"/>
      <c r="BAB24" s="248"/>
      <c r="BAC24" s="248"/>
      <c r="BAD24" s="248"/>
      <c r="BAE24" s="248"/>
      <c r="BAF24" s="248"/>
      <c r="BAG24" s="248"/>
      <c r="BAH24" s="248"/>
      <c r="BAI24" s="248"/>
      <c r="BAJ24" s="248"/>
      <c r="BAK24" s="248"/>
      <c r="BAL24" s="248"/>
      <c r="BAM24" s="248"/>
      <c r="BAN24" s="248"/>
      <c r="BAO24" s="248"/>
      <c r="BAP24" s="248"/>
      <c r="BAQ24" s="248"/>
      <c r="BAR24" s="248"/>
      <c r="BAS24" s="248"/>
      <c r="BAT24" s="248"/>
      <c r="BAU24" s="248"/>
      <c r="BAV24" s="248"/>
      <c r="BAW24" s="248"/>
      <c r="BAX24" s="248"/>
      <c r="BAY24" s="248"/>
      <c r="BAZ24" s="248"/>
      <c r="BBA24" s="248"/>
      <c r="BBB24" s="248"/>
      <c r="BBC24" s="248"/>
      <c r="BBD24" s="248"/>
      <c r="BBE24" s="248"/>
      <c r="BBF24" s="248"/>
      <c r="BBG24" s="248"/>
      <c r="BBH24" s="248"/>
      <c r="BBI24" s="248"/>
      <c r="BBJ24" s="248"/>
      <c r="BBK24" s="248"/>
      <c r="BBL24" s="248"/>
      <c r="BBM24" s="248"/>
      <c r="BBN24" s="248"/>
      <c r="BBO24" s="248"/>
      <c r="BBP24" s="248"/>
      <c r="BBQ24" s="248"/>
      <c r="BBR24" s="248"/>
      <c r="BBS24" s="248"/>
      <c r="BBT24" s="248"/>
      <c r="BBU24" s="248"/>
      <c r="BBV24" s="248"/>
      <c r="BBW24" s="248"/>
      <c r="BBX24" s="248"/>
      <c r="BBY24" s="248"/>
      <c r="BBZ24" s="248"/>
      <c r="BCA24" s="248"/>
      <c r="BCB24" s="248"/>
      <c r="BCC24" s="248"/>
      <c r="BCD24" s="248"/>
      <c r="BCE24" s="248"/>
      <c r="BCF24" s="248"/>
      <c r="BCG24" s="248"/>
      <c r="BCH24" s="248"/>
      <c r="BCI24" s="248"/>
      <c r="BCJ24" s="248"/>
      <c r="BCK24" s="248"/>
      <c r="BCL24" s="248"/>
      <c r="BCM24" s="248"/>
      <c r="BCN24" s="248"/>
      <c r="BCO24" s="248"/>
      <c r="BCP24" s="248"/>
      <c r="BCQ24" s="248"/>
      <c r="BCR24" s="248"/>
      <c r="BCS24" s="248"/>
      <c r="BCT24" s="248"/>
      <c r="BCU24" s="248"/>
      <c r="BCV24" s="248"/>
      <c r="BCW24" s="248"/>
      <c r="BCX24" s="248"/>
      <c r="BCY24" s="248"/>
      <c r="BCZ24" s="248"/>
      <c r="BDA24" s="248"/>
      <c r="BDB24" s="248"/>
      <c r="BDC24" s="248"/>
      <c r="BDD24" s="248"/>
      <c r="BDE24" s="248"/>
      <c r="BDF24" s="248"/>
      <c r="BDG24" s="248"/>
      <c r="BDH24" s="248"/>
      <c r="BDI24" s="248"/>
      <c r="BDJ24" s="248"/>
      <c r="BDK24" s="248"/>
      <c r="BDL24" s="248"/>
      <c r="BDM24" s="248"/>
      <c r="BDN24" s="248"/>
      <c r="BDO24" s="248"/>
      <c r="BDP24" s="248"/>
      <c r="BDQ24" s="248"/>
      <c r="BDR24" s="248"/>
      <c r="BDS24" s="248"/>
      <c r="BDT24" s="248"/>
      <c r="BDU24" s="248"/>
      <c r="BDV24" s="248"/>
      <c r="BDW24" s="248"/>
      <c r="BDX24" s="248"/>
      <c r="BDY24" s="248"/>
      <c r="BDZ24" s="248"/>
      <c r="BEA24" s="248"/>
      <c r="BEB24" s="248"/>
      <c r="BEC24" s="248"/>
      <c r="BED24" s="248"/>
      <c r="BEE24" s="248"/>
      <c r="BEF24" s="248"/>
      <c r="BEG24" s="248"/>
      <c r="BEH24" s="248"/>
      <c r="BEI24" s="248"/>
      <c r="BEJ24" s="248"/>
      <c r="BEK24" s="248"/>
      <c r="BEL24" s="248"/>
      <c r="BEM24" s="248"/>
      <c r="BEN24" s="248"/>
      <c r="BEO24" s="248"/>
      <c r="BEP24" s="248"/>
      <c r="BEQ24" s="248"/>
      <c r="BER24" s="248"/>
      <c r="BES24" s="248"/>
      <c r="BET24" s="248"/>
      <c r="BEU24" s="248"/>
      <c r="BEV24" s="248"/>
      <c r="BEW24" s="248"/>
      <c r="BEX24" s="248"/>
      <c r="BEY24" s="248"/>
      <c r="BEZ24" s="248"/>
      <c r="BFA24" s="248"/>
      <c r="BFB24" s="248"/>
      <c r="BFC24" s="248"/>
      <c r="BFD24" s="248"/>
      <c r="BFE24" s="248"/>
      <c r="BFF24" s="248"/>
      <c r="BFG24" s="248"/>
      <c r="BFH24" s="248"/>
      <c r="BFI24" s="248"/>
      <c r="BFJ24" s="248"/>
      <c r="BFK24" s="248"/>
      <c r="BFL24" s="248"/>
      <c r="BFM24" s="248"/>
      <c r="BFN24" s="248"/>
      <c r="BFO24" s="248"/>
      <c r="BFP24" s="248"/>
      <c r="BFQ24" s="248"/>
      <c r="BFR24" s="248"/>
      <c r="BFS24" s="248"/>
      <c r="BFT24" s="248"/>
      <c r="BFU24" s="248"/>
      <c r="BFV24" s="248"/>
      <c r="BFW24" s="248"/>
      <c r="BFX24" s="248"/>
      <c r="BFY24" s="248"/>
      <c r="BFZ24" s="248"/>
      <c r="BGA24" s="248"/>
      <c r="BGB24" s="248"/>
      <c r="BGC24" s="248"/>
      <c r="BGD24" s="248"/>
      <c r="BGE24" s="248"/>
      <c r="BGF24" s="248"/>
      <c r="BGG24" s="248"/>
      <c r="BGH24" s="248"/>
      <c r="BGI24" s="248"/>
      <c r="BGJ24" s="248"/>
      <c r="BGK24" s="248"/>
      <c r="BGL24" s="248"/>
      <c r="BGM24" s="248"/>
      <c r="BGN24" s="248"/>
      <c r="BGO24" s="248"/>
      <c r="BGP24" s="248"/>
      <c r="BGQ24" s="248"/>
      <c r="BGR24" s="248"/>
      <c r="BGS24" s="248"/>
      <c r="BGT24" s="248"/>
      <c r="BGU24" s="248"/>
      <c r="BGV24" s="248"/>
      <c r="BGW24" s="248"/>
      <c r="BGX24" s="248"/>
      <c r="BGY24" s="248"/>
      <c r="BGZ24" s="248"/>
      <c r="BHA24" s="248"/>
      <c r="BHB24" s="248"/>
      <c r="BHC24" s="248"/>
      <c r="BHD24" s="248"/>
      <c r="BHE24" s="248"/>
      <c r="BHF24" s="248"/>
      <c r="BHG24" s="248"/>
      <c r="BHH24" s="248"/>
      <c r="BHI24" s="248"/>
      <c r="BHJ24" s="248"/>
      <c r="BHK24" s="248"/>
      <c r="BHL24" s="248"/>
      <c r="BHM24" s="248"/>
      <c r="BHN24" s="248"/>
      <c r="BHO24" s="248"/>
      <c r="BHP24" s="248"/>
      <c r="BHQ24" s="248"/>
      <c r="BHR24" s="248"/>
      <c r="BHS24" s="248"/>
      <c r="BHT24" s="248"/>
      <c r="BHU24" s="248"/>
      <c r="BHV24" s="248"/>
      <c r="BHW24" s="248"/>
      <c r="BHX24" s="248"/>
      <c r="BHY24" s="248"/>
      <c r="BHZ24" s="248"/>
      <c r="BIA24" s="248"/>
      <c r="BIB24" s="248"/>
      <c r="BIC24" s="248"/>
      <c r="BID24" s="248"/>
      <c r="BIE24" s="248"/>
      <c r="BIF24" s="248"/>
      <c r="BIG24" s="248"/>
      <c r="BIH24" s="248"/>
      <c r="BII24" s="248"/>
      <c r="BIJ24" s="248"/>
      <c r="BIK24" s="248"/>
      <c r="BIL24" s="248"/>
      <c r="BIM24" s="248"/>
      <c r="BIN24" s="248"/>
      <c r="BIO24" s="248"/>
      <c r="BIP24" s="248"/>
      <c r="BIQ24" s="248"/>
      <c r="BIR24" s="248"/>
      <c r="BIS24" s="248"/>
      <c r="BIT24" s="248"/>
      <c r="BIU24" s="248"/>
      <c r="BIV24" s="248"/>
      <c r="BIW24" s="248"/>
      <c r="BIX24" s="248"/>
      <c r="BIY24" s="248"/>
      <c r="BIZ24" s="248"/>
      <c r="BJA24" s="248"/>
      <c r="BJB24" s="248"/>
      <c r="BJC24" s="248"/>
      <c r="BJD24" s="248"/>
      <c r="BJE24" s="248"/>
      <c r="BJF24" s="248"/>
      <c r="BJG24" s="248"/>
      <c r="BJH24" s="248"/>
      <c r="BJI24" s="248"/>
      <c r="BJJ24" s="248"/>
      <c r="BJK24" s="248"/>
      <c r="BJL24" s="248"/>
      <c r="BJM24" s="248"/>
      <c r="BJN24" s="248"/>
      <c r="BJO24" s="248"/>
      <c r="BJP24" s="248"/>
      <c r="BJQ24" s="248"/>
      <c r="BJR24" s="248"/>
      <c r="BJS24" s="248"/>
      <c r="BJT24" s="248"/>
      <c r="BJU24" s="248"/>
      <c r="BJV24" s="248"/>
      <c r="BJW24" s="248"/>
      <c r="BJX24" s="248"/>
      <c r="BJY24" s="248"/>
      <c r="BJZ24" s="248"/>
      <c r="BKA24" s="248"/>
      <c r="BKB24" s="248"/>
      <c r="BKC24" s="248"/>
      <c r="BKD24" s="248"/>
      <c r="BKE24" s="248"/>
      <c r="BKF24" s="248"/>
      <c r="BKG24" s="248"/>
      <c r="BKH24" s="248"/>
      <c r="BKI24" s="248"/>
      <c r="BKJ24" s="248"/>
      <c r="BKK24" s="248"/>
      <c r="BKL24" s="248"/>
      <c r="BKM24" s="248"/>
      <c r="BKN24" s="248"/>
      <c r="BKO24" s="248"/>
      <c r="BKP24" s="248"/>
      <c r="BKQ24" s="248"/>
      <c r="BKR24" s="248"/>
      <c r="BKS24" s="248"/>
      <c r="BKT24" s="248"/>
      <c r="BKU24" s="248"/>
      <c r="BKV24" s="248"/>
    </row>
    <row r="25" spans="1:1660" ht="20.100000000000001" customHeight="1" x14ac:dyDescent="0.25">
      <c r="A25" s="78" t="s">
        <v>26</v>
      </c>
      <c r="B25" s="51" t="str">
        <f>IF(LEN(C35)=0,"",C35)</f>
        <v>Doc - Journal de travail</v>
      </c>
      <c r="C25" s="209" t="s">
        <v>49</v>
      </c>
      <c r="D25" s="119" t="str">
        <f t="shared" si="0"/>
        <v>2h 50 min</v>
      </c>
      <c r="E25" s="26">
        <v>34</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73"/>
      <c r="AYA25" s="248"/>
      <c r="AYB25" s="248"/>
      <c r="AYC25" s="248"/>
      <c r="AYD25" s="248"/>
      <c r="AYE25" s="248"/>
      <c r="AYF25" s="248"/>
      <c r="AYG25" s="248"/>
      <c r="AYH25" s="248"/>
      <c r="AYI25" s="248"/>
      <c r="AYJ25" s="248"/>
      <c r="AYK25" s="248"/>
      <c r="AYL25" s="248"/>
      <c r="AYM25" s="248"/>
      <c r="AYN25" s="248"/>
      <c r="AYO25" s="248"/>
      <c r="AYP25" s="248"/>
      <c r="AYQ25" s="248"/>
      <c r="AYR25" s="248"/>
      <c r="AYS25" s="248"/>
      <c r="AYT25" s="248"/>
      <c r="AYU25" s="248"/>
      <c r="AYV25" s="248"/>
      <c r="AYW25" s="248"/>
      <c r="AYX25" s="248"/>
      <c r="AYY25" s="248"/>
      <c r="AYZ25" s="248"/>
      <c r="AZA25" s="248"/>
      <c r="AZB25" s="248"/>
      <c r="AZC25" s="248"/>
      <c r="AZD25" s="248"/>
      <c r="AZE25" s="248"/>
      <c r="AZF25" s="248"/>
      <c r="AZG25" s="248"/>
      <c r="AZH25" s="248"/>
      <c r="AZI25" s="248"/>
      <c r="AZJ25" s="248"/>
      <c r="AZK25" s="248"/>
      <c r="AZL25" s="248"/>
      <c r="AZM25" s="248"/>
      <c r="AZN25" s="248"/>
      <c r="AZO25" s="248"/>
      <c r="AZP25" s="248"/>
      <c r="AZQ25" s="248"/>
      <c r="AZR25" s="248"/>
      <c r="AZS25" s="248"/>
      <c r="AZT25" s="248"/>
      <c r="AZU25" s="248"/>
      <c r="AZV25" s="248"/>
      <c r="AZW25" s="248"/>
      <c r="AZX25" s="248"/>
      <c r="AZY25" s="248"/>
      <c r="AZZ25" s="248"/>
      <c r="BAA25" s="248"/>
      <c r="BAB25" s="248"/>
      <c r="BAC25" s="248"/>
      <c r="BAD25" s="248"/>
      <c r="BAE25" s="248"/>
      <c r="BAF25" s="248"/>
      <c r="BAG25" s="248"/>
      <c r="BAH25" s="248"/>
      <c r="BAI25" s="248"/>
      <c r="BAJ25" s="248"/>
      <c r="BAK25" s="248"/>
      <c r="BAL25" s="248"/>
      <c r="BAM25" s="248"/>
      <c r="BAN25" s="248"/>
      <c r="BAO25" s="248"/>
      <c r="BAP25" s="248"/>
      <c r="BAQ25" s="248"/>
      <c r="BAR25" s="248"/>
      <c r="BAS25" s="248"/>
      <c r="BAT25" s="248"/>
      <c r="BAU25" s="248"/>
      <c r="BAV25" s="248"/>
      <c r="BAW25" s="248"/>
      <c r="BAX25" s="248"/>
      <c r="BAY25" s="248"/>
      <c r="BAZ25" s="248"/>
      <c r="BBA25" s="248"/>
      <c r="BBB25" s="248"/>
      <c r="BBC25" s="248"/>
      <c r="BBD25" s="248"/>
      <c r="BBE25" s="248"/>
      <c r="BBF25" s="248"/>
      <c r="BBG25" s="248"/>
      <c r="BBH25" s="248"/>
      <c r="BBI25" s="248"/>
      <c r="BBJ25" s="248"/>
      <c r="BBK25" s="248"/>
      <c r="BBL25" s="248"/>
      <c r="BBM25" s="248"/>
      <c r="BBN25" s="248"/>
      <c r="BBO25" s="248"/>
      <c r="BBP25" s="248"/>
      <c r="BBQ25" s="248"/>
      <c r="BBR25" s="248"/>
      <c r="BBS25" s="248"/>
      <c r="BBT25" s="248"/>
      <c r="BBU25" s="248"/>
      <c r="BBV25" s="248"/>
      <c r="BBW25" s="248"/>
      <c r="BBX25" s="248"/>
      <c r="BBY25" s="248"/>
      <c r="BBZ25" s="248"/>
      <c r="BCA25" s="248"/>
      <c r="BCB25" s="248"/>
      <c r="BCC25" s="248"/>
      <c r="BCD25" s="248"/>
      <c r="BCE25" s="248"/>
      <c r="BCF25" s="248"/>
      <c r="BCG25" s="248"/>
      <c r="BCH25" s="248"/>
      <c r="BCI25" s="248"/>
      <c r="BCJ25" s="248"/>
      <c r="BCK25" s="248"/>
      <c r="BCL25" s="248"/>
      <c r="BCM25" s="248"/>
      <c r="BCN25" s="248"/>
      <c r="BCO25" s="248"/>
      <c r="BCP25" s="248"/>
      <c r="BCQ25" s="248"/>
      <c r="BCR25" s="248"/>
      <c r="BCS25" s="248"/>
      <c r="BCT25" s="248"/>
      <c r="BCU25" s="248"/>
      <c r="BCV25" s="248"/>
      <c r="BCW25" s="248"/>
      <c r="BCX25" s="248"/>
      <c r="BCY25" s="248"/>
      <c r="BCZ25" s="248"/>
      <c r="BDA25" s="248"/>
      <c r="BDB25" s="248"/>
      <c r="BDC25" s="248"/>
      <c r="BDD25" s="248"/>
      <c r="BDE25" s="248"/>
      <c r="BDF25" s="248"/>
      <c r="BDG25" s="248"/>
      <c r="BDH25" s="248"/>
      <c r="BDI25" s="248"/>
      <c r="BDJ25" s="248"/>
      <c r="BDK25" s="248"/>
      <c r="BDL25" s="248"/>
      <c r="BDM25" s="248"/>
      <c r="BDN25" s="248"/>
      <c r="BDO25" s="248"/>
      <c r="BDP25" s="248"/>
      <c r="BDQ25" s="248"/>
      <c r="BDR25" s="248"/>
      <c r="BDS25" s="248"/>
      <c r="BDT25" s="248"/>
      <c r="BDU25" s="248"/>
      <c r="BDV25" s="248"/>
      <c r="BDW25" s="248"/>
      <c r="BDX25" s="248"/>
      <c r="BDY25" s="248"/>
      <c r="BDZ25" s="248"/>
      <c r="BEA25" s="248"/>
      <c r="BEB25" s="248"/>
      <c r="BEC25" s="248"/>
      <c r="BED25" s="248"/>
      <c r="BEE25" s="248"/>
      <c r="BEF25" s="248"/>
      <c r="BEG25" s="248"/>
      <c r="BEH25" s="248"/>
      <c r="BEI25" s="248"/>
      <c r="BEJ25" s="248"/>
      <c r="BEK25" s="248"/>
      <c r="BEL25" s="248"/>
      <c r="BEM25" s="248"/>
      <c r="BEN25" s="248"/>
      <c r="BEO25" s="248"/>
      <c r="BEP25" s="248"/>
      <c r="BEQ25" s="248"/>
      <c r="BER25" s="248"/>
      <c r="BES25" s="248"/>
      <c r="BET25" s="248"/>
      <c r="BEU25" s="248"/>
      <c r="BEV25" s="248"/>
      <c r="BEW25" s="248"/>
      <c r="BEX25" s="248"/>
      <c r="BEY25" s="248"/>
      <c r="BEZ25" s="248"/>
      <c r="BFA25" s="248"/>
      <c r="BFB25" s="248"/>
      <c r="BFC25" s="248"/>
      <c r="BFD25" s="248"/>
      <c r="BFE25" s="248"/>
      <c r="BFF25" s="248"/>
      <c r="BFG25" s="248"/>
      <c r="BFH25" s="248"/>
      <c r="BFI25" s="248"/>
      <c r="BFJ25" s="248"/>
      <c r="BFK25" s="248"/>
      <c r="BFL25" s="248"/>
      <c r="BFM25" s="248"/>
      <c r="BFN25" s="248"/>
      <c r="BFO25" s="248"/>
      <c r="BFP25" s="248"/>
      <c r="BFQ25" s="248"/>
      <c r="BFR25" s="248"/>
      <c r="BFS25" s="248"/>
      <c r="BFT25" s="248"/>
      <c r="BFU25" s="248"/>
      <c r="BFV25" s="248"/>
      <c r="BFW25" s="248"/>
      <c r="BFX25" s="248"/>
      <c r="BFY25" s="248"/>
      <c r="BFZ25" s="248"/>
      <c r="BGA25" s="248"/>
      <c r="BGB25" s="248"/>
      <c r="BGC25" s="248"/>
      <c r="BGD25" s="248"/>
      <c r="BGE25" s="248"/>
      <c r="BGF25" s="248"/>
      <c r="BGG25" s="248"/>
      <c r="BGH25" s="248"/>
      <c r="BGI25" s="248"/>
      <c r="BGJ25" s="248"/>
      <c r="BGK25" s="248"/>
      <c r="BGL25" s="248"/>
      <c r="BGM25" s="248"/>
      <c r="BGN25" s="248"/>
      <c r="BGO25" s="248"/>
      <c r="BGP25" s="248"/>
      <c r="BGQ25" s="248"/>
      <c r="BGR25" s="248"/>
      <c r="BGS25" s="248"/>
      <c r="BGT25" s="248"/>
      <c r="BGU25" s="248"/>
      <c r="BGV25" s="248"/>
      <c r="BGW25" s="248"/>
      <c r="BGX25" s="248"/>
      <c r="BGY25" s="248"/>
      <c r="BGZ25" s="248"/>
      <c r="BHA25" s="248"/>
      <c r="BHB25" s="248"/>
      <c r="BHC25" s="248"/>
      <c r="BHD25" s="248"/>
      <c r="BHE25" s="248"/>
      <c r="BHF25" s="248"/>
      <c r="BHG25" s="248"/>
      <c r="BHH25" s="248"/>
      <c r="BHI25" s="248"/>
      <c r="BHJ25" s="248"/>
      <c r="BHK25" s="248"/>
      <c r="BHL25" s="248"/>
      <c r="BHM25" s="248"/>
      <c r="BHN25" s="248"/>
      <c r="BHO25" s="248"/>
      <c r="BHP25" s="248"/>
      <c r="BHQ25" s="248"/>
      <c r="BHR25" s="248"/>
      <c r="BHS25" s="248"/>
      <c r="BHT25" s="248"/>
      <c r="BHU25" s="248"/>
      <c r="BHV25" s="248"/>
      <c r="BHW25" s="248"/>
      <c r="BHX25" s="248"/>
      <c r="BHY25" s="248"/>
      <c r="BHZ25" s="248"/>
      <c r="BIA25" s="248"/>
      <c r="BIB25" s="248"/>
      <c r="BIC25" s="248"/>
      <c r="BID25" s="248"/>
      <c r="BIE25" s="248"/>
      <c r="BIF25" s="248"/>
      <c r="BIG25" s="248"/>
      <c r="BIH25" s="248"/>
      <c r="BII25" s="248"/>
      <c r="BIJ25" s="248"/>
      <c r="BIK25" s="248"/>
      <c r="BIL25" s="248"/>
      <c r="BIM25" s="248"/>
      <c r="BIN25" s="248"/>
      <c r="BIO25" s="248"/>
      <c r="BIP25" s="248"/>
      <c r="BIQ25" s="248"/>
      <c r="BIR25" s="248"/>
      <c r="BIS25" s="248"/>
      <c r="BIT25" s="248"/>
      <c r="BIU25" s="248"/>
      <c r="BIV25" s="248"/>
      <c r="BIW25" s="248"/>
      <c r="BIX25" s="248"/>
      <c r="BIY25" s="248"/>
      <c r="BIZ25" s="248"/>
      <c r="BJA25" s="248"/>
      <c r="BJB25" s="248"/>
      <c r="BJC25" s="248"/>
      <c r="BJD25" s="248"/>
      <c r="BJE25" s="248"/>
      <c r="BJF25" s="248"/>
      <c r="BJG25" s="248"/>
      <c r="BJH25" s="248"/>
      <c r="BJI25" s="248"/>
      <c r="BJJ25" s="248"/>
      <c r="BJK25" s="248"/>
      <c r="BJL25" s="248"/>
      <c r="BJM25" s="248"/>
      <c r="BJN25" s="248"/>
    </row>
    <row r="26" spans="1:1660" ht="20.100000000000001" customHeight="1" x14ac:dyDescent="0.3">
      <c r="A26" s="78" t="s">
        <v>28</v>
      </c>
      <c r="B26" s="51" t="str">
        <f>IF(LEN(C37)=0,"",C37)</f>
        <v>Doc - Rapport</v>
      </c>
      <c r="C26" s="210"/>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73"/>
      <c r="AYA26" s="248"/>
      <c r="AYB26" s="248"/>
      <c r="AYC26" s="248"/>
      <c r="AYD26" s="248"/>
      <c r="AYE26" s="248"/>
      <c r="AYF26" s="248"/>
      <c r="AYG26" s="248"/>
      <c r="AYH26" s="248"/>
      <c r="AYI26" s="248"/>
      <c r="AYJ26" s="248"/>
      <c r="AYK26" s="248"/>
      <c r="AYL26" s="248"/>
      <c r="AYM26" s="248"/>
      <c r="AYN26" s="248"/>
      <c r="AYO26" s="248"/>
      <c r="AYP26" s="248"/>
      <c r="AYQ26" s="248"/>
      <c r="AYR26" s="248"/>
      <c r="AYS26" s="248"/>
      <c r="AYT26" s="248"/>
      <c r="AYU26" s="248"/>
      <c r="AYV26" s="248"/>
      <c r="AYW26" s="248"/>
      <c r="AYX26" s="248"/>
      <c r="AYY26" s="248"/>
      <c r="AYZ26" s="248"/>
      <c r="AZA26" s="248"/>
      <c r="AZB26" s="248"/>
      <c r="AZC26" s="248"/>
      <c r="AZD26" s="248"/>
      <c r="AZE26" s="248"/>
      <c r="AZF26" s="248"/>
      <c r="AZG26" s="248"/>
      <c r="AZH26" s="248"/>
      <c r="AZI26" s="248"/>
      <c r="AZJ26" s="248"/>
      <c r="AZK26" s="248"/>
      <c r="AZL26" s="248"/>
      <c r="AZM26" s="248"/>
      <c r="AZN26" s="248"/>
      <c r="AZO26" s="248"/>
      <c r="AZP26" s="248"/>
      <c r="AZQ26" s="248"/>
      <c r="AZR26" s="248"/>
      <c r="AZS26" s="248"/>
      <c r="AZT26" s="248"/>
      <c r="AZU26" s="248"/>
      <c r="AZV26" s="248"/>
      <c r="AZW26" s="248"/>
      <c r="AZX26" s="248"/>
      <c r="AZY26" s="248"/>
      <c r="AZZ26" s="248"/>
      <c r="BAA26" s="248"/>
      <c r="BAB26" s="248"/>
      <c r="BAC26" s="248"/>
      <c r="BAD26" s="248"/>
      <c r="BAE26" s="248"/>
      <c r="BAF26" s="248"/>
      <c r="BAG26" s="248"/>
      <c r="BAH26" s="248"/>
      <c r="BAI26" s="248"/>
      <c r="BAJ26" s="248"/>
      <c r="BAK26" s="248"/>
      <c r="BAL26" s="248"/>
      <c r="BAM26" s="248"/>
      <c r="BAN26" s="248"/>
      <c r="BAO26" s="248"/>
      <c r="BAP26" s="248"/>
      <c r="BAQ26" s="248"/>
      <c r="BAR26" s="248"/>
      <c r="BAS26" s="248"/>
      <c r="BAT26" s="248"/>
      <c r="BAU26" s="248"/>
      <c r="BAV26" s="248"/>
      <c r="BAW26" s="248"/>
      <c r="BAX26" s="248"/>
      <c r="BAY26" s="248"/>
      <c r="BAZ26" s="248"/>
      <c r="BBA26" s="248"/>
      <c r="BBB26" s="248"/>
      <c r="BBC26" s="248"/>
      <c r="BBD26" s="248"/>
      <c r="BBE26" s="248"/>
      <c r="BBF26" s="248"/>
      <c r="BBG26" s="248"/>
      <c r="BBH26" s="248"/>
      <c r="BBI26" s="248"/>
      <c r="BBJ26" s="248"/>
      <c r="BBK26" s="248"/>
      <c r="BBL26" s="248"/>
      <c r="BBM26" s="248"/>
      <c r="BBN26" s="248"/>
      <c r="BBO26" s="248"/>
      <c r="BBP26" s="248"/>
      <c r="BBQ26" s="248"/>
      <c r="BBR26" s="248"/>
      <c r="BBS26" s="248"/>
      <c r="BBT26" s="248"/>
      <c r="BBU26" s="248"/>
      <c r="BBV26" s="248"/>
      <c r="BBW26" s="248"/>
      <c r="BBX26" s="248"/>
      <c r="BBY26" s="248"/>
      <c r="BBZ26" s="248"/>
      <c r="BCA26" s="248"/>
      <c r="BCB26" s="248"/>
      <c r="BCC26" s="248"/>
      <c r="BCD26" s="248"/>
      <c r="BCE26" s="248"/>
      <c r="BCF26" s="248"/>
      <c r="BCG26" s="248"/>
      <c r="BCH26" s="248"/>
      <c r="BCI26" s="248"/>
      <c r="BCJ26" s="248"/>
      <c r="BCK26" s="248"/>
      <c r="BCL26" s="248"/>
      <c r="BCM26" s="248"/>
      <c r="BCN26" s="248"/>
      <c r="BCO26" s="248"/>
      <c r="BCP26" s="248"/>
      <c r="BCQ26" s="248"/>
      <c r="BCR26" s="248"/>
      <c r="BCS26" s="248"/>
      <c r="BCT26" s="248"/>
      <c r="BCU26" s="248"/>
      <c r="BCV26" s="248"/>
      <c r="BCW26" s="248"/>
      <c r="BCX26" s="248"/>
      <c r="BCY26" s="248"/>
      <c r="BCZ26" s="248"/>
      <c r="BDA26" s="248"/>
      <c r="BDB26" s="248"/>
      <c r="BDC26" s="248"/>
      <c r="BDD26" s="248"/>
      <c r="BDE26" s="248"/>
      <c r="BDF26" s="248"/>
      <c r="BDG26" s="248"/>
      <c r="BDH26" s="248"/>
      <c r="BDI26" s="248"/>
      <c r="BDJ26" s="248"/>
      <c r="BDK26" s="248"/>
      <c r="BDL26" s="248"/>
      <c r="BDM26" s="248"/>
      <c r="BDN26" s="248"/>
      <c r="BDO26" s="248"/>
      <c r="BDP26" s="248"/>
      <c r="BDQ26" s="248"/>
      <c r="BDR26" s="248"/>
      <c r="BDS26" s="248"/>
      <c r="BDT26" s="248"/>
      <c r="BDU26" s="248"/>
      <c r="BDV26" s="248"/>
      <c r="BDW26" s="248"/>
      <c r="BDX26" s="248"/>
      <c r="BDY26" s="248"/>
      <c r="BDZ26" s="248"/>
      <c r="BEA26" s="248"/>
      <c r="BEB26" s="248"/>
      <c r="BEC26" s="248"/>
      <c r="BED26" s="248"/>
      <c r="BEE26" s="248"/>
      <c r="BEF26" s="248"/>
      <c r="BEG26" s="248"/>
      <c r="BEH26" s="248"/>
      <c r="BEI26" s="248"/>
      <c r="BEJ26" s="248"/>
      <c r="BEK26" s="248"/>
      <c r="BEL26" s="248"/>
      <c r="BEM26" s="248"/>
      <c r="BEN26" s="248"/>
      <c r="BEO26" s="248"/>
      <c r="BEP26" s="248"/>
      <c r="BEQ26" s="248"/>
      <c r="BER26" s="248"/>
      <c r="BES26" s="248"/>
      <c r="BET26" s="248"/>
      <c r="BEU26" s="248"/>
      <c r="BEV26" s="248"/>
      <c r="BEW26" s="248"/>
      <c r="BEX26" s="248"/>
      <c r="BEY26" s="248"/>
      <c r="BEZ26" s="248"/>
      <c r="BFA26" s="248"/>
      <c r="BFB26" s="248"/>
      <c r="BFC26" s="248"/>
      <c r="BFD26" s="248"/>
      <c r="BFE26" s="248"/>
      <c r="BFF26" s="248"/>
      <c r="BFG26" s="248"/>
      <c r="BFH26" s="248"/>
      <c r="BFI26" s="248"/>
      <c r="BFJ26" s="248"/>
      <c r="BFK26" s="248"/>
      <c r="BFL26" s="248"/>
      <c r="BFM26" s="248"/>
      <c r="BFN26" s="248"/>
      <c r="BFO26" s="248"/>
      <c r="BFP26" s="248"/>
      <c r="BFQ26" s="248"/>
      <c r="BFR26" s="248"/>
      <c r="BFS26" s="248"/>
      <c r="BFT26" s="248"/>
      <c r="BFU26" s="248"/>
      <c r="BFV26" s="248"/>
      <c r="BFW26" s="248"/>
      <c r="BFX26" s="248"/>
      <c r="BFY26" s="248"/>
      <c r="BFZ26" s="248"/>
      <c r="BGA26" s="248"/>
      <c r="BGB26" s="248"/>
      <c r="BGC26" s="248"/>
      <c r="BGD26" s="248"/>
      <c r="BGE26" s="248"/>
      <c r="BGF26" s="248"/>
      <c r="BGG26" s="248"/>
      <c r="BGH26" s="248"/>
      <c r="BGI26" s="248"/>
      <c r="BGJ26" s="248"/>
      <c r="BGK26" s="248"/>
      <c r="BGL26" s="248"/>
      <c r="BGM26" s="248"/>
      <c r="BGN26" s="248"/>
      <c r="BGO26" s="248"/>
      <c r="BGP26" s="248"/>
      <c r="BGQ26" s="248"/>
      <c r="BGR26" s="248"/>
      <c r="BGS26" s="248"/>
      <c r="BGT26" s="248"/>
      <c r="BGU26" s="248"/>
      <c r="BGV26" s="248"/>
      <c r="BGW26" s="248"/>
      <c r="BGX26" s="248"/>
      <c r="BGY26" s="248"/>
      <c r="BGZ26" s="248"/>
      <c r="BHA26" s="248"/>
      <c r="BHB26" s="248"/>
      <c r="BHC26" s="248"/>
      <c r="BHD26" s="248"/>
      <c r="BHE26" s="248"/>
      <c r="BHF26" s="248"/>
      <c r="BHG26" s="248"/>
      <c r="BHH26" s="248"/>
      <c r="BHI26" s="248"/>
      <c r="BHJ26" s="248"/>
      <c r="BHK26" s="248"/>
      <c r="BHL26" s="248"/>
      <c r="BHM26" s="248"/>
      <c r="BHN26" s="248"/>
      <c r="BHO26" s="248"/>
      <c r="BHP26" s="248"/>
      <c r="BHQ26" s="248"/>
      <c r="BHR26" s="248"/>
      <c r="BHS26" s="248"/>
      <c r="BHT26" s="248"/>
      <c r="BHU26" s="248"/>
      <c r="BHV26" s="248"/>
      <c r="BHW26" s="248"/>
      <c r="BHX26" s="248"/>
      <c r="BHY26" s="248"/>
      <c r="BHZ26" s="248"/>
      <c r="BIA26" s="248"/>
      <c r="BIB26" s="248"/>
      <c r="BIC26" s="248"/>
      <c r="BID26" s="248"/>
      <c r="BIE26" s="248"/>
      <c r="BIF26" s="248"/>
      <c r="BIG26" s="248"/>
      <c r="BIH26" s="248"/>
      <c r="BII26" s="248"/>
      <c r="BIJ26" s="248"/>
      <c r="BIK26" s="248"/>
      <c r="BIL26" s="248"/>
      <c r="BIM26" s="248"/>
      <c r="BIN26" s="248"/>
      <c r="BIO26" s="248"/>
      <c r="BIP26" s="248"/>
      <c r="BIQ26" s="248"/>
      <c r="BIR26" s="248"/>
      <c r="BIS26" s="248"/>
      <c r="BIT26" s="248"/>
      <c r="BIU26" s="248"/>
      <c r="BIV26" s="248"/>
      <c r="BIW26" s="248"/>
      <c r="BIX26" s="248"/>
      <c r="BIY26" s="248"/>
      <c r="BIZ26" s="248"/>
      <c r="BJA26" s="248"/>
      <c r="BJB26" s="248"/>
      <c r="BJC26" s="248"/>
      <c r="BJD26" s="248"/>
      <c r="BJE26" s="248"/>
      <c r="BJF26" s="248"/>
      <c r="BJG26" s="248"/>
      <c r="BJH26" s="248"/>
      <c r="BJI26" s="248"/>
      <c r="BJJ26" s="248"/>
      <c r="BJK26" s="248"/>
      <c r="BJL26" s="248"/>
      <c r="BJM26" s="248"/>
      <c r="BJN26" s="248"/>
      <c r="BJO26" s="248"/>
      <c r="BJP26" s="248"/>
      <c r="BJQ26" s="248"/>
      <c r="BJR26" s="248"/>
      <c r="BJS26" s="248"/>
      <c r="BJT26" s="248"/>
      <c r="BJU26" s="248"/>
      <c r="BJV26" s="248"/>
      <c r="BJW26" s="248"/>
      <c r="BJX26" s="248"/>
      <c r="BJY26" s="248"/>
      <c r="BJZ26" s="248"/>
      <c r="BKA26" s="248"/>
      <c r="BKB26" s="248"/>
      <c r="BKC26" s="248"/>
      <c r="BKD26" s="248"/>
      <c r="BKE26" s="248"/>
      <c r="BKF26" s="248"/>
      <c r="BKG26" s="248"/>
      <c r="BKH26" s="248"/>
      <c r="BKI26" s="248"/>
      <c r="BKJ26" s="248"/>
      <c r="BKK26" s="248"/>
      <c r="BKL26" s="248"/>
      <c r="BKM26" s="248"/>
      <c r="BKN26" s="248"/>
      <c r="BKO26" s="248"/>
      <c r="BKP26" s="248"/>
      <c r="BKQ26" s="248"/>
      <c r="BKR26" s="248"/>
      <c r="BKS26" s="248"/>
      <c r="BKT26" s="248"/>
      <c r="BKU26" s="248"/>
      <c r="BKV26" s="248"/>
    </row>
    <row r="27" spans="1:1660" ht="20.100000000000001" customHeight="1" x14ac:dyDescent="0.25">
      <c r="A27" s="78" t="s">
        <v>26</v>
      </c>
      <c r="B27" s="51" t="str">
        <f>IF(LEN(C39)=0,"",C39)</f>
        <v>Meeting</v>
      </c>
      <c r="C27" s="209" t="s">
        <v>102</v>
      </c>
      <c r="D27" s="119" t="str">
        <f t="shared" si="0"/>
        <v>4h 40 min</v>
      </c>
      <c r="E27" s="34">
        <v>56</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55"/>
      <c r="LN27" s="255"/>
      <c r="LO27" s="255"/>
      <c r="LP27" s="255"/>
      <c r="LQ27" s="258"/>
      <c r="LR27" s="255"/>
      <c r="LS27" s="255"/>
      <c r="LT27" s="255"/>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73"/>
      <c r="AYA27" s="248"/>
      <c r="AYB27" s="248"/>
      <c r="AYC27" s="248"/>
      <c r="AYD27" s="248"/>
      <c r="AYE27" s="248"/>
      <c r="AYF27" s="248"/>
      <c r="AYG27" s="248"/>
      <c r="AYH27" s="248"/>
      <c r="AYI27" s="248"/>
      <c r="AYJ27" s="248"/>
      <c r="AYK27" s="248"/>
      <c r="AYL27" s="248"/>
      <c r="AYM27" s="248"/>
      <c r="AYN27" s="248"/>
      <c r="AYO27" s="248"/>
      <c r="AYP27" s="248"/>
      <c r="AYQ27" s="248"/>
      <c r="AYR27" s="248"/>
      <c r="AYS27" s="248"/>
      <c r="AYT27" s="248"/>
      <c r="AYU27" s="248"/>
      <c r="AYV27" s="248"/>
      <c r="AYW27" s="248"/>
      <c r="AYX27" s="248"/>
      <c r="AYY27" s="248"/>
      <c r="AYZ27" s="248"/>
      <c r="AZA27" s="248"/>
      <c r="AZB27" s="248"/>
      <c r="AZC27" s="248"/>
      <c r="AZD27" s="248"/>
      <c r="AZE27" s="248"/>
      <c r="AZF27" s="248"/>
      <c r="AZG27" s="248"/>
      <c r="AZH27" s="248"/>
      <c r="AZI27" s="248"/>
      <c r="AZJ27" s="248"/>
      <c r="AZK27" s="248"/>
      <c r="AZL27" s="248"/>
      <c r="AZM27" s="248"/>
      <c r="AZN27" s="248"/>
      <c r="AZO27" s="248"/>
      <c r="AZP27" s="248"/>
      <c r="AZQ27" s="248"/>
      <c r="AZR27" s="248"/>
      <c r="AZS27" s="248"/>
      <c r="AZT27" s="248"/>
      <c r="AZU27" s="248"/>
      <c r="AZV27" s="248"/>
      <c r="AZW27" s="248"/>
      <c r="AZX27" s="248"/>
      <c r="AZY27" s="248"/>
      <c r="AZZ27" s="248"/>
      <c r="BAA27" s="248"/>
      <c r="BAB27" s="248"/>
      <c r="BAC27" s="248"/>
      <c r="BAD27" s="248"/>
      <c r="BAE27" s="248"/>
      <c r="BAF27" s="248"/>
      <c r="BAG27" s="248"/>
      <c r="BAH27" s="248"/>
      <c r="BAI27" s="248"/>
      <c r="BAJ27" s="248"/>
      <c r="BAK27" s="248"/>
      <c r="BAL27" s="248"/>
      <c r="BAM27" s="248"/>
      <c r="BAN27" s="248"/>
      <c r="BAO27" s="248"/>
      <c r="BAP27" s="248"/>
      <c r="BAQ27" s="248"/>
      <c r="BAR27" s="248"/>
      <c r="BAS27" s="248"/>
      <c r="BAT27" s="248"/>
      <c r="BAU27" s="248"/>
      <c r="BAV27" s="248"/>
      <c r="BAW27" s="248"/>
      <c r="BAX27" s="248"/>
      <c r="BAY27" s="248"/>
      <c r="BAZ27" s="248"/>
      <c r="BBA27" s="248"/>
      <c r="BBB27" s="248"/>
      <c r="BBC27" s="248"/>
      <c r="BBD27" s="248"/>
      <c r="BBE27" s="248"/>
      <c r="BBF27" s="248"/>
      <c r="BBG27" s="248"/>
      <c r="BBH27" s="248"/>
      <c r="BBI27" s="248"/>
      <c r="BBJ27" s="248"/>
      <c r="BBK27" s="248"/>
      <c r="BBL27" s="248"/>
      <c r="BBM27" s="248"/>
      <c r="BBN27" s="248"/>
      <c r="BBO27" s="248"/>
      <c r="BBP27" s="248"/>
      <c r="BBQ27" s="248"/>
      <c r="BBR27" s="248"/>
      <c r="BBS27" s="248"/>
      <c r="BBT27" s="248"/>
      <c r="BBU27" s="248"/>
      <c r="BBV27" s="248"/>
      <c r="BBW27" s="248"/>
      <c r="BBX27" s="248"/>
      <c r="BBY27" s="248"/>
      <c r="BBZ27" s="248"/>
      <c r="BCA27" s="248"/>
      <c r="BCB27" s="248"/>
      <c r="BCC27" s="248"/>
      <c r="BCD27" s="248"/>
      <c r="BCE27" s="248"/>
      <c r="BCF27" s="248"/>
      <c r="BCG27" s="248"/>
      <c r="BCH27" s="248"/>
      <c r="BCI27" s="248"/>
      <c r="BCJ27" s="248"/>
      <c r="BCK27" s="248"/>
      <c r="BCL27" s="248"/>
      <c r="BCM27" s="248"/>
      <c r="BCN27" s="248"/>
      <c r="BCO27" s="248"/>
      <c r="BCP27" s="248"/>
      <c r="BCQ27" s="248"/>
      <c r="BCR27" s="248"/>
      <c r="BCS27" s="248"/>
      <c r="BCT27" s="248"/>
      <c r="BCU27" s="248"/>
      <c r="BCV27" s="248"/>
      <c r="BCW27" s="248"/>
      <c r="BCX27" s="248"/>
      <c r="BCY27" s="248"/>
      <c r="BCZ27" s="248"/>
      <c r="BDA27" s="248"/>
      <c r="BDB27" s="248"/>
      <c r="BDC27" s="248"/>
      <c r="BDD27" s="248"/>
      <c r="BDE27" s="248"/>
      <c r="BDF27" s="248"/>
      <c r="BDG27" s="248"/>
      <c r="BDH27" s="248"/>
      <c r="BDI27" s="248"/>
      <c r="BDJ27" s="248"/>
      <c r="BDK27" s="248"/>
      <c r="BDL27" s="248"/>
      <c r="BDM27" s="248"/>
      <c r="BDN27" s="248"/>
      <c r="BDO27" s="248"/>
      <c r="BDP27" s="248"/>
      <c r="BDQ27" s="248"/>
      <c r="BDR27" s="248"/>
      <c r="BDS27" s="248"/>
      <c r="BDT27" s="248"/>
      <c r="BDU27" s="248"/>
      <c r="BDV27" s="248"/>
      <c r="BDW27" s="248"/>
      <c r="BDX27" s="248"/>
      <c r="BDY27" s="248"/>
      <c r="BDZ27" s="248"/>
      <c r="BEA27" s="248"/>
      <c r="BEB27" s="248"/>
      <c r="BEC27" s="248"/>
      <c r="BED27" s="248"/>
      <c r="BEE27" s="248"/>
      <c r="BEF27" s="248"/>
      <c r="BEG27" s="248"/>
      <c r="BEH27" s="248"/>
      <c r="BEI27" s="248"/>
      <c r="BEJ27" s="248"/>
      <c r="BEK27" s="248"/>
      <c r="BEL27" s="248"/>
      <c r="BEM27" s="248"/>
      <c r="BEN27" s="248"/>
      <c r="BEO27" s="248"/>
      <c r="BEP27" s="248"/>
      <c r="BEQ27" s="248"/>
      <c r="BER27" s="248"/>
      <c r="BES27" s="248"/>
      <c r="BET27" s="248"/>
      <c r="BEU27" s="248"/>
      <c r="BEV27" s="248"/>
      <c r="BEW27" s="248"/>
      <c r="BEX27" s="248"/>
      <c r="BEY27" s="248"/>
      <c r="BEZ27" s="248"/>
      <c r="BFA27" s="248"/>
      <c r="BFB27" s="248"/>
      <c r="BFC27" s="248"/>
      <c r="BFD27" s="248"/>
      <c r="BFE27" s="248"/>
      <c r="BFF27" s="248"/>
      <c r="BFG27" s="248"/>
      <c r="BFH27" s="248"/>
      <c r="BFI27" s="248"/>
      <c r="BFJ27" s="248"/>
      <c r="BFK27" s="248"/>
      <c r="BFL27" s="248"/>
      <c r="BFM27" s="248"/>
      <c r="BFN27" s="248"/>
      <c r="BFO27" s="248"/>
      <c r="BFP27" s="248"/>
      <c r="BFQ27" s="248"/>
      <c r="BFR27" s="248"/>
      <c r="BFS27" s="248"/>
      <c r="BFT27" s="248"/>
      <c r="BFU27" s="248"/>
      <c r="BFV27" s="248"/>
      <c r="BFW27" s="248"/>
      <c r="BFX27" s="248"/>
      <c r="BFY27" s="248"/>
      <c r="BFZ27" s="248"/>
      <c r="BGA27" s="248"/>
      <c r="BGB27" s="248"/>
      <c r="BGC27" s="248"/>
      <c r="BGD27" s="248"/>
      <c r="BGE27" s="248"/>
      <c r="BGF27" s="248"/>
      <c r="BGG27" s="248"/>
      <c r="BGH27" s="248"/>
      <c r="BGI27" s="248"/>
      <c r="BGJ27" s="248"/>
      <c r="BGK27" s="248"/>
      <c r="BGL27" s="248"/>
      <c r="BGM27" s="248"/>
      <c r="BGN27" s="248"/>
      <c r="BGO27" s="248"/>
      <c r="BGP27" s="248"/>
      <c r="BGQ27" s="248"/>
      <c r="BGR27" s="248"/>
      <c r="BGS27" s="248"/>
      <c r="BGT27" s="248"/>
      <c r="BGU27" s="248"/>
      <c r="BGV27" s="248"/>
      <c r="BGW27" s="248"/>
      <c r="BGX27" s="248"/>
      <c r="BGY27" s="248"/>
      <c r="BGZ27" s="248"/>
      <c r="BHA27" s="248"/>
      <c r="BHB27" s="248"/>
      <c r="BHC27" s="248"/>
      <c r="BHD27" s="248"/>
      <c r="BHE27" s="248"/>
      <c r="BHF27" s="248"/>
      <c r="BHG27" s="248"/>
      <c r="BHH27" s="248"/>
      <c r="BHI27" s="248"/>
      <c r="BHJ27" s="248"/>
      <c r="BHK27" s="248"/>
      <c r="BHL27" s="248"/>
      <c r="BHM27" s="248"/>
      <c r="BHN27" s="248"/>
      <c r="BHO27" s="248"/>
      <c r="BHP27" s="248"/>
      <c r="BHQ27" s="248"/>
      <c r="BHR27" s="248"/>
      <c r="BHS27" s="248"/>
      <c r="BHT27" s="248"/>
      <c r="BHU27" s="248"/>
      <c r="BHV27" s="248"/>
      <c r="BHW27" s="248"/>
      <c r="BHX27" s="248"/>
      <c r="BHY27" s="248"/>
      <c r="BHZ27" s="248"/>
      <c r="BIA27" s="248"/>
      <c r="BIB27" s="248"/>
      <c r="BIC27" s="248"/>
      <c r="BID27" s="248"/>
      <c r="BIE27" s="248"/>
      <c r="BIF27" s="248"/>
      <c r="BIG27" s="248"/>
      <c r="BIH27" s="248"/>
      <c r="BII27" s="248"/>
      <c r="BIJ27" s="248"/>
      <c r="BIK27" s="248"/>
      <c r="BIL27" s="248"/>
      <c r="BIM27" s="248"/>
      <c r="BIN27" s="248"/>
      <c r="BIO27" s="248"/>
      <c r="BIP27" s="248"/>
      <c r="BIQ27" s="248"/>
      <c r="BIR27" s="248"/>
      <c r="BIS27" s="248"/>
      <c r="BIT27" s="248"/>
      <c r="BIU27" s="248"/>
      <c r="BIV27" s="248"/>
      <c r="BIW27" s="248"/>
      <c r="BIX27" s="248"/>
      <c r="BIY27" s="248"/>
      <c r="BIZ27" s="248"/>
      <c r="BJA27" s="248"/>
      <c r="BJB27" s="248"/>
      <c r="BJC27" s="248"/>
      <c r="BJD27" s="248"/>
      <c r="BJE27" s="248"/>
      <c r="BJF27" s="248"/>
      <c r="BJG27" s="248"/>
      <c r="BJH27" s="248"/>
      <c r="BJI27" s="248"/>
      <c r="BJJ27" s="248"/>
      <c r="BJK27" s="248"/>
      <c r="BJL27" s="248"/>
      <c r="BJM27" s="248"/>
      <c r="BJN27" s="248"/>
    </row>
    <row r="28" spans="1:1660" ht="20.100000000000001" customHeight="1" x14ac:dyDescent="0.3">
      <c r="A28" s="78" t="s">
        <v>28</v>
      </c>
      <c r="B28" s="51" t="str">
        <f>IF(LEN(C41)=0,"",C41)</f>
        <v>Réalisation – API principale</v>
      </c>
      <c r="C28" s="210"/>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73"/>
      <c r="AYA28" s="248"/>
      <c r="AYB28" s="248"/>
      <c r="AYC28" s="248"/>
      <c r="AYD28" s="248"/>
      <c r="AYE28" s="248"/>
      <c r="AYF28" s="248"/>
      <c r="AYG28" s="248"/>
      <c r="AYH28" s="248"/>
      <c r="AYI28" s="248"/>
      <c r="AYJ28" s="248"/>
      <c r="AYK28" s="248"/>
      <c r="AYL28" s="248"/>
      <c r="AYM28" s="248"/>
      <c r="AYN28" s="248"/>
      <c r="AYO28" s="248"/>
      <c r="AYP28" s="248"/>
      <c r="AYQ28" s="248"/>
      <c r="AYR28" s="248"/>
      <c r="AYS28" s="248"/>
      <c r="AYT28" s="248"/>
      <c r="AYU28" s="248"/>
      <c r="AYV28" s="248"/>
      <c r="AYW28" s="248"/>
      <c r="AYX28" s="248"/>
      <c r="AYY28" s="248"/>
      <c r="AYZ28" s="248"/>
      <c r="AZA28" s="248"/>
      <c r="AZB28" s="248"/>
      <c r="AZC28" s="248"/>
      <c r="AZD28" s="248"/>
      <c r="AZE28" s="248"/>
      <c r="AZF28" s="248"/>
      <c r="AZG28" s="248"/>
      <c r="AZH28" s="248"/>
      <c r="AZI28" s="248"/>
      <c r="AZJ28" s="248"/>
      <c r="AZK28" s="248"/>
      <c r="AZL28" s="248"/>
      <c r="AZM28" s="248"/>
      <c r="AZN28" s="248"/>
      <c r="AZO28" s="248"/>
      <c r="AZP28" s="248"/>
      <c r="AZQ28" s="248"/>
      <c r="AZR28" s="248"/>
      <c r="AZS28" s="248"/>
      <c r="AZT28" s="248"/>
      <c r="AZU28" s="248"/>
      <c r="AZV28" s="248"/>
      <c r="AZW28" s="248"/>
      <c r="AZX28" s="248"/>
      <c r="AZY28" s="248"/>
      <c r="AZZ28" s="248"/>
      <c r="BAA28" s="248"/>
      <c r="BAB28" s="248"/>
      <c r="BAC28" s="248"/>
      <c r="BAD28" s="248"/>
      <c r="BAE28" s="248"/>
      <c r="BAF28" s="248"/>
      <c r="BAG28" s="248"/>
      <c r="BAH28" s="248"/>
      <c r="BAI28" s="248"/>
      <c r="BAJ28" s="248"/>
      <c r="BAK28" s="248"/>
      <c r="BAL28" s="248"/>
      <c r="BAM28" s="248"/>
      <c r="BAN28" s="248"/>
      <c r="BAO28" s="248"/>
      <c r="BAP28" s="248"/>
      <c r="BAQ28" s="248"/>
      <c r="BAR28" s="248"/>
      <c r="BAS28" s="248"/>
      <c r="BAT28" s="248"/>
      <c r="BAU28" s="248"/>
      <c r="BAV28" s="248"/>
      <c r="BAW28" s="248"/>
      <c r="BAX28" s="248"/>
      <c r="BAY28" s="248"/>
      <c r="BAZ28" s="248"/>
      <c r="BBA28" s="248"/>
      <c r="BBB28" s="248"/>
      <c r="BBC28" s="248"/>
      <c r="BBD28" s="248"/>
      <c r="BBE28" s="248"/>
      <c r="BBF28" s="248"/>
      <c r="BBG28" s="248"/>
      <c r="BBH28" s="248"/>
      <c r="BBI28" s="248"/>
      <c r="BBJ28" s="248"/>
      <c r="BBK28" s="248"/>
      <c r="BBL28" s="248"/>
      <c r="BBM28" s="248"/>
      <c r="BBN28" s="248"/>
      <c r="BBO28" s="248"/>
      <c r="BBP28" s="248"/>
      <c r="BBQ28" s="248"/>
      <c r="BBR28" s="248"/>
      <c r="BBS28" s="248"/>
      <c r="BBT28" s="248"/>
      <c r="BBU28" s="248"/>
      <c r="BBV28" s="248"/>
      <c r="BBW28" s="248"/>
      <c r="BBX28" s="248"/>
      <c r="BBY28" s="248"/>
      <c r="BBZ28" s="248"/>
      <c r="BCA28" s="248"/>
      <c r="BCB28" s="248"/>
      <c r="BCC28" s="248"/>
      <c r="BCD28" s="248"/>
      <c r="BCE28" s="248"/>
      <c r="BCF28" s="248"/>
      <c r="BCG28" s="248"/>
      <c r="BCH28" s="248"/>
      <c r="BCI28" s="248"/>
      <c r="BCJ28" s="248"/>
      <c r="BCK28" s="248"/>
      <c r="BCL28" s="248"/>
      <c r="BCM28" s="248"/>
      <c r="BCN28" s="248"/>
      <c r="BCO28" s="248"/>
      <c r="BCP28" s="248"/>
      <c r="BCQ28" s="248"/>
      <c r="BCR28" s="248"/>
      <c r="BCS28" s="248"/>
      <c r="BCT28" s="248"/>
      <c r="BCU28" s="248"/>
      <c r="BCV28" s="248"/>
      <c r="BCW28" s="248"/>
      <c r="BCX28" s="248"/>
      <c r="BCY28" s="248"/>
      <c r="BCZ28" s="248"/>
      <c r="BDA28" s="248"/>
      <c r="BDB28" s="248"/>
      <c r="BDC28" s="248"/>
      <c r="BDD28" s="248"/>
      <c r="BDE28" s="248"/>
      <c r="BDF28" s="248"/>
      <c r="BDG28" s="248"/>
      <c r="BDH28" s="248"/>
      <c r="BDI28" s="248"/>
      <c r="BDJ28" s="248"/>
      <c r="BDK28" s="248"/>
      <c r="BDL28" s="248"/>
      <c r="BDM28" s="248"/>
      <c r="BDN28" s="248"/>
      <c r="BDO28" s="248"/>
      <c r="BDP28" s="248"/>
      <c r="BDQ28" s="248"/>
      <c r="BDR28" s="248"/>
      <c r="BDS28" s="248"/>
      <c r="BDT28" s="248"/>
      <c r="BDU28" s="248"/>
      <c r="BDV28" s="248"/>
      <c r="BDW28" s="248"/>
      <c r="BDX28" s="248"/>
      <c r="BDY28" s="248"/>
      <c r="BDZ28" s="248"/>
      <c r="BEA28" s="248"/>
      <c r="BEB28" s="248"/>
      <c r="BEC28" s="248"/>
      <c r="BED28" s="248"/>
      <c r="BEE28" s="248"/>
      <c r="BEF28" s="248"/>
      <c r="BEG28" s="248"/>
      <c r="BEH28" s="248"/>
      <c r="BEI28" s="248"/>
      <c r="BEJ28" s="248"/>
      <c r="BEK28" s="248"/>
      <c r="BEL28" s="248"/>
      <c r="BEM28" s="248"/>
      <c r="BEN28" s="248"/>
      <c r="BEO28" s="248"/>
      <c r="BEP28" s="248"/>
      <c r="BEQ28" s="248"/>
      <c r="BER28" s="248"/>
      <c r="BES28" s="248"/>
      <c r="BET28" s="248"/>
      <c r="BEU28" s="248"/>
      <c r="BEV28" s="248"/>
      <c r="BEW28" s="248"/>
      <c r="BEX28" s="248"/>
      <c r="BEY28" s="248"/>
      <c r="BEZ28" s="248"/>
      <c r="BFA28" s="248"/>
      <c r="BFB28" s="248"/>
      <c r="BFC28" s="248"/>
      <c r="BFD28" s="248"/>
      <c r="BFE28" s="248"/>
      <c r="BFF28" s="248"/>
      <c r="BFG28" s="248"/>
      <c r="BFH28" s="248"/>
      <c r="BFI28" s="248"/>
      <c r="BFJ28" s="248"/>
      <c r="BFK28" s="248"/>
      <c r="BFL28" s="248"/>
      <c r="BFM28" s="248"/>
      <c r="BFN28" s="248"/>
      <c r="BFO28" s="248"/>
      <c r="BFP28" s="248"/>
      <c r="BFQ28" s="248"/>
      <c r="BFR28" s="248"/>
      <c r="BFS28" s="248"/>
      <c r="BFT28" s="248"/>
      <c r="BFU28" s="248"/>
      <c r="BFV28" s="248"/>
      <c r="BFW28" s="248"/>
      <c r="BFX28" s="248"/>
      <c r="BFY28" s="248"/>
      <c r="BFZ28" s="248"/>
      <c r="BGA28" s="248"/>
      <c r="BGB28" s="248"/>
      <c r="BGC28" s="248"/>
      <c r="BGD28" s="248"/>
      <c r="BGE28" s="248"/>
      <c r="BGF28" s="248"/>
      <c r="BGG28" s="248"/>
      <c r="BGH28" s="248"/>
      <c r="BGI28" s="248"/>
      <c r="BGJ28" s="248"/>
      <c r="BGK28" s="248"/>
      <c r="BGL28" s="248"/>
      <c r="BGM28" s="248"/>
      <c r="BGN28" s="248"/>
      <c r="BGO28" s="248"/>
      <c r="BGP28" s="248"/>
      <c r="BGQ28" s="248"/>
      <c r="BGR28" s="248"/>
      <c r="BGS28" s="248"/>
      <c r="BGT28" s="248"/>
      <c r="BGU28" s="248"/>
      <c r="BGV28" s="248"/>
      <c r="BGW28" s="248"/>
      <c r="BGX28" s="248"/>
      <c r="BGY28" s="248"/>
      <c r="BGZ28" s="248"/>
      <c r="BHA28" s="248"/>
      <c r="BHB28" s="248"/>
      <c r="BHC28" s="248"/>
      <c r="BHD28" s="248"/>
      <c r="BHE28" s="248"/>
      <c r="BHF28" s="248"/>
      <c r="BHG28" s="248"/>
      <c r="BHH28" s="248"/>
      <c r="BHI28" s="248"/>
      <c r="BHJ28" s="248"/>
      <c r="BHK28" s="248"/>
      <c r="BHL28" s="248"/>
      <c r="BHM28" s="248"/>
      <c r="BHN28" s="248"/>
      <c r="BHO28" s="248"/>
      <c r="BHP28" s="248"/>
      <c r="BHQ28" s="248"/>
      <c r="BHR28" s="248"/>
      <c r="BHS28" s="248"/>
      <c r="BHT28" s="248"/>
      <c r="BHU28" s="248"/>
      <c r="BHV28" s="248"/>
      <c r="BHW28" s="248"/>
      <c r="BHX28" s="248"/>
      <c r="BHY28" s="248"/>
      <c r="BHZ28" s="248"/>
      <c r="BIA28" s="248"/>
      <c r="BIB28" s="248"/>
      <c r="BIC28" s="248"/>
      <c r="BID28" s="248"/>
      <c r="BIE28" s="248"/>
      <c r="BIF28" s="248"/>
      <c r="BIG28" s="248"/>
      <c r="BIH28" s="248"/>
      <c r="BII28" s="248"/>
      <c r="BIJ28" s="248"/>
      <c r="BIK28" s="248"/>
      <c r="BIL28" s="248"/>
      <c r="BIM28" s="248"/>
      <c r="BIN28" s="248"/>
      <c r="BIO28" s="248"/>
      <c r="BIP28" s="248"/>
      <c r="BIQ28" s="248"/>
      <c r="BIR28" s="248"/>
      <c r="BIS28" s="248"/>
      <c r="BIT28" s="248"/>
      <c r="BIU28" s="248"/>
      <c r="BIV28" s="248"/>
      <c r="BIW28" s="248"/>
      <c r="BIX28" s="248"/>
      <c r="BIY28" s="248"/>
      <c r="BIZ28" s="248"/>
      <c r="BJA28" s="248"/>
      <c r="BJB28" s="248"/>
      <c r="BJC28" s="248"/>
      <c r="BJD28" s="248"/>
      <c r="BJE28" s="248"/>
      <c r="BJF28" s="248"/>
      <c r="BJG28" s="248"/>
      <c r="BJH28" s="248"/>
      <c r="BJI28" s="248"/>
      <c r="BJJ28" s="248"/>
      <c r="BJK28" s="248"/>
      <c r="BJL28" s="248"/>
      <c r="BJM28" s="248"/>
      <c r="BJN28" s="248"/>
      <c r="BJO28" s="248"/>
      <c r="BJP28" s="248"/>
      <c r="BJQ28" s="248"/>
      <c r="BJR28" s="248"/>
      <c r="BJS28" s="248"/>
      <c r="BJT28" s="248"/>
      <c r="BJU28" s="248"/>
      <c r="BJV28" s="248"/>
      <c r="BJW28" s="248"/>
      <c r="BJX28" s="248"/>
      <c r="BJY28" s="248"/>
      <c r="BJZ28" s="248"/>
      <c r="BKA28" s="248"/>
      <c r="BKB28" s="248"/>
      <c r="BKC28" s="248"/>
      <c r="BKD28" s="248"/>
      <c r="BKE28" s="248"/>
      <c r="BKF28" s="248"/>
      <c r="BKG28" s="248"/>
      <c r="BKH28" s="248"/>
      <c r="BKI28" s="248"/>
      <c r="BKJ28" s="248"/>
      <c r="BKK28" s="248"/>
      <c r="BKL28" s="248"/>
      <c r="BKM28" s="248"/>
      <c r="BKN28" s="248"/>
      <c r="BKO28" s="248"/>
      <c r="BKP28" s="248"/>
      <c r="BKQ28" s="248"/>
      <c r="BKR28" s="248"/>
      <c r="BKS28" s="248"/>
      <c r="BKT28" s="248"/>
      <c r="BKU28" s="248"/>
      <c r="BKV28" s="248"/>
    </row>
    <row r="29" spans="1:1660" ht="20.100000000000001" customHeight="1" x14ac:dyDescent="0.25">
      <c r="A29" s="78" t="s">
        <v>26</v>
      </c>
      <c r="B29" s="51" t="str">
        <f>IF(LEN(C43)=0,"",C43)</f>
        <v>Réalisation – application mobile</v>
      </c>
      <c r="C29" s="209" t="s">
        <v>50</v>
      </c>
      <c r="D29" s="119" t="str">
        <f t="shared" si="0"/>
        <v>8h</v>
      </c>
      <c r="E29" s="26">
        <v>96</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251"/>
      <c r="FD29" s="251"/>
      <c r="FE29" s="253"/>
      <c r="FF29" s="251"/>
      <c r="FG29" s="251"/>
      <c r="FH29" s="251"/>
      <c r="FI29" s="251"/>
      <c r="FJ29" s="251"/>
      <c r="FK29" s="254"/>
      <c r="FL29" s="251"/>
      <c r="FM29" s="251"/>
      <c r="FN29" s="251"/>
      <c r="FO29" s="170"/>
      <c r="FP29" s="170"/>
      <c r="FQ29" s="172"/>
      <c r="FR29" s="170"/>
      <c r="FS29" s="170"/>
      <c r="FT29" s="170"/>
      <c r="FU29" s="170"/>
      <c r="FV29" s="170"/>
      <c r="FW29" s="173"/>
      <c r="FX29" s="170"/>
      <c r="FY29" s="170"/>
      <c r="FZ29" s="170"/>
      <c r="GA29" s="170"/>
      <c r="GB29" s="170"/>
      <c r="GC29" s="174"/>
      <c r="GD29" s="169"/>
      <c r="GE29" s="170"/>
      <c r="GF29" s="251"/>
      <c r="GG29" s="251"/>
      <c r="GH29" s="251"/>
      <c r="GI29" s="252"/>
      <c r="GJ29" s="251"/>
      <c r="GK29" s="251"/>
      <c r="GL29" s="251"/>
      <c r="GM29" s="251"/>
      <c r="GN29" s="251"/>
      <c r="GO29" s="253"/>
      <c r="GP29" s="251"/>
      <c r="GQ29" s="251"/>
      <c r="GR29" s="170"/>
      <c r="GS29" s="170"/>
      <c r="GT29" s="170"/>
      <c r="GU29" s="173"/>
      <c r="GV29" s="170"/>
      <c r="GW29" s="170"/>
      <c r="GX29" s="170"/>
      <c r="GY29" s="170"/>
      <c r="GZ29" s="170"/>
      <c r="HA29" s="172"/>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251"/>
      <c r="IW29" s="253"/>
      <c r="IX29" s="251"/>
      <c r="IY29" s="251"/>
      <c r="IZ29" s="251"/>
      <c r="JA29" s="251"/>
      <c r="JB29" s="251"/>
      <c r="JC29" s="254"/>
      <c r="JD29" s="251"/>
      <c r="JE29" s="251"/>
      <c r="JF29" s="251"/>
      <c r="JG29" s="251"/>
      <c r="JH29" s="251"/>
      <c r="JI29" s="253"/>
      <c r="JJ29" s="251"/>
      <c r="JK29" s="251"/>
      <c r="JL29" s="251"/>
      <c r="JM29" s="251"/>
      <c r="JN29" s="251"/>
      <c r="JO29" s="254"/>
      <c r="JP29" s="251"/>
      <c r="JQ29" s="251"/>
      <c r="JR29" s="251"/>
      <c r="JS29" s="251"/>
      <c r="JT29" s="251"/>
      <c r="JU29" s="253"/>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251"/>
      <c r="LB29" s="251"/>
      <c r="LC29" s="251"/>
      <c r="LD29" s="251"/>
      <c r="LE29" s="253"/>
      <c r="LF29" s="251"/>
      <c r="LG29" s="251"/>
      <c r="LH29" s="251"/>
      <c r="LI29" s="251"/>
      <c r="LJ29" s="251"/>
      <c r="LK29" s="254"/>
      <c r="LL29" s="251"/>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73"/>
      <c r="AYA29" s="248"/>
      <c r="AYB29" s="248"/>
      <c r="AYC29" s="248"/>
      <c r="AYD29" s="248"/>
      <c r="AYE29" s="248"/>
      <c r="AYF29" s="248"/>
      <c r="AYG29" s="248"/>
      <c r="AYH29" s="248"/>
      <c r="AYI29" s="248"/>
      <c r="AYJ29" s="248"/>
      <c r="AYK29" s="248"/>
      <c r="AYL29" s="248"/>
      <c r="AYM29" s="248"/>
      <c r="AYN29" s="248"/>
      <c r="AYO29" s="248"/>
      <c r="AYP29" s="248"/>
      <c r="AYQ29" s="248"/>
      <c r="AYR29" s="248"/>
      <c r="AYS29" s="248"/>
      <c r="AYT29" s="248"/>
      <c r="AYU29" s="248"/>
      <c r="AYV29" s="248"/>
      <c r="AYW29" s="248"/>
      <c r="AYX29" s="248"/>
      <c r="AYY29" s="248"/>
      <c r="AYZ29" s="248"/>
      <c r="AZA29" s="248"/>
      <c r="AZB29" s="248"/>
      <c r="AZC29" s="248"/>
      <c r="AZD29" s="248"/>
      <c r="AZE29" s="248"/>
      <c r="AZF29" s="248"/>
      <c r="AZG29" s="248"/>
      <c r="AZH29" s="248"/>
      <c r="AZI29" s="248"/>
      <c r="AZJ29" s="248"/>
      <c r="AZK29" s="248"/>
      <c r="AZL29" s="248"/>
      <c r="AZM29" s="248"/>
      <c r="AZN29" s="248"/>
      <c r="AZO29" s="248"/>
      <c r="AZP29" s="248"/>
      <c r="AZQ29" s="248"/>
      <c r="AZR29" s="248"/>
      <c r="AZS29" s="248"/>
      <c r="AZT29" s="248"/>
      <c r="AZU29" s="248"/>
      <c r="AZV29" s="248"/>
      <c r="AZW29" s="248"/>
      <c r="AZX29" s="248"/>
      <c r="AZY29" s="248"/>
      <c r="AZZ29" s="248"/>
      <c r="BAA29" s="248"/>
      <c r="BAB29" s="248"/>
      <c r="BAC29" s="248"/>
      <c r="BAD29" s="248"/>
      <c r="BAE29" s="248"/>
      <c r="BAF29" s="248"/>
      <c r="BAG29" s="248"/>
      <c r="BAH29" s="248"/>
      <c r="BAI29" s="248"/>
      <c r="BAJ29" s="248"/>
      <c r="BAK29" s="248"/>
      <c r="BAL29" s="248"/>
      <c r="BAM29" s="248"/>
      <c r="BAN29" s="248"/>
      <c r="BAO29" s="248"/>
      <c r="BAP29" s="248"/>
      <c r="BAQ29" s="248"/>
      <c r="BAR29" s="248"/>
      <c r="BAS29" s="248"/>
      <c r="BAT29" s="248"/>
      <c r="BAU29" s="248"/>
      <c r="BAV29" s="248"/>
      <c r="BAW29" s="248"/>
      <c r="BAX29" s="248"/>
      <c r="BAY29" s="248"/>
      <c r="BAZ29" s="248"/>
      <c r="BBA29" s="248"/>
      <c r="BBB29" s="248"/>
      <c r="BBC29" s="248"/>
      <c r="BBD29" s="248"/>
      <c r="BBE29" s="248"/>
      <c r="BBF29" s="248"/>
      <c r="BBG29" s="248"/>
      <c r="BBH29" s="248"/>
      <c r="BBI29" s="248"/>
      <c r="BBJ29" s="248"/>
      <c r="BBK29" s="248"/>
      <c r="BBL29" s="248"/>
      <c r="BBM29" s="248"/>
      <c r="BBN29" s="248"/>
      <c r="BBO29" s="248"/>
      <c r="BBP29" s="248"/>
      <c r="BBQ29" s="248"/>
      <c r="BBR29" s="248"/>
      <c r="BBS29" s="248"/>
      <c r="BBT29" s="248"/>
      <c r="BBU29" s="248"/>
      <c r="BBV29" s="248"/>
      <c r="BBW29" s="248"/>
      <c r="BBX29" s="248"/>
      <c r="BBY29" s="248"/>
      <c r="BBZ29" s="248"/>
      <c r="BCA29" s="248"/>
      <c r="BCB29" s="248"/>
      <c r="BCC29" s="248"/>
      <c r="BCD29" s="248"/>
      <c r="BCE29" s="248"/>
      <c r="BCF29" s="248"/>
      <c r="BCG29" s="248"/>
      <c r="BCH29" s="248"/>
      <c r="BCI29" s="248"/>
      <c r="BCJ29" s="248"/>
      <c r="BCK29" s="248"/>
      <c r="BCL29" s="248"/>
      <c r="BCM29" s="248"/>
      <c r="BCN29" s="248"/>
      <c r="BCO29" s="248"/>
      <c r="BCP29" s="248"/>
      <c r="BCQ29" s="248"/>
      <c r="BCR29" s="248"/>
      <c r="BCS29" s="248"/>
      <c r="BCT29" s="248"/>
      <c r="BCU29" s="248"/>
      <c r="BCV29" s="248"/>
      <c r="BCW29" s="248"/>
      <c r="BCX29" s="248"/>
      <c r="BCY29" s="248"/>
      <c r="BCZ29" s="248"/>
      <c r="BDA29" s="248"/>
      <c r="BDB29" s="248"/>
      <c r="BDC29" s="248"/>
      <c r="BDD29" s="248"/>
      <c r="BDE29" s="248"/>
      <c r="BDF29" s="248"/>
      <c r="BDG29" s="248"/>
      <c r="BDH29" s="248"/>
      <c r="BDI29" s="248"/>
      <c r="BDJ29" s="248"/>
      <c r="BDK29" s="248"/>
      <c r="BDL29" s="248"/>
      <c r="BDM29" s="248"/>
      <c r="BDN29" s="248"/>
      <c r="BDO29" s="248"/>
      <c r="BDP29" s="248"/>
      <c r="BDQ29" s="248"/>
      <c r="BDR29" s="248"/>
      <c r="BDS29" s="248"/>
      <c r="BDT29" s="248"/>
      <c r="BDU29" s="248"/>
      <c r="BDV29" s="248"/>
      <c r="BDW29" s="248"/>
      <c r="BDX29" s="248"/>
      <c r="BDY29" s="248"/>
      <c r="BDZ29" s="248"/>
      <c r="BEA29" s="248"/>
      <c r="BEB29" s="248"/>
      <c r="BEC29" s="248"/>
      <c r="BED29" s="248"/>
      <c r="BEE29" s="248"/>
      <c r="BEF29" s="248"/>
      <c r="BEG29" s="248"/>
      <c r="BEH29" s="248"/>
      <c r="BEI29" s="248"/>
      <c r="BEJ29" s="248"/>
      <c r="BEK29" s="248"/>
      <c r="BEL29" s="248"/>
      <c r="BEM29" s="248"/>
      <c r="BEN29" s="248"/>
      <c r="BEO29" s="248"/>
      <c r="BEP29" s="248"/>
      <c r="BEQ29" s="248"/>
      <c r="BER29" s="248"/>
      <c r="BES29" s="248"/>
      <c r="BET29" s="248"/>
      <c r="BEU29" s="248"/>
      <c r="BEV29" s="248"/>
      <c r="BEW29" s="248"/>
      <c r="BEX29" s="248"/>
      <c r="BEY29" s="248"/>
      <c r="BEZ29" s="248"/>
      <c r="BFA29" s="248"/>
      <c r="BFB29" s="248"/>
      <c r="BFC29" s="248"/>
      <c r="BFD29" s="248"/>
      <c r="BFE29" s="248"/>
      <c r="BFF29" s="248"/>
      <c r="BFG29" s="248"/>
      <c r="BFH29" s="248"/>
      <c r="BFI29" s="248"/>
      <c r="BFJ29" s="248"/>
      <c r="BFK29" s="248"/>
      <c r="BFL29" s="248"/>
      <c r="BFM29" s="248"/>
      <c r="BFN29" s="248"/>
      <c r="BFO29" s="248"/>
      <c r="BFP29" s="248"/>
      <c r="BFQ29" s="248"/>
      <c r="BFR29" s="248"/>
      <c r="BFS29" s="248"/>
      <c r="BFT29" s="248"/>
      <c r="BFU29" s="248"/>
      <c r="BFV29" s="248"/>
      <c r="BFW29" s="248"/>
      <c r="BFX29" s="248"/>
      <c r="BFY29" s="248"/>
      <c r="BFZ29" s="248"/>
      <c r="BGA29" s="248"/>
      <c r="BGB29" s="248"/>
      <c r="BGC29" s="248"/>
      <c r="BGD29" s="248"/>
      <c r="BGE29" s="248"/>
      <c r="BGF29" s="248"/>
      <c r="BGG29" s="248"/>
      <c r="BGH29" s="248"/>
      <c r="BGI29" s="248"/>
      <c r="BGJ29" s="248"/>
      <c r="BGK29" s="248"/>
      <c r="BGL29" s="248"/>
      <c r="BGM29" s="248"/>
      <c r="BGN29" s="248"/>
      <c r="BGO29" s="248"/>
      <c r="BGP29" s="248"/>
      <c r="BGQ29" s="248"/>
      <c r="BGR29" s="248"/>
      <c r="BGS29" s="248"/>
      <c r="BGT29" s="248"/>
      <c r="BGU29" s="248"/>
      <c r="BGV29" s="248"/>
      <c r="BGW29" s="248"/>
      <c r="BGX29" s="248"/>
      <c r="BGY29" s="248"/>
      <c r="BGZ29" s="248"/>
      <c r="BHA29" s="248"/>
      <c r="BHB29" s="248"/>
      <c r="BHC29" s="248"/>
      <c r="BHD29" s="248"/>
      <c r="BHE29" s="248"/>
      <c r="BHF29" s="248"/>
      <c r="BHG29" s="248"/>
      <c r="BHH29" s="248"/>
      <c r="BHI29" s="248"/>
      <c r="BHJ29" s="248"/>
      <c r="BHK29" s="248"/>
      <c r="BHL29" s="248"/>
      <c r="BHM29" s="248"/>
      <c r="BHN29" s="248"/>
      <c r="BHO29" s="248"/>
      <c r="BHP29" s="248"/>
      <c r="BHQ29" s="248"/>
      <c r="BHR29" s="248"/>
      <c r="BHS29" s="248"/>
      <c r="BHT29" s="248"/>
      <c r="BHU29" s="248"/>
      <c r="BHV29" s="248"/>
      <c r="BHW29" s="248"/>
      <c r="BHX29" s="248"/>
      <c r="BHY29" s="248"/>
      <c r="BHZ29" s="248"/>
      <c r="BIA29" s="248"/>
      <c r="BIB29" s="248"/>
      <c r="BIC29" s="248"/>
      <c r="BID29" s="248"/>
      <c r="BIE29" s="248"/>
      <c r="BIF29" s="248"/>
      <c r="BIG29" s="248"/>
      <c r="BIH29" s="248"/>
      <c r="BII29" s="248"/>
      <c r="BIJ29" s="248"/>
      <c r="BIK29" s="248"/>
      <c r="BIL29" s="248"/>
      <c r="BIM29" s="248"/>
      <c r="BIN29" s="248"/>
      <c r="BIO29" s="248"/>
      <c r="BIP29" s="248"/>
      <c r="BIQ29" s="248"/>
      <c r="BIR29" s="248"/>
      <c r="BIS29" s="248"/>
      <c r="BIT29" s="248"/>
      <c r="BIU29" s="248"/>
      <c r="BIV29" s="248"/>
      <c r="BIW29" s="248"/>
      <c r="BIX29" s="248"/>
      <c r="BIY29" s="248"/>
      <c r="BIZ29" s="248"/>
      <c r="BJA29" s="248"/>
      <c r="BJB29" s="248"/>
      <c r="BJC29" s="248"/>
      <c r="BJD29" s="248"/>
      <c r="BJE29" s="248"/>
      <c r="BJF29" s="248"/>
      <c r="BJG29" s="248"/>
      <c r="BJH29" s="248"/>
      <c r="BJI29" s="248"/>
      <c r="BJJ29" s="248"/>
      <c r="BJK29" s="248"/>
      <c r="BJL29" s="248"/>
      <c r="BJM29" s="248"/>
      <c r="BJN29" s="248"/>
    </row>
    <row r="30" spans="1:1660" ht="20.100000000000001" customHeight="1" x14ac:dyDescent="0.3">
      <c r="A30" s="78" t="s">
        <v>28</v>
      </c>
      <c r="B30" s="51" t="str">
        <f>IF(LEN(C45)=0,"",C45)</f>
        <v>Réalisation - Authentification</v>
      </c>
      <c r="C30" s="210"/>
      <c r="D30" s="121" t="str">
        <f t="shared" si="0"/>
        <v/>
      </c>
      <c r="E30" s="30">
        <v>0</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73"/>
      <c r="AYA30" s="248"/>
      <c r="AYB30" s="248"/>
      <c r="AYC30" s="248"/>
      <c r="AYD30" s="248"/>
      <c r="AYE30" s="248"/>
      <c r="AYF30" s="248"/>
      <c r="AYG30" s="248"/>
      <c r="AYH30" s="248"/>
      <c r="AYI30" s="248"/>
      <c r="AYJ30" s="248"/>
      <c r="AYK30" s="248"/>
      <c r="AYL30" s="248"/>
      <c r="AYM30" s="248"/>
      <c r="AYN30" s="248"/>
      <c r="AYO30" s="248"/>
      <c r="AYP30" s="248"/>
      <c r="AYQ30" s="248"/>
      <c r="AYR30" s="248"/>
      <c r="AYS30" s="248"/>
      <c r="AYT30" s="248"/>
      <c r="AYU30" s="248"/>
      <c r="AYV30" s="248"/>
      <c r="AYW30" s="248"/>
      <c r="AYX30" s="248"/>
      <c r="AYY30" s="248"/>
      <c r="AYZ30" s="248"/>
      <c r="AZA30" s="248"/>
      <c r="AZB30" s="248"/>
      <c r="AZC30" s="248"/>
      <c r="AZD30" s="248"/>
      <c r="AZE30" s="248"/>
      <c r="AZF30" s="248"/>
      <c r="AZG30" s="248"/>
      <c r="AZH30" s="248"/>
      <c r="AZI30" s="248"/>
      <c r="AZJ30" s="248"/>
      <c r="AZK30" s="248"/>
      <c r="AZL30" s="248"/>
      <c r="AZM30" s="248"/>
      <c r="AZN30" s="248"/>
      <c r="AZO30" s="248"/>
      <c r="AZP30" s="248"/>
      <c r="AZQ30" s="248"/>
      <c r="AZR30" s="248"/>
      <c r="AZS30" s="248"/>
      <c r="AZT30" s="248"/>
      <c r="AZU30" s="248"/>
      <c r="AZV30" s="248"/>
      <c r="AZW30" s="248"/>
      <c r="AZX30" s="248"/>
      <c r="AZY30" s="248"/>
      <c r="AZZ30" s="248"/>
      <c r="BAA30" s="248"/>
      <c r="BAB30" s="248"/>
      <c r="BAC30" s="248"/>
      <c r="BAD30" s="248"/>
      <c r="BAE30" s="248"/>
      <c r="BAF30" s="248"/>
      <c r="BAG30" s="248"/>
      <c r="BAH30" s="248"/>
      <c r="BAI30" s="248"/>
      <c r="BAJ30" s="248"/>
      <c r="BAK30" s="248"/>
      <c r="BAL30" s="248"/>
      <c r="BAM30" s="248"/>
      <c r="BAN30" s="248"/>
      <c r="BAO30" s="248"/>
      <c r="BAP30" s="248"/>
      <c r="BAQ30" s="248"/>
      <c r="BAR30" s="248"/>
      <c r="BAS30" s="248"/>
      <c r="BAT30" s="248"/>
      <c r="BAU30" s="248"/>
      <c r="BAV30" s="248"/>
      <c r="BAW30" s="248"/>
      <c r="BAX30" s="248"/>
      <c r="BAY30" s="248"/>
      <c r="BAZ30" s="248"/>
      <c r="BBA30" s="248"/>
      <c r="BBB30" s="248"/>
      <c r="BBC30" s="248"/>
      <c r="BBD30" s="248"/>
      <c r="BBE30" s="248"/>
      <c r="BBF30" s="248"/>
      <c r="BBG30" s="248"/>
      <c r="BBH30" s="248"/>
      <c r="BBI30" s="248"/>
      <c r="BBJ30" s="248"/>
      <c r="BBK30" s="248"/>
      <c r="BBL30" s="248"/>
      <c r="BBM30" s="248"/>
      <c r="BBN30" s="248"/>
      <c r="BBO30" s="248"/>
      <c r="BBP30" s="248"/>
      <c r="BBQ30" s="248"/>
      <c r="BBR30" s="248"/>
      <c r="BBS30" s="248"/>
      <c r="BBT30" s="248"/>
      <c r="BBU30" s="248"/>
      <c r="BBV30" s="248"/>
      <c r="BBW30" s="248"/>
      <c r="BBX30" s="248"/>
      <c r="BBY30" s="248"/>
      <c r="BBZ30" s="248"/>
      <c r="BCA30" s="248"/>
      <c r="BCB30" s="248"/>
      <c r="BCC30" s="248"/>
      <c r="BCD30" s="248"/>
      <c r="BCE30" s="248"/>
      <c r="BCF30" s="248"/>
      <c r="BCG30" s="248"/>
      <c r="BCH30" s="248"/>
      <c r="BCI30" s="248"/>
      <c r="BCJ30" s="248"/>
      <c r="BCK30" s="248"/>
      <c r="BCL30" s="248"/>
      <c r="BCM30" s="248"/>
      <c r="BCN30" s="248"/>
      <c r="BCO30" s="248"/>
      <c r="BCP30" s="248"/>
      <c r="BCQ30" s="248"/>
      <c r="BCR30" s="248"/>
      <c r="BCS30" s="248"/>
      <c r="BCT30" s="248"/>
      <c r="BCU30" s="248"/>
      <c r="BCV30" s="248"/>
      <c r="BCW30" s="248"/>
      <c r="BCX30" s="248"/>
      <c r="BCY30" s="248"/>
      <c r="BCZ30" s="248"/>
      <c r="BDA30" s="248"/>
      <c r="BDB30" s="248"/>
      <c r="BDC30" s="248"/>
      <c r="BDD30" s="248"/>
      <c r="BDE30" s="248"/>
      <c r="BDF30" s="248"/>
      <c r="BDG30" s="248"/>
      <c r="BDH30" s="248"/>
      <c r="BDI30" s="248"/>
      <c r="BDJ30" s="248"/>
      <c r="BDK30" s="248"/>
      <c r="BDL30" s="248"/>
      <c r="BDM30" s="248"/>
      <c r="BDN30" s="248"/>
      <c r="BDO30" s="248"/>
      <c r="BDP30" s="248"/>
      <c r="BDQ30" s="248"/>
      <c r="BDR30" s="248"/>
      <c r="BDS30" s="248"/>
      <c r="BDT30" s="248"/>
      <c r="BDU30" s="248"/>
      <c r="BDV30" s="248"/>
      <c r="BDW30" s="248"/>
      <c r="BDX30" s="248"/>
      <c r="BDY30" s="248"/>
      <c r="BDZ30" s="248"/>
      <c r="BEA30" s="248"/>
      <c r="BEB30" s="248"/>
      <c r="BEC30" s="248"/>
      <c r="BED30" s="248"/>
      <c r="BEE30" s="248"/>
      <c r="BEF30" s="248"/>
      <c r="BEG30" s="248"/>
      <c r="BEH30" s="248"/>
      <c r="BEI30" s="248"/>
      <c r="BEJ30" s="248"/>
      <c r="BEK30" s="248"/>
      <c r="BEL30" s="248"/>
      <c r="BEM30" s="248"/>
      <c r="BEN30" s="248"/>
      <c r="BEO30" s="248"/>
      <c r="BEP30" s="248"/>
      <c r="BEQ30" s="248"/>
      <c r="BER30" s="248"/>
      <c r="BES30" s="248"/>
      <c r="BET30" s="248"/>
      <c r="BEU30" s="248"/>
      <c r="BEV30" s="248"/>
      <c r="BEW30" s="248"/>
      <c r="BEX30" s="248"/>
      <c r="BEY30" s="248"/>
      <c r="BEZ30" s="248"/>
      <c r="BFA30" s="248"/>
      <c r="BFB30" s="248"/>
      <c r="BFC30" s="248"/>
      <c r="BFD30" s="248"/>
      <c r="BFE30" s="248"/>
      <c r="BFF30" s="248"/>
      <c r="BFG30" s="248"/>
      <c r="BFH30" s="248"/>
      <c r="BFI30" s="248"/>
      <c r="BFJ30" s="248"/>
      <c r="BFK30" s="248"/>
      <c r="BFL30" s="248"/>
      <c r="BFM30" s="248"/>
      <c r="BFN30" s="248"/>
      <c r="BFO30" s="248"/>
      <c r="BFP30" s="248"/>
      <c r="BFQ30" s="248"/>
      <c r="BFR30" s="248"/>
      <c r="BFS30" s="248"/>
      <c r="BFT30" s="248"/>
      <c r="BFU30" s="248"/>
      <c r="BFV30" s="248"/>
      <c r="BFW30" s="248"/>
      <c r="BFX30" s="248"/>
      <c r="BFY30" s="248"/>
      <c r="BFZ30" s="248"/>
      <c r="BGA30" s="248"/>
      <c r="BGB30" s="248"/>
      <c r="BGC30" s="248"/>
      <c r="BGD30" s="248"/>
      <c r="BGE30" s="248"/>
      <c r="BGF30" s="248"/>
      <c r="BGG30" s="248"/>
      <c r="BGH30" s="248"/>
      <c r="BGI30" s="248"/>
      <c r="BGJ30" s="248"/>
      <c r="BGK30" s="248"/>
      <c r="BGL30" s="248"/>
      <c r="BGM30" s="248"/>
      <c r="BGN30" s="248"/>
      <c r="BGO30" s="248"/>
      <c r="BGP30" s="248"/>
      <c r="BGQ30" s="248"/>
      <c r="BGR30" s="248"/>
      <c r="BGS30" s="248"/>
      <c r="BGT30" s="248"/>
      <c r="BGU30" s="248"/>
      <c r="BGV30" s="248"/>
      <c r="BGW30" s="248"/>
      <c r="BGX30" s="248"/>
      <c r="BGY30" s="248"/>
      <c r="BGZ30" s="248"/>
      <c r="BHA30" s="248"/>
      <c r="BHB30" s="248"/>
      <c r="BHC30" s="248"/>
      <c r="BHD30" s="248"/>
      <c r="BHE30" s="248"/>
      <c r="BHF30" s="248"/>
      <c r="BHG30" s="248"/>
      <c r="BHH30" s="248"/>
      <c r="BHI30" s="248"/>
      <c r="BHJ30" s="248"/>
      <c r="BHK30" s="248"/>
      <c r="BHL30" s="248"/>
      <c r="BHM30" s="248"/>
      <c r="BHN30" s="248"/>
      <c r="BHO30" s="248"/>
      <c r="BHP30" s="248"/>
      <c r="BHQ30" s="248"/>
      <c r="BHR30" s="248"/>
      <c r="BHS30" s="248"/>
      <c r="BHT30" s="248"/>
      <c r="BHU30" s="248"/>
      <c r="BHV30" s="248"/>
      <c r="BHW30" s="248"/>
      <c r="BHX30" s="248"/>
      <c r="BHY30" s="248"/>
      <c r="BHZ30" s="248"/>
      <c r="BIA30" s="248"/>
      <c r="BIB30" s="248"/>
      <c r="BIC30" s="248"/>
      <c r="BID30" s="248"/>
      <c r="BIE30" s="248"/>
      <c r="BIF30" s="248"/>
      <c r="BIG30" s="248"/>
      <c r="BIH30" s="248"/>
      <c r="BII30" s="248"/>
      <c r="BIJ30" s="248"/>
      <c r="BIK30" s="248"/>
      <c r="BIL30" s="248"/>
      <c r="BIM30" s="248"/>
      <c r="BIN30" s="248"/>
      <c r="BIO30" s="248"/>
      <c r="BIP30" s="248"/>
      <c r="BIQ30" s="248"/>
      <c r="BIR30" s="248"/>
      <c r="BIS30" s="248"/>
      <c r="BIT30" s="248"/>
      <c r="BIU30" s="248"/>
      <c r="BIV30" s="248"/>
      <c r="BIW30" s="248"/>
      <c r="BIX30" s="248"/>
      <c r="BIY30" s="248"/>
      <c r="BIZ30" s="248"/>
      <c r="BJA30" s="248"/>
      <c r="BJB30" s="248"/>
      <c r="BJC30" s="248"/>
      <c r="BJD30" s="248"/>
      <c r="BJE30" s="248"/>
      <c r="BJF30" s="248"/>
      <c r="BJG30" s="248"/>
      <c r="BJH30" s="248"/>
      <c r="BJI30" s="248"/>
      <c r="BJJ30" s="248"/>
      <c r="BJK30" s="248"/>
      <c r="BJL30" s="248"/>
      <c r="BJM30" s="248"/>
      <c r="BJN30" s="248"/>
      <c r="BJO30" s="248"/>
      <c r="BJP30" s="248"/>
      <c r="BJQ30" s="248"/>
      <c r="BJR30" s="248"/>
      <c r="BJS30" s="248"/>
      <c r="BJT30" s="248"/>
      <c r="BJU30" s="248"/>
      <c r="BJV30" s="248"/>
      <c r="BJW30" s="248"/>
      <c r="BJX30" s="248"/>
      <c r="BJY30" s="248"/>
      <c r="BJZ30" s="248"/>
      <c r="BKA30" s="248"/>
      <c r="BKB30" s="248"/>
      <c r="BKC30" s="248"/>
      <c r="BKD30" s="248"/>
      <c r="BKE30" s="248"/>
      <c r="BKF30" s="248"/>
      <c r="BKG30" s="248"/>
      <c r="BKH30" s="248"/>
      <c r="BKI30" s="248"/>
      <c r="BKJ30" s="248"/>
      <c r="BKK30" s="248"/>
      <c r="BKL30" s="248"/>
      <c r="BKM30" s="248"/>
      <c r="BKN30" s="248"/>
      <c r="BKO30" s="248"/>
      <c r="BKP30" s="248"/>
      <c r="BKQ30" s="248"/>
      <c r="BKR30" s="248"/>
      <c r="BKS30" s="248"/>
      <c r="BKT30" s="248"/>
      <c r="BKU30" s="248"/>
      <c r="BKV30" s="248"/>
    </row>
    <row r="31" spans="1:1660" ht="20.100000000000001" customHeight="1" x14ac:dyDescent="0.25">
      <c r="A31" s="78" t="s">
        <v>26</v>
      </c>
      <c r="B31" s="51" t="str">
        <f>IF(LEN(C47)=0,"",C47)</f>
        <v xml:space="preserve">Réalisation – backend </v>
      </c>
      <c r="C31" s="209" t="s">
        <v>51</v>
      </c>
      <c r="D31" s="119" t="str">
        <f t="shared" si="0"/>
        <v>4h 55 min</v>
      </c>
      <c r="E31" s="34">
        <v>59</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176"/>
      <c r="AG31" s="176"/>
      <c r="AH31" s="176"/>
      <c r="AI31" s="179"/>
      <c r="AJ31" s="176"/>
      <c r="AK31" s="176"/>
      <c r="AL31" s="176"/>
      <c r="AM31" s="176"/>
      <c r="AN31" s="176"/>
      <c r="AO31" s="258"/>
      <c r="AP31" s="255"/>
      <c r="AQ31" s="255"/>
      <c r="AR31" s="255"/>
      <c r="AS31" s="255"/>
      <c r="AT31" s="255"/>
      <c r="AU31" s="259"/>
      <c r="AV31" s="255"/>
      <c r="AW31" s="255"/>
      <c r="AX31" s="255"/>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55"/>
      <c r="NE31" s="255"/>
      <c r="NF31" s="255"/>
      <c r="NG31" s="257"/>
      <c r="NH31" s="255"/>
      <c r="NI31" s="255"/>
      <c r="NJ31" s="255"/>
      <c r="NK31" s="255"/>
      <c r="NL31" s="255"/>
      <c r="NM31" s="258"/>
      <c r="NN31" s="255"/>
      <c r="NO31" s="255"/>
      <c r="NP31" s="255"/>
      <c r="NQ31" s="255"/>
      <c r="NR31" s="255"/>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73"/>
      <c r="AYA31" s="248"/>
      <c r="AYB31" s="248"/>
      <c r="AYC31" s="248"/>
      <c r="AYD31" s="248"/>
      <c r="AYE31" s="248"/>
      <c r="AYF31" s="248"/>
      <c r="AYG31" s="248"/>
      <c r="AYH31" s="248"/>
      <c r="AYI31" s="248"/>
      <c r="AYJ31" s="248"/>
      <c r="AYK31" s="248"/>
      <c r="AYL31" s="248"/>
      <c r="AYM31" s="248"/>
      <c r="AYN31" s="248"/>
      <c r="AYO31" s="248"/>
      <c r="AYP31" s="248"/>
      <c r="AYQ31" s="248"/>
      <c r="AYR31" s="248"/>
      <c r="AYS31" s="248"/>
      <c r="AYT31" s="248"/>
      <c r="AYU31" s="248"/>
      <c r="AYV31" s="248"/>
      <c r="AYW31" s="248"/>
      <c r="AYX31" s="248"/>
      <c r="AYY31" s="248"/>
      <c r="AYZ31" s="248"/>
      <c r="AZA31" s="248"/>
      <c r="AZB31" s="248"/>
      <c r="AZC31" s="248"/>
      <c r="AZD31" s="248"/>
      <c r="AZE31" s="248"/>
      <c r="AZF31" s="248"/>
      <c r="AZG31" s="248"/>
      <c r="AZH31" s="248"/>
      <c r="AZI31" s="248"/>
      <c r="AZJ31" s="248"/>
      <c r="AZK31" s="248"/>
      <c r="AZL31" s="248"/>
      <c r="AZM31" s="248"/>
      <c r="AZN31" s="248"/>
      <c r="AZO31" s="248"/>
      <c r="AZP31" s="248"/>
      <c r="AZQ31" s="248"/>
      <c r="AZR31" s="248"/>
      <c r="AZS31" s="248"/>
      <c r="AZT31" s="248"/>
      <c r="AZU31" s="248"/>
      <c r="AZV31" s="248"/>
      <c r="AZW31" s="248"/>
      <c r="AZX31" s="248"/>
      <c r="AZY31" s="248"/>
      <c r="AZZ31" s="248"/>
      <c r="BAA31" s="248"/>
      <c r="BAB31" s="248"/>
      <c r="BAC31" s="248"/>
      <c r="BAD31" s="248"/>
      <c r="BAE31" s="248"/>
      <c r="BAF31" s="248"/>
      <c r="BAG31" s="248"/>
      <c r="BAH31" s="248"/>
      <c r="BAI31" s="248"/>
      <c r="BAJ31" s="248"/>
      <c r="BAK31" s="248"/>
      <c r="BAL31" s="248"/>
      <c r="BAM31" s="248"/>
      <c r="BAN31" s="248"/>
      <c r="BAO31" s="248"/>
      <c r="BAP31" s="248"/>
      <c r="BAQ31" s="248"/>
      <c r="BAR31" s="248"/>
      <c r="BAS31" s="248"/>
      <c r="BAT31" s="248"/>
      <c r="BAU31" s="248"/>
      <c r="BAV31" s="248"/>
      <c r="BAW31" s="248"/>
      <c r="BAX31" s="248"/>
      <c r="BAY31" s="248"/>
      <c r="BAZ31" s="248"/>
      <c r="BBA31" s="248"/>
      <c r="BBB31" s="248"/>
      <c r="BBC31" s="248"/>
      <c r="BBD31" s="248"/>
      <c r="BBE31" s="248"/>
      <c r="BBF31" s="248"/>
      <c r="BBG31" s="248"/>
      <c r="BBH31" s="248"/>
      <c r="BBI31" s="248"/>
      <c r="BBJ31" s="248"/>
      <c r="BBK31" s="248"/>
      <c r="BBL31" s="248"/>
      <c r="BBM31" s="248"/>
      <c r="BBN31" s="248"/>
      <c r="BBO31" s="248"/>
      <c r="BBP31" s="248"/>
      <c r="BBQ31" s="248"/>
      <c r="BBR31" s="248"/>
      <c r="BBS31" s="248"/>
      <c r="BBT31" s="248"/>
      <c r="BBU31" s="248"/>
      <c r="BBV31" s="248"/>
      <c r="BBW31" s="248"/>
      <c r="BBX31" s="248"/>
      <c r="BBY31" s="248"/>
      <c r="BBZ31" s="248"/>
      <c r="BCA31" s="248"/>
      <c r="BCB31" s="248"/>
      <c r="BCC31" s="248"/>
      <c r="BCD31" s="248"/>
      <c r="BCE31" s="248"/>
      <c r="BCF31" s="248"/>
      <c r="BCG31" s="248"/>
      <c r="BCH31" s="248"/>
      <c r="BCI31" s="248"/>
      <c r="BCJ31" s="248"/>
      <c r="BCK31" s="248"/>
      <c r="BCL31" s="248"/>
      <c r="BCM31" s="248"/>
      <c r="BCN31" s="248"/>
      <c r="BCO31" s="248"/>
      <c r="BCP31" s="248"/>
      <c r="BCQ31" s="248"/>
      <c r="BCR31" s="248"/>
      <c r="BCS31" s="248"/>
      <c r="BCT31" s="248"/>
      <c r="BCU31" s="248"/>
      <c r="BCV31" s="248"/>
      <c r="BCW31" s="248"/>
      <c r="BCX31" s="248"/>
      <c r="BCY31" s="248"/>
      <c r="BCZ31" s="248"/>
      <c r="BDA31" s="248"/>
      <c r="BDB31" s="248"/>
      <c r="BDC31" s="248"/>
      <c r="BDD31" s="248"/>
      <c r="BDE31" s="248"/>
      <c r="BDF31" s="248"/>
      <c r="BDG31" s="248"/>
      <c r="BDH31" s="248"/>
      <c r="BDI31" s="248"/>
      <c r="BDJ31" s="248"/>
      <c r="BDK31" s="248"/>
      <c r="BDL31" s="248"/>
      <c r="BDM31" s="248"/>
      <c r="BDN31" s="248"/>
      <c r="BDO31" s="248"/>
      <c r="BDP31" s="248"/>
      <c r="BDQ31" s="248"/>
      <c r="BDR31" s="248"/>
      <c r="BDS31" s="248"/>
      <c r="BDT31" s="248"/>
      <c r="BDU31" s="248"/>
      <c r="BDV31" s="248"/>
      <c r="BDW31" s="248"/>
      <c r="BDX31" s="248"/>
      <c r="BDY31" s="248"/>
      <c r="BDZ31" s="248"/>
      <c r="BEA31" s="248"/>
      <c r="BEB31" s="248"/>
      <c r="BEC31" s="248"/>
      <c r="BED31" s="248"/>
      <c r="BEE31" s="248"/>
      <c r="BEF31" s="248"/>
      <c r="BEG31" s="248"/>
      <c r="BEH31" s="248"/>
      <c r="BEI31" s="248"/>
      <c r="BEJ31" s="248"/>
      <c r="BEK31" s="248"/>
      <c r="BEL31" s="248"/>
      <c r="BEM31" s="248"/>
      <c r="BEN31" s="248"/>
      <c r="BEO31" s="248"/>
      <c r="BEP31" s="248"/>
      <c r="BEQ31" s="248"/>
      <c r="BER31" s="248"/>
      <c r="BES31" s="248"/>
      <c r="BET31" s="248"/>
      <c r="BEU31" s="248"/>
      <c r="BEV31" s="248"/>
      <c r="BEW31" s="248"/>
      <c r="BEX31" s="248"/>
      <c r="BEY31" s="248"/>
      <c r="BEZ31" s="248"/>
      <c r="BFA31" s="248"/>
      <c r="BFB31" s="248"/>
      <c r="BFC31" s="248"/>
      <c r="BFD31" s="248"/>
      <c r="BFE31" s="248"/>
      <c r="BFF31" s="248"/>
      <c r="BFG31" s="248"/>
      <c r="BFH31" s="248"/>
      <c r="BFI31" s="248"/>
      <c r="BFJ31" s="248"/>
      <c r="BFK31" s="248"/>
      <c r="BFL31" s="248"/>
      <c r="BFM31" s="248"/>
      <c r="BFN31" s="248"/>
      <c r="BFO31" s="248"/>
      <c r="BFP31" s="248"/>
      <c r="BFQ31" s="248"/>
      <c r="BFR31" s="248"/>
      <c r="BFS31" s="248"/>
      <c r="BFT31" s="248"/>
      <c r="BFU31" s="248"/>
      <c r="BFV31" s="248"/>
      <c r="BFW31" s="248"/>
      <c r="BFX31" s="248"/>
      <c r="BFY31" s="248"/>
      <c r="BFZ31" s="248"/>
      <c r="BGA31" s="248"/>
      <c r="BGB31" s="248"/>
      <c r="BGC31" s="248"/>
      <c r="BGD31" s="248"/>
      <c r="BGE31" s="248"/>
      <c r="BGF31" s="248"/>
      <c r="BGG31" s="248"/>
      <c r="BGH31" s="248"/>
      <c r="BGI31" s="248"/>
      <c r="BGJ31" s="248"/>
      <c r="BGK31" s="248"/>
      <c r="BGL31" s="248"/>
      <c r="BGM31" s="248"/>
      <c r="BGN31" s="248"/>
      <c r="BGO31" s="248"/>
      <c r="BGP31" s="248"/>
      <c r="BGQ31" s="248"/>
      <c r="BGR31" s="248"/>
      <c r="BGS31" s="248"/>
      <c r="BGT31" s="248"/>
      <c r="BGU31" s="248"/>
      <c r="BGV31" s="248"/>
      <c r="BGW31" s="248"/>
      <c r="BGX31" s="248"/>
      <c r="BGY31" s="248"/>
      <c r="BGZ31" s="248"/>
      <c r="BHA31" s="248"/>
      <c r="BHB31" s="248"/>
      <c r="BHC31" s="248"/>
      <c r="BHD31" s="248"/>
      <c r="BHE31" s="248"/>
      <c r="BHF31" s="248"/>
      <c r="BHG31" s="248"/>
      <c r="BHH31" s="248"/>
      <c r="BHI31" s="248"/>
      <c r="BHJ31" s="248"/>
      <c r="BHK31" s="248"/>
      <c r="BHL31" s="248"/>
      <c r="BHM31" s="248"/>
      <c r="BHN31" s="248"/>
      <c r="BHO31" s="248"/>
      <c r="BHP31" s="248"/>
      <c r="BHQ31" s="248"/>
      <c r="BHR31" s="248"/>
      <c r="BHS31" s="248"/>
      <c r="BHT31" s="248"/>
      <c r="BHU31" s="248"/>
      <c r="BHV31" s="248"/>
      <c r="BHW31" s="248"/>
      <c r="BHX31" s="248"/>
      <c r="BHY31" s="248"/>
      <c r="BHZ31" s="248"/>
      <c r="BIA31" s="248"/>
      <c r="BIB31" s="248"/>
      <c r="BIC31" s="248"/>
      <c r="BID31" s="248"/>
      <c r="BIE31" s="248"/>
      <c r="BIF31" s="248"/>
      <c r="BIG31" s="248"/>
      <c r="BIH31" s="248"/>
      <c r="BII31" s="248"/>
      <c r="BIJ31" s="248"/>
      <c r="BIK31" s="248"/>
      <c r="BIL31" s="248"/>
      <c r="BIM31" s="248"/>
      <c r="BIN31" s="248"/>
      <c r="BIO31" s="248"/>
      <c r="BIP31" s="248"/>
      <c r="BIQ31" s="248"/>
      <c r="BIR31" s="248"/>
      <c r="BIS31" s="248"/>
      <c r="BIT31" s="248"/>
      <c r="BIU31" s="248"/>
      <c r="BIV31" s="248"/>
      <c r="BIW31" s="248"/>
      <c r="BIX31" s="248"/>
      <c r="BIY31" s="248"/>
      <c r="BIZ31" s="248"/>
      <c r="BJA31" s="248"/>
      <c r="BJB31" s="248"/>
      <c r="BJC31" s="248"/>
      <c r="BJD31" s="248"/>
      <c r="BJE31" s="248"/>
      <c r="BJF31" s="248"/>
      <c r="BJG31" s="248"/>
      <c r="BJH31" s="248"/>
      <c r="BJI31" s="248"/>
      <c r="BJJ31" s="248"/>
      <c r="BJK31" s="248"/>
      <c r="BJL31" s="248"/>
      <c r="BJM31" s="248"/>
      <c r="BJN31" s="248"/>
    </row>
    <row r="32" spans="1:1660" ht="20.100000000000001" customHeight="1" x14ac:dyDescent="0.3">
      <c r="A32" s="78" t="s">
        <v>28</v>
      </c>
      <c r="B32" s="51" t="str">
        <f>IF(LEN(C49)=0,"",C49)</f>
        <v>Réalisation – base de données</v>
      </c>
      <c r="C32" s="216"/>
      <c r="D32" s="121" t="str">
        <f t="shared" si="0"/>
        <v/>
      </c>
      <c r="E32" s="22">
        <v>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73"/>
      <c r="AYA32" s="248"/>
      <c r="AYB32" s="248"/>
      <c r="AYC32" s="248"/>
      <c r="AYD32" s="248"/>
      <c r="AYE32" s="248"/>
      <c r="AYF32" s="248"/>
      <c r="AYG32" s="248"/>
      <c r="AYH32" s="248"/>
      <c r="AYI32" s="248"/>
      <c r="AYJ32" s="248"/>
      <c r="AYK32" s="248"/>
      <c r="AYL32" s="248"/>
      <c r="AYM32" s="248"/>
      <c r="AYN32" s="248"/>
      <c r="AYO32" s="248"/>
      <c r="AYP32" s="248"/>
      <c r="AYQ32" s="248"/>
      <c r="AYR32" s="248"/>
      <c r="AYS32" s="248"/>
      <c r="AYT32" s="248"/>
      <c r="AYU32" s="248"/>
      <c r="AYV32" s="248"/>
      <c r="AYW32" s="248"/>
      <c r="AYX32" s="248"/>
      <c r="AYY32" s="248"/>
      <c r="AYZ32" s="248"/>
      <c r="AZA32" s="248"/>
      <c r="AZB32" s="248"/>
      <c r="AZC32" s="248"/>
      <c r="AZD32" s="248"/>
      <c r="AZE32" s="248"/>
      <c r="AZF32" s="248"/>
      <c r="AZG32" s="248"/>
      <c r="AZH32" s="248"/>
      <c r="AZI32" s="248"/>
      <c r="AZJ32" s="248"/>
      <c r="AZK32" s="248"/>
      <c r="AZL32" s="248"/>
      <c r="AZM32" s="248"/>
      <c r="AZN32" s="248"/>
      <c r="AZO32" s="248"/>
      <c r="AZP32" s="248"/>
      <c r="AZQ32" s="248"/>
      <c r="AZR32" s="248"/>
      <c r="AZS32" s="248"/>
      <c r="AZT32" s="248"/>
      <c r="AZU32" s="248"/>
      <c r="AZV32" s="248"/>
      <c r="AZW32" s="248"/>
      <c r="AZX32" s="248"/>
      <c r="AZY32" s="248"/>
      <c r="AZZ32" s="248"/>
      <c r="BAA32" s="248"/>
      <c r="BAB32" s="248"/>
      <c r="BAC32" s="248"/>
      <c r="BAD32" s="248"/>
      <c r="BAE32" s="248"/>
      <c r="BAF32" s="248"/>
      <c r="BAG32" s="248"/>
      <c r="BAH32" s="248"/>
      <c r="BAI32" s="248"/>
      <c r="BAJ32" s="248"/>
      <c r="BAK32" s="248"/>
      <c r="BAL32" s="248"/>
      <c r="BAM32" s="248"/>
      <c r="BAN32" s="248"/>
      <c r="BAO32" s="248"/>
      <c r="BAP32" s="248"/>
      <c r="BAQ32" s="248"/>
      <c r="BAR32" s="248"/>
      <c r="BAS32" s="248"/>
      <c r="BAT32" s="248"/>
      <c r="BAU32" s="248"/>
      <c r="BAV32" s="248"/>
      <c r="BAW32" s="248"/>
      <c r="BAX32" s="248"/>
      <c r="BAY32" s="248"/>
      <c r="BAZ32" s="248"/>
      <c r="BBA32" s="248"/>
      <c r="BBB32" s="248"/>
      <c r="BBC32" s="248"/>
      <c r="BBD32" s="248"/>
      <c r="BBE32" s="248"/>
      <c r="BBF32" s="248"/>
      <c r="BBG32" s="248"/>
      <c r="BBH32" s="248"/>
      <c r="BBI32" s="248"/>
      <c r="BBJ32" s="248"/>
      <c r="BBK32" s="248"/>
      <c r="BBL32" s="248"/>
      <c r="BBM32" s="248"/>
      <c r="BBN32" s="248"/>
      <c r="BBO32" s="248"/>
      <c r="BBP32" s="248"/>
      <c r="BBQ32" s="248"/>
      <c r="BBR32" s="248"/>
      <c r="BBS32" s="248"/>
      <c r="BBT32" s="248"/>
      <c r="BBU32" s="248"/>
      <c r="BBV32" s="248"/>
      <c r="BBW32" s="248"/>
      <c r="BBX32" s="248"/>
      <c r="BBY32" s="248"/>
      <c r="BBZ32" s="248"/>
      <c r="BCA32" s="248"/>
      <c r="BCB32" s="248"/>
      <c r="BCC32" s="248"/>
      <c r="BCD32" s="248"/>
      <c r="BCE32" s="248"/>
      <c r="BCF32" s="248"/>
      <c r="BCG32" s="248"/>
      <c r="BCH32" s="248"/>
      <c r="BCI32" s="248"/>
      <c r="BCJ32" s="248"/>
      <c r="BCK32" s="248"/>
      <c r="BCL32" s="248"/>
      <c r="BCM32" s="248"/>
      <c r="BCN32" s="248"/>
      <c r="BCO32" s="248"/>
      <c r="BCP32" s="248"/>
      <c r="BCQ32" s="248"/>
      <c r="BCR32" s="248"/>
      <c r="BCS32" s="248"/>
      <c r="BCT32" s="248"/>
      <c r="BCU32" s="248"/>
      <c r="BCV32" s="248"/>
      <c r="BCW32" s="248"/>
      <c r="BCX32" s="248"/>
      <c r="BCY32" s="248"/>
      <c r="BCZ32" s="248"/>
      <c r="BDA32" s="248"/>
      <c r="BDB32" s="248"/>
      <c r="BDC32" s="248"/>
      <c r="BDD32" s="248"/>
      <c r="BDE32" s="248"/>
      <c r="BDF32" s="248"/>
      <c r="BDG32" s="248"/>
      <c r="BDH32" s="248"/>
      <c r="BDI32" s="248"/>
      <c r="BDJ32" s="248"/>
      <c r="BDK32" s="248"/>
      <c r="BDL32" s="248"/>
      <c r="BDM32" s="248"/>
      <c r="BDN32" s="248"/>
      <c r="BDO32" s="248"/>
      <c r="BDP32" s="248"/>
      <c r="BDQ32" s="248"/>
      <c r="BDR32" s="248"/>
      <c r="BDS32" s="248"/>
      <c r="BDT32" s="248"/>
      <c r="BDU32" s="248"/>
      <c r="BDV32" s="248"/>
      <c r="BDW32" s="248"/>
      <c r="BDX32" s="248"/>
      <c r="BDY32" s="248"/>
      <c r="BDZ32" s="248"/>
      <c r="BEA32" s="248"/>
      <c r="BEB32" s="248"/>
      <c r="BEC32" s="248"/>
      <c r="BED32" s="248"/>
      <c r="BEE32" s="248"/>
      <c r="BEF32" s="248"/>
      <c r="BEG32" s="248"/>
      <c r="BEH32" s="248"/>
      <c r="BEI32" s="248"/>
      <c r="BEJ32" s="248"/>
      <c r="BEK32" s="248"/>
      <c r="BEL32" s="248"/>
      <c r="BEM32" s="248"/>
      <c r="BEN32" s="248"/>
      <c r="BEO32" s="248"/>
      <c r="BEP32" s="248"/>
      <c r="BEQ32" s="248"/>
      <c r="BER32" s="248"/>
      <c r="BES32" s="248"/>
      <c r="BET32" s="248"/>
      <c r="BEU32" s="248"/>
      <c r="BEV32" s="248"/>
      <c r="BEW32" s="248"/>
      <c r="BEX32" s="248"/>
      <c r="BEY32" s="248"/>
      <c r="BEZ32" s="248"/>
      <c r="BFA32" s="248"/>
      <c r="BFB32" s="248"/>
      <c r="BFC32" s="248"/>
      <c r="BFD32" s="248"/>
      <c r="BFE32" s="248"/>
      <c r="BFF32" s="248"/>
      <c r="BFG32" s="248"/>
      <c r="BFH32" s="248"/>
      <c r="BFI32" s="248"/>
      <c r="BFJ32" s="248"/>
      <c r="BFK32" s="248"/>
      <c r="BFL32" s="248"/>
      <c r="BFM32" s="248"/>
      <c r="BFN32" s="248"/>
      <c r="BFO32" s="248"/>
      <c r="BFP32" s="248"/>
      <c r="BFQ32" s="248"/>
      <c r="BFR32" s="248"/>
      <c r="BFS32" s="248"/>
      <c r="BFT32" s="248"/>
      <c r="BFU32" s="248"/>
      <c r="BFV32" s="248"/>
      <c r="BFW32" s="248"/>
      <c r="BFX32" s="248"/>
      <c r="BFY32" s="248"/>
      <c r="BFZ32" s="248"/>
      <c r="BGA32" s="248"/>
      <c r="BGB32" s="248"/>
      <c r="BGC32" s="248"/>
      <c r="BGD32" s="248"/>
      <c r="BGE32" s="248"/>
      <c r="BGF32" s="248"/>
      <c r="BGG32" s="248"/>
      <c r="BGH32" s="248"/>
      <c r="BGI32" s="248"/>
      <c r="BGJ32" s="248"/>
      <c r="BGK32" s="248"/>
      <c r="BGL32" s="248"/>
      <c r="BGM32" s="248"/>
      <c r="BGN32" s="248"/>
      <c r="BGO32" s="248"/>
      <c r="BGP32" s="248"/>
      <c r="BGQ32" s="248"/>
      <c r="BGR32" s="248"/>
      <c r="BGS32" s="248"/>
      <c r="BGT32" s="248"/>
      <c r="BGU32" s="248"/>
      <c r="BGV32" s="248"/>
      <c r="BGW32" s="248"/>
      <c r="BGX32" s="248"/>
      <c r="BGY32" s="248"/>
      <c r="BGZ32" s="248"/>
      <c r="BHA32" s="248"/>
      <c r="BHB32" s="248"/>
      <c r="BHC32" s="248"/>
      <c r="BHD32" s="248"/>
      <c r="BHE32" s="248"/>
      <c r="BHF32" s="248"/>
      <c r="BHG32" s="248"/>
      <c r="BHH32" s="248"/>
      <c r="BHI32" s="248"/>
      <c r="BHJ32" s="248"/>
      <c r="BHK32" s="248"/>
      <c r="BHL32" s="248"/>
      <c r="BHM32" s="248"/>
      <c r="BHN32" s="248"/>
      <c r="BHO32" s="248"/>
      <c r="BHP32" s="248"/>
      <c r="BHQ32" s="248"/>
      <c r="BHR32" s="248"/>
      <c r="BHS32" s="248"/>
      <c r="BHT32" s="248"/>
      <c r="BHU32" s="248"/>
      <c r="BHV32" s="248"/>
      <c r="BHW32" s="248"/>
      <c r="BHX32" s="248"/>
      <c r="BHY32" s="248"/>
      <c r="BHZ32" s="248"/>
      <c r="BIA32" s="248"/>
      <c r="BIB32" s="248"/>
      <c r="BIC32" s="248"/>
      <c r="BID32" s="248"/>
      <c r="BIE32" s="248"/>
      <c r="BIF32" s="248"/>
      <c r="BIG32" s="248"/>
      <c r="BIH32" s="248"/>
      <c r="BII32" s="248"/>
      <c r="BIJ32" s="248"/>
      <c r="BIK32" s="248"/>
      <c r="BIL32" s="248"/>
      <c r="BIM32" s="248"/>
      <c r="BIN32" s="248"/>
      <c r="BIO32" s="248"/>
      <c r="BIP32" s="248"/>
      <c r="BIQ32" s="248"/>
      <c r="BIR32" s="248"/>
      <c r="BIS32" s="248"/>
      <c r="BIT32" s="248"/>
      <c r="BIU32" s="248"/>
      <c r="BIV32" s="248"/>
      <c r="BIW32" s="248"/>
      <c r="BIX32" s="248"/>
      <c r="BIY32" s="248"/>
      <c r="BIZ32" s="248"/>
      <c r="BJA32" s="248"/>
      <c r="BJB32" s="248"/>
      <c r="BJC32" s="248"/>
      <c r="BJD32" s="248"/>
      <c r="BJE32" s="248"/>
      <c r="BJF32" s="248"/>
      <c r="BJG32" s="248"/>
      <c r="BJH32" s="248"/>
      <c r="BJI32" s="248"/>
      <c r="BJJ32" s="248"/>
      <c r="BJK32" s="248"/>
      <c r="BJL32" s="248"/>
      <c r="BJM32" s="248"/>
      <c r="BJN32" s="248"/>
      <c r="BJO32" s="248"/>
      <c r="BJP32" s="248"/>
      <c r="BJQ32" s="248"/>
      <c r="BJR32" s="248"/>
      <c r="BJS32" s="248"/>
      <c r="BJT32" s="248"/>
      <c r="BJU32" s="248"/>
      <c r="BJV32" s="248"/>
      <c r="BJW32" s="248"/>
      <c r="BJX32" s="248"/>
      <c r="BJY32" s="248"/>
      <c r="BJZ32" s="248"/>
      <c r="BKA32" s="248"/>
      <c r="BKB32" s="248"/>
      <c r="BKC32" s="248"/>
      <c r="BKD32" s="248"/>
      <c r="BKE32" s="248"/>
      <c r="BKF32" s="248"/>
      <c r="BKG32" s="248"/>
      <c r="BKH32" s="248"/>
      <c r="BKI32" s="248"/>
      <c r="BKJ32" s="248"/>
      <c r="BKK32" s="248"/>
      <c r="BKL32" s="248"/>
      <c r="BKM32" s="248"/>
      <c r="BKN32" s="248"/>
      <c r="BKO32" s="248"/>
      <c r="BKP32" s="248"/>
      <c r="BKQ32" s="248"/>
      <c r="BKR32" s="248"/>
      <c r="BKS32" s="248"/>
      <c r="BKT32" s="248"/>
      <c r="BKU32" s="248"/>
      <c r="BKV32" s="248"/>
    </row>
    <row r="33" spans="1:1661" ht="20.100000000000001" customHeight="1" x14ac:dyDescent="0.25">
      <c r="A33" s="78" t="s">
        <v>26</v>
      </c>
      <c r="B33" s="51" t="str">
        <f>IF(LEN(C51)=0,"",C51)</f>
        <v>Réalisation - Git</v>
      </c>
      <c r="C33" s="209" t="s">
        <v>52</v>
      </c>
      <c r="D33" s="119" t="str">
        <f t="shared" si="0"/>
        <v>4h 30 min</v>
      </c>
      <c r="E33" s="26">
        <v>54</v>
      </c>
      <c r="F33" s="169"/>
      <c r="G33" s="170"/>
      <c r="H33" s="170"/>
      <c r="I33" s="170"/>
      <c r="J33" s="170"/>
      <c r="K33" s="171"/>
      <c r="L33" s="170"/>
      <c r="M33" s="170"/>
      <c r="N33" s="170"/>
      <c r="O33" s="170"/>
      <c r="P33" s="170"/>
      <c r="Q33" s="172"/>
      <c r="R33" s="170"/>
      <c r="S33" s="170"/>
      <c r="T33" s="170"/>
      <c r="U33" s="170"/>
      <c r="V33" s="170"/>
      <c r="W33" s="173"/>
      <c r="X33" s="170"/>
      <c r="Y33" s="170"/>
      <c r="Z33" s="170"/>
      <c r="AA33" s="170"/>
      <c r="AB33" s="170"/>
      <c r="AC33" s="253"/>
      <c r="AD33" s="251"/>
      <c r="AE33" s="251"/>
      <c r="AF33" s="251"/>
      <c r="AG33" s="251"/>
      <c r="AH33" s="251"/>
      <c r="AI33" s="254"/>
      <c r="AJ33" s="251"/>
      <c r="AK33" s="251"/>
      <c r="AL33" s="251"/>
      <c r="AM33" s="251"/>
      <c r="AN33" s="251"/>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73"/>
      <c r="AYA33" s="248"/>
      <c r="AYB33" s="248"/>
      <c r="AYC33" s="248"/>
      <c r="AYD33" s="248"/>
      <c r="AYE33" s="248"/>
      <c r="AYF33" s="248"/>
      <c r="AYG33" s="248"/>
      <c r="AYH33" s="248"/>
      <c r="AYI33" s="248"/>
      <c r="AYJ33" s="248"/>
      <c r="AYK33" s="248"/>
      <c r="AYL33" s="248"/>
      <c r="AYM33" s="248"/>
      <c r="AYN33" s="248"/>
      <c r="AYO33" s="248"/>
      <c r="AYP33" s="248"/>
      <c r="AYQ33" s="248"/>
      <c r="AYR33" s="248"/>
      <c r="AYS33" s="248"/>
      <c r="AYT33" s="248"/>
      <c r="AYU33" s="248"/>
      <c r="AYV33" s="248"/>
      <c r="AYW33" s="248"/>
      <c r="AYX33" s="248"/>
      <c r="AYY33" s="248"/>
      <c r="AYZ33" s="248"/>
      <c r="AZA33" s="248"/>
      <c r="AZB33" s="248"/>
      <c r="AZC33" s="248"/>
      <c r="AZD33" s="248"/>
      <c r="AZE33" s="248"/>
      <c r="AZF33" s="248"/>
      <c r="AZG33" s="248"/>
      <c r="AZH33" s="248"/>
      <c r="AZI33" s="248"/>
      <c r="AZJ33" s="248"/>
      <c r="AZK33" s="248"/>
      <c r="AZL33" s="248"/>
      <c r="AZM33" s="248"/>
      <c r="AZN33" s="248"/>
      <c r="AZO33" s="248"/>
      <c r="AZP33" s="248"/>
      <c r="AZQ33" s="248"/>
      <c r="AZR33" s="248"/>
      <c r="AZS33" s="248"/>
      <c r="AZT33" s="248"/>
      <c r="AZU33" s="248"/>
      <c r="AZV33" s="248"/>
      <c r="AZW33" s="248"/>
      <c r="AZX33" s="248"/>
      <c r="AZY33" s="248"/>
      <c r="AZZ33" s="248"/>
      <c r="BAA33" s="248"/>
      <c r="BAB33" s="248"/>
      <c r="BAC33" s="248"/>
      <c r="BAD33" s="248"/>
      <c r="BAE33" s="248"/>
      <c r="BAF33" s="248"/>
      <c r="BAG33" s="248"/>
      <c r="BAH33" s="248"/>
      <c r="BAI33" s="248"/>
      <c r="BAJ33" s="248"/>
      <c r="BAK33" s="248"/>
      <c r="BAL33" s="248"/>
      <c r="BAM33" s="248"/>
      <c r="BAN33" s="248"/>
      <c r="BAO33" s="248"/>
      <c r="BAP33" s="248"/>
      <c r="BAQ33" s="248"/>
      <c r="BAR33" s="248"/>
      <c r="BAS33" s="248"/>
      <c r="BAT33" s="248"/>
      <c r="BAU33" s="248"/>
      <c r="BAV33" s="248"/>
      <c r="BAW33" s="248"/>
      <c r="BAX33" s="248"/>
      <c r="BAY33" s="248"/>
      <c r="BAZ33" s="248"/>
      <c r="BBA33" s="248"/>
      <c r="BBB33" s="248"/>
      <c r="BBC33" s="248"/>
      <c r="BBD33" s="248"/>
      <c r="BBE33" s="248"/>
      <c r="BBF33" s="248"/>
      <c r="BBG33" s="248"/>
      <c r="BBH33" s="248"/>
      <c r="BBI33" s="248"/>
      <c r="BBJ33" s="248"/>
      <c r="BBK33" s="248"/>
      <c r="BBL33" s="248"/>
      <c r="BBM33" s="248"/>
      <c r="BBN33" s="248"/>
      <c r="BBO33" s="248"/>
      <c r="BBP33" s="248"/>
      <c r="BBQ33" s="248"/>
      <c r="BBR33" s="248"/>
      <c r="BBS33" s="248"/>
      <c r="BBT33" s="248"/>
      <c r="BBU33" s="248"/>
      <c r="BBV33" s="248"/>
      <c r="BBW33" s="248"/>
      <c r="BBX33" s="248"/>
      <c r="BBY33" s="248"/>
      <c r="BBZ33" s="248"/>
      <c r="BCA33" s="248"/>
      <c r="BCB33" s="248"/>
      <c r="BCC33" s="248"/>
      <c r="BCD33" s="248"/>
      <c r="BCE33" s="248"/>
      <c r="BCF33" s="248"/>
      <c r="BCG33" s="248"/>
      <c r="BCH33" s="248"/>
      <c r="BCI33" s="248"/>
      <c r="BCJ33" s="248"/>
      <c r="BCK33" s="248"/>
      <c r="BCL33" s="248"/>
      <c r="BCM33" s="248"/>
      <c r="BCN33" s="248"/>
      <c r="BCO33" s="248"/>
      <c r="BCP33" s="248"/>
      <c r="BCQ33" s="248"/>
      <c r="BCR33" s="248"/>
      <c r="BCS33" s="248"/>
      <c r="BCT33" s="248"/>
      <c r="BCU33" s="248"/>
      <c r="BCV33" s="248"/>
      <c r="BCW33" s="248"/>
      <c r="BCX33" s="248"/>
      <c r="BCY33" s="248"/>
      <c r="BCZ33" s="248"/>
      <c r="BDA33" s="248"/>
      <c r="BDB33" s="248"/>
      <c r="BDC33" s="248"/>
      <c r="BDD33" s="248"/>
      <c r="BDE33" s="248"/>
      <c r="BDF33" s="248"/>
      <c r="BDG33" s="248"/>
      <c r="BDH33" s="248"/>
      <c r="BDI33" s="248"/>
      <c r="BDJ33" s="248"/>
      <c r="BDK33" s="248"/>
      <c r="BDL33" s="248"/>
      <c r="BDM33" s="248"/>
      <c r="BDN33" s="248"/>
      <c r="BDO33" s="248"/>
      <c r="BDP33" s="248"/>
      <c r="BDQ33" s="248"/>
      <c r="BDR33" s="248"/>
      <c r="BDS33" s="248"/>
      <c r="BDT33" s="248"/>
      <c r="BDU33" s="248"/>
      <c r="BDV33" s="248"/>
      <c r="BDW33" s="248"/>
      <c r="BDX33" s="248"/>
      <c r="BDY33" s="248"/>
      <c r="BDZ33" s="248"/>
      <c r="BEA33" s="248"/>
      <c r="BEB33" s="248"/>
      <c r="BEC33" s="248"/>
      <c r="BED33" s="248"/>
      <c r="BEE33" s="248"/>
      <c r="BEF33" s="248"/>
      <c r="BEG33" s="248"/>
      <c r="BEH33" s="248"/>
      <c r="BEI33" s="248"/>
      <c r="BEJ33" s="248"/>
      <c r="BEK33" s="248"/>
      <c r="BEL33" s="248"/>
      <c r="BEM33" s="248"/>
      <c r="BEN33" s="248"/>
      <c r="BEO33" s="248"/>
      <c r="BEP33" s="248"/>
      <c r="BEQ33" s="248"/>
      <c r="BER33" s="248"/>
      <c r="BES33" s="248"/>
      <c r="BET33" s="248"/>
      <c r="BEU33" s="248"/>
      <c r="BEV33" s="248"/>
      <c r="BEW33" s="248"/>
      <c r="BEX33" s="248"/>
      <c r="BEY33" s="248"/>
      <c r="BEZ33" s="248"/>
      <c r="BFA33" s="248"/>
      <c r="BFB33" s="248"/>
      <c r="BFC33" s="248"/>
      <c r="BFD33" s="248"/>
      <c r="BFE33" s="248"/>
      <c r="BFF33" s="248"/>
      <c r="BFG33" s="248"/>
      <c r="BFH33" s="248"/>
      <c r="BFI33" s="248"/>
      <c r="BFJ33" s="248"/>
      <c r="BFK33" s="248"/>
      <c r="BFL33" s="248"/>
      <c r="BFM33" s="248"/>
      <c r="BFN33" s="248"/>
      <c r="BFO33" s="248"/>
      <c r="BFP33" s="248"/>
      <c r="BFQ33" s="248"/>
      <c r="BFR33" s="248"/>
      <c r="BFS33" s="248"/>
      <c r="BFT33" s="248"/>
      <c r="BFU33" s="248"/>
      <c r="BFV33" s="248"/>
      <c r="BFW33" s="248"/>
      <c r="BFX33" s="248"/>
      <c r="BFY33" s="248"/>
      <c r="BFZ33" s="248"/>
      <c r="BGA33" s="248"/>
      <c r="BGB33" s="248"/>
      <c r="BGC33" s="248"/>
      <c r="BGD33" s="248"/>
      <c r="BGE33" s="248"/>
      <c r="BGF33" s="248"/>
      <c r="BGG33" s="248"/>
      <c r="BGH33" s="248"/>
      <c r="BGI33" s="248"/>
      <c r="BGJ33" s="248"/>
      <c r="BGK33" s="248"/>
      <c r="BGL33" s="248"/>
      <c r="BGM33" s="248"/>
      <c r="BGN33" s="248"/>
      <c r="BGO33" s="248"/>
      <c r="BGP33" s="248"/>
      <c r="BGQ33" s="248"/>
      <c r="BGR33" s="248"/>
      <c r="BGS33" s="248"/>
      <c r="BGT33" s="248"/>
      <c r="BGU33" s="248"/>
      <c r="BGV33" s="248"/>
      <c r="BGW33" s="248"/>
      <c r="BGX33" s="248"/>
      <c r="BGY33" s="248"/>
      <c r="BGZ33" s="248"/>
      <c r="BHA33" s="248"/>
      <c r="BHB33" s="248"/>
      <c r="BHC33" s="248"/>
      <c r="BHD33" s="248"/>
      <c r="BHE33" s="248"/>
      <c r="BHF33" s="248"/>
      <c r="BHG33" s="248"/>
      <c r="BHH33" s="248"/>
      <c r="BHI33" s="248"/>
      <c r="BHJ33" s="248"/>
      <c r="BHK33" s="248"/>
      <c r="BHL33" s="248"/>
      <c r="BHM33" s="248"/>
      <c r="BHN33" s="248"/>
      <c r="BHO33" s="248"/>
      <c r="BHP33" s="248"/>
      <c r="BHQ33" s="248"/>
      <c r="BHR33" s="248"/>
      <c r="BHS33" s="248"/>
      <c r="BHT33" s="248"/>
      <c r="BHU33" s="248"/>
      <c r="BHV33" s="248"/>
      <c r="BHW33" s="248"/>
      <c r="BHX33" s="248"/>
      <c r="BHY33" s="248"/>
      <c r="BHZ33" s="248"/>
      <c r="BIA33" s="248"/>
      <c r="BIB33" s="248"/>
      <c r="BIC33" s="248"/>
      <c r="BID33" s="248"/>
      <c r="BIE33" s="248"/>
      <c r="BIF33" s="248"/>
      <c r="BIG33" s="248"/>
      <c r="BIH33" s="248"/>
      <c r="BII33" s="248"/>
      <c r="BIJ33" s="248"/>
      <c r="BIK33" s="248"/>
      <c r="BIL33" s="248"/>
      <c r="BIM33" s="248"/>
      <c r="BIN33" s="248"/>
      <c r="BIO33" s="248"/>
      <c r="BIP33" s="248"/>
      <c r="BIQ33" s="248"/>
      <c r="BIR33" s="248"/>
      <c r="BIS33" s="248"/>
      <c r="BIT33" s="248"/>
      <c r="BIU33" s="248"/>
      <c r="BIV33" s="248"/>
      <c r="BIW33" s="248"/>
      <c r="BIX33" s="248"/>
      <c r="BIY33" s="248"/>
      <c r="BIZ33" s="248"/>
      <c r="BJA33" s="248"/>
      <c r="BJB33" s="248"/>
      <c r="BJC33" s="248"/>
      <c r="BJD33" s="248"/>
      <c r="BJE33" s="248"/>
      <c r="BJF33" s="248"/>
      <c r="BJG33" s="248"/>
      <c r="BJH33" s="248"/>
      <c r="BJI33" s="248"/>
      <c r="BJJ33" s="248"/>
      <c r="BJK33" s="248"/>
      <c r="BJL33" s="248"/>
      <c r="BJM33" s="248"/>
      <c r="BJN33" s="248"/>
      <c r="BKH33" s="249"/>
      <c r="BKI33" s="249"/>
      <c r="BKJ33" s="249"/>
      <c r="BKK33" s="249"/>
      <c r="BKL33" s="249"/>
      <c r="BKM33" s="249"/>
      <c r="BKN33" s="249"/>
      <c r="BKO33" s="249"/>
      <c r="BKP33" s="249"/>
      <c r="BKQ33" s="249"/>
      <c r="BKR33" s="249"/>
      <c r="BKS33" s="249"/>
      <c r="BKT33" s="249"/>
      <c r="BKU33" s="249"/>
      <c r="BKV33" s="249"/>
      <c r="BKW33" s="249"/>
    </row>
    <row r="34" spans="1:1661" ht="20.100000000000001" customHeight="1" x14ac:dyDescent="0.3">
      <c r="A34" s="78" t="s">
        <v>28</v>
      </c>
      <c r="B34" s="51" t="str">
        <f>IF(LEN(C53)=0,"",C53)</f>
        <v>Réalisation – intégration mobile–backend</v>
      </c>
      <c r="C34" s="216"/>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73"/>
      <c r="AYA34" s="248"/>
      <c r="AYB34" s="248"/>
      <c r="AYC34" s="248"/>
      <c r="AYD34" s="248"/>
      <c r="AYE34" s="248"/>
      <c r="AYF34" s="248"/>
      <c r="AYG34" s="248"/>
      <c r="AYH34" s="248"/>
      <c r="AYI34" s="248"/>
      <c r="AYJ34" s="248"/>
      <c r="AYK34" s="248"/>
      <c r="AYL34" s="248"/>
      <c r="AYM34" s="248"/>
      <c r="AYN34" s="248"/>
      <c r="AYO34" s="248"/>
      <c r="AYP34" s="248"/>
      <c r="AYQ34" s="248"/>
      <c r="AYR34" s="248"/>
      <c r="AYS34" s="248"/>
      <c r="AYT34" s="248"/>
      <c r="AYU34" s="248"/>
      <c r="AYV34" s="248"/>
      <c r="AYW34" s="248"/>
      <c r="AYX34" s="248"/>
      <c r="AYY34" s="248"/>
      <c r="AYZ34" s="248"/>
      <c r="AZA34" s="248"/>
      <c r="AZB34" s="248"/>
      <c r="AZC34" s="248"/>
      <c r="AZD34" s="248"/>
      <c r="AZE34" s="248"/>
      <c r="AZF34" s="248"/>
      <c r="AZG34" s="248"/>
      <c r="AZH34" s="248"/>
      <c r="AZI34" s="248"/>
      <c r="AZJ34" s="248"/>
      <c r="AZK34" s="248"/>
      <c r="AZL34" s="248"/>
      <c r="AZM34" s="248"/>
      <c r="AZN34" s="248"/>
      <c r="AZO34" s="248"/>
      <c r="AZP34" s="248"/>
      <c r="AZQ34" s="248"/>
      <c r="AZR34" s="248"/>
      <c r="AZS34" s="248"/>
      <c r="AZT34" s="248"/>
      <c r="AZU34" s="248"/>
      <c r="AZV34" s="248"/>
      <c r="AZW34" s="248"/>
      <c r="AZX34" s="248"/>
      <c r="AZY34" s="248"/>
      <c r="AZZ34" s="248"/>
      <c r="BAA34" s="248"/>
      <c r="BAB34" s="248"/>
      <c r="BAC34" s="248"/>
      <c r="BAD34" s="248"/>
      <c r="BAE34" s="248"/>
      <c r="BAF34" s="248"/>
      <c r="BAG34" s="248"/>
      <c r="BAH34" s="248"/>
      <c r="BAI34" s="248"/>
      <c r="BAJ34" s="248"/>
      <c r="BAK34" s="248"/>
      <c r="BAL34" s="248"/>
      <c r="BAM34" s="248"/>
      <c r="BAN34" s="248"/>
      <c r="BAO34" s="248"/>
      <c r="BAP34" s="248"/>
      <c r="BAQ34" s="248"/>
      <c r="BAR34" s="248"/>
      <c r="BAS34" s="248"/>
      <c r="BAT34" s="248"/>
      <c r="BAU34" s="248"/>
      <c r="BAV34" s="248"/>
      <c r="BAW34" s="248"/>
      <c r="BAX34" s="248"/>
      <c r="BAY34" s="248"/>
      <c r="BAZ34" s="248"/>
      <c r="BBA34" s="248"/>
      <c r="BBB34" s="248"/>
      <c r="BBC34" s="248"/>
      <c r="BBD34" s="248"/>
      <c r="BBE34" s="248"/>
      <c r="BBF34" s="248"/>
      <c r="BBG34" s="248"/>
      <c r="BBH34" s="248"/>
      <c r="BBI34" s="248"/>
      <c r="BBJ34" s="248"/>
      <c r="BBK34" s="248"/>
      <c r="BBL34" s="248"/>
      <c r="BBM34" s="248"/>
      <c r="BBN34" s="248"/>
      <c r="BBO34" s="248"/>
      <c r="BBP34" s="248"/>
      <c r="BBQ34" s="248"/>
      <c r="BBR34" s="248"/>
      <c r="BBS34" s="248"/>
      <c r="BBT34" s="248"/>
      <c r="BBU34" s="248"/>
      <c r="BBV34" s="248"/>
      <c r="BBW34" s="248"/>
      <c r="BBX34" s="248"/>
      <c r="BBY34" s="248"/>
      <c r="BBZ34" s="248"/>
      <c r="BCA34" s="248"/>
      <c r="BCB34" s="248"/>
      <c r="BCC34" s="248"/>
      <c r="BCD34" s="248"/>
      <c r="BCE34" s="248"/>
      <c r="BCF34" s="248"/>
      <c r="BCG34" s="248"/>
      <c r="BCH34" s="248"/>
      <c r="BCI34" s="248"/>
      <c r="BCJ34" s="248"/>
      <c r="BCK34" s="248"/>
      <c r="BCL34" s="248"/>
      <c r="BCM34" s="248"/>
      <c r="BCN34" s="248"/>
      <c r="BCO34" s="248"/>
      <c r="BCP34" s="248"/>
      <c r="BCQ34" s="248"/>
      <c r="BCR34" s="248"/>
      <c r="BCS34" s="248"/>
      <c r="BCT34" s="248"/>
      <c r="BCU34" s="248"/>
      <c r="BCV34" s="248"/>
      <c r="BCW34" s="248"/>
      <c r="BCX34" s="248"/>
      <c r="BCY34" s="248"/>
      <c r="BCZ34" s="248"/>
      <c r="BDA34" s="248"/>
      <c r="BDB34" s="248"/>
      <c r="BDC34" s="248"/>
      <c r="BDD34" s="248"/>
      <c r="BDE34" s="248"/>
      <c r="BDF34" s="248"/>
      <c r="BDG34" s="248"/>
      <c r="BDH34" s="248"/>
      <c r="BDI34" s="248"/>
      <c r="BDJ34" s="248"/>
      <c r="BDK34" s="248"/>
      <c r="BDL34" s="248"/>
      <c r="BDM34" s="248"/>
      <c r="BDN34" s="248"/>
      <c r="BDO34" s="248"/>
      <c r="BDP34" s="248"/>
      <c r="BDQ34" s="248"/>
      <c r="BDR34" s="248"/>
      <c r="BDS34" s="248"/>
      <c r="BDT34" s="248"/>
      <c r="BDU34" s="248"/>
      <c r="BDV34" s="248"/>
      <c r="BDW34" s="248"/>
      <c r="BDX34" s="248"/>
      <c r="BDY34" s="248"/>
      <c r="BDZ34" s="248"/>
      <c r="BEA34" s="248"/>
      <c r="BEB34" s="248"/>
      <c r="BEC34" s="248"/>
      <c r="BED34" s="248"/>
      <c r="BEE34" s="248"/>
      <c r="BEF34" s="248"/>
      <c r="BEG34" s="248"/>
      <c r="BEH34" s="248"/>
      <c r="BEI34" s="248"/>
      <c r="BEJ34" s="248"/>
      <c r="BEK34" s="248"/>
      <c r="BEL34" s="248"/>
      <c r="BEM34" s="248"/>
      <c r="BEN34" s="248"/>
      <c r="BEO34" s="248"/>
      <c r="BEP34" s="248"/>
      <c r="BEQ34" s="248"/>
      <c r="BER34" s="248"/>
      <c r="BES34" s="248"/>
      <c r="BET34" s="248"/>
      <c r="BEU34" s="248"/>
      <c r="BEV34" s="248"/>
      <c r="BEW34" s="248"/>
      <c r="BEX34" s="248"/>
      <c r="BEY34" s="248"/>
      <c r="BEZ34" s="248"/>
      <c r="BFA34" s="248"/>
      <c r="BFB34" s="248"/>
      <c r="BFC34" s="248"/>
      <c r="BFD34" s="248"/>
      <c r="BFE34" s="248"/>
      <c r="BFF34" s="248"/>
      <c r="BFG34" s="248"/>
      <c r="BFH34" s="248"/>
      <c r="BFI34" s="248"/>
      <c r="BFJ34" s="248"/>
      <c r="BFK34" s="248"/>
      <c r="BFL34" s="248"/>
      <c r="BFM34" s="248"/>
      <c r="BFN34" s="248"/>
      <c r="BFO34" s="248"/>
      <c r="BFP34" s="248"/>
      <c r="BFQ34" s="248"/>
      <c r="BFR34" s="248"/>
      <c r="BFS34" s="248"/>
      <c r="BFT34" s="248"/>
      <c r="BFU34" s="248"/>
      <c r="BFV34" s="248"/>
      <c r="BFW34" s="248"/>
      <c r="BFX34" s="248"/>
      <c r="BFY34" s="248"/>
      <c r="BFZ34" s="248"/>
      <c r="BGA34" s="248"/>
      <c r="BGB34" s="248"/>
      <c r="BGC34" s="248"/>
      <c r="BGD34" s="248"/>
      <c r="BGE34" s="248"/>
      <c r="BGF34" s="248"/>
      <c r="BGG34" s="248"/>
      <c r="BGH34" s="248"/>
      <c r="BGI34" s="248"/>
      <c r="BGJ34" s="248"/>
      <c r="BGK34" s="248"/>
      <c r="BGL34" s="248"/>
      <c r="BGM34" s="248"/>
      <c r="BGN34" s="248"/>
      <c r="BGO34" s="248"/>
      <c r="BGP34" s="248"/>
      <c r="BGQ34" s="248"/>
      <c r="BGR34" s="248"/>
      <c r="BGS34" s="248"/>
      <c r="BGT34" s="248"/>
      <c r="BGU34" s="248"/>
      <c r="BGV34" s="248"/>
      <c r="BGW34" s="248"/>
      <c r="BGX34" s="248"/>
      <c r="BGY34" s="248"/>
      <c r="BGZ34" s="248"/>
      <c r="BHA34" s="248"/>
      <c r="BHB34" s="248"/>
      <c r="BHC34" s="248"/>
      <c r="BHD34" s="248"/>
      <c r="BHE34" s="248"/>
      <c r="BHF34" s="248"/>
      <c r="BHG34" s="248"/>
      <c r="BHH34" s="248"/>
      <c r="BHI34" s="248"/>
      <c r="BHJ34" s="248"/>
      <c r="BHK34" s="248"/>
      <c r="BHL34" s="248"/>
      <c r="BHM34" s="248"/>
      <c r="BHN34" s="248"/>
      <c r="BHO34" s="248"/>
      <c r="BHP34" s="248"/>
      <c r="BHQ34" s="248"/>
      <c r="BHR34" s="248"/>
      <c r="BHS34" s="248"/>
      <c r="BHT34" s="248"/>
      <c r="BHU34" s="248"/>
      <c r="BHV34" s="248"/>
      <c r="BHW34" s="248"/>
      <c r="BHX34" s="248"/>
      <c r="BHY34" s="248"/>
      <c r="BHZ34" s="248"/>
      <c r="BIA34" s="248"/>
      <c r="BIB34" s="248"/>
      <c r="BIC34" s="248"/>
      <c r="BID34" s="248"/>
      <c r="BIE34" s="248"/>
      <c r="BIF34" s="248"/>
      <c r="BIG34" s="248"/>
      <c r="BIH34" s="248"/>
      <c r="BII34" s="248"/>
      <c r="BIJ34" s="248"/>
      <c r="BIK34" s="248"/>
      <c r="BIL34" s="248"/>
      <c r="BIM34" s="248"/>
      <c r="BIN34" s="248"/>
      <c r="BIO34" s="248"/>
      <c r="BIP34" s="248"/>
      <c r="BIQ34" s="248"/>
      <c r="BIR34" s="248"/>
      <c r="BIS34" s="248"/>
      <c r="BIT34" s="248"/>
      <c r="BIU34" s="248"/>
      <c r="BIV34" s="248"/>
      <c r="BIW34" s="248"/>
      <c r="BIX34" s="248"/>
      <c r="BIY34" s="248"/>
      <c r="BIZ34" s="248"/>
      <c r="BJA34" s="248"/>
      <c r="BJB34" s="248"/>
      <c r="BJC34" s="248"/>
      <c r="BJD34" s="248"/>
      <c r="BJE34" s="248"/>
      <c r="BJF34" s="248"/>
      <c r="BJG34" s="248"/>
      <c r="BJH34" s="248"/>
      <c r="BJI34" s="248"/>
      <c r="BJJ34" s="248"/>
      <c r="BJK34" s="248"/>
      <c r="BJL34" s="248"/>
      <c r="BJM34" s="248"/>
      <c r="BJN34" s="248"/>
      <c r="BJO34" s="248"/>
      <c r="BJP34" s="248"/>
      <c r="BJQ34" s="248"/>
      <c r="BJR34" s="248"/>
      <c r="BJS34" s="248"/>
      <c r="BJT34" s="248"/>
      <c r="BJU34" s="248"/>
      <c r="BJV34" s="248"/>
      <c r="BJW34" s="248"/>
      <c r="BJX34" s="248"/>
      <c r="BJY34" s="248"/>
      <c r="BJZ34" s="248"/>
      <c r="BKA34" s="248"/>
      <c r="BKB34" s="248"/>
      <c r="BKC34" s="248"/>
      <c r="BKD34" s="248"/>
      <c r="BKE34" s="248"/>
      <c r="BKF34" s="248"/>
      <c r="BKG34" s="248"/>
      <c r="BKH34" s="248"/>
      <c r="BKI34" s="248"/>
      <c r="BKJ34" s="248"/>
      <c r="BKK34" s="248"/>
      <c r="BKL34" s="248"/>
      <c r="BKM34" s="248"/>
      <c r="BKN34" s="248"/>
      <c r="BKO34" s="248"/>
      <c r="BKP34" s="248"/>
      <c r="BKQ34" s="248"/>
      <c r="BKR34" s="248"/>
      <c r="BKS34" s="248"/>
      <c r="BKT34" s="248"/>
      <c r="BKU34" s="248"/>
      <c r="BKV34" s="248"/>
    </row>
    <row r="35" spans="1:1661" ht="20.100000000000001" customHeight="1" x14ac:dyDescent="0.25">
      <c r="A35" s="78" t="s">
        <v>26</v>
      </c>
      <c r="B35" s="51" t="str">
        <f>IF(LEN(C55)=0,"",C55)</f>
        <v>Test – corrections</v>
      </c>
      <c r="C35" s="209" t="s">
        <v>30</v>
      </c>
      <c r="D35" s="119" t="str">
        <f t="shared" si="0"/>
        <v>9h 15 min</v>
      </c>
      <c r="E35" s="34">
        <v>111</v>
      </c>
      <c r="F35" s="256"/>
      <c r="G35" s="255"/>
      <c r="H35" s="255"/>
      <c r="I35" s="255"/>
      <c r="J35" s="255"/>
      <c r="K35" s="257"/>
      <c r="L35" s="255"/>
      <c r="M35" s="255"/>
      <c r="N35" s="255"/>
      <c r="O35" s="255"/>
      <c r="P35" s="255"/>
      <c r="Q35" s="258"/>
      <c r="R35" s="255"/>
      <c r="S35" s="255"/>
      <c r="T35" s="255"/>
      <c r="U35" s="255"/>
      <c r="V35" s="255"/>
      <c r="W35" s="25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56"/>
      <c r="BO35" s="255"/>
      <c r="BP35" s="255"/>
      <c r="BQ35" s="255"/>
      <c r="BR35" s="255"/>
      <c r="BS35" s="257"/>
      <c r="BT35" s="255"/>
      <c r="BU35" s="255"/>
      <c r="BV35" s="255"/>
      <c r="BW35" s="255"/>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56"/>
      <c r="GE35" s="255"/>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56"/>
      <c r="IM35" s="255"/>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56"/>
      <c r="KU35" s="255"/>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56"/>
      <c r="NC35" s="255"/>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73"/>
      <c r="AYA35" s="249"/>
      <c r="AYB35" s="248"/>
      <c r="AYC35" s="248"/>
      <c r="AYD35" s="248"/>
      <c r="AYE35" s="248"/>
      <c r="AYF35" s="248"/>
      <c r="AYG35" s="248"/>
      <c r="AYH35" s="248"/>
      <c r="AYI35" s="248"/>
      <c r="AYJ35" s="248"/>
      <c r="AYK35" s="248"/>
      <c r="AYL35" s="248"/>
      <c r="AYM35" s="248"/>
      <c r="AYN35" s="248"/>
      <c r="AYO35" s="248"/>
      <c r="AYP35" s="248"/>
      <c r="AYQ35" s="248"/>
      <c r="AYR35" s="248"/>
      <c r="AYS35" s="248"/>
      <c r="AYT35" s="248"/>
      <c r="AYU35" s="248"/>
      <c r="AYV35" s="248"/>
      <c r="AYW35" s="248"/>
      <c r="AYX35" s="248"/>
      <c r="AYY35" s="248"/>
      <c r="AYZ35" s="248"/>
      <c r="AZA35" s="248"/>
      <c r="AZB35" s="248"/>
      <c r="AZC35" s="248"/>
      <c r="AZD35" s="248"/>
      <c r="AZE35" s="248"/>
      <c r="AZF35" s="248"/>
      <c r="AZG35" s="248"/>
      <c r="AZH35" s="248"/>
      <c r="AZI35" s="248"/>
      <c r="AZJ35" s="248"/>
      <c r="AZK35" s="248"/>
      <c r="AZL35" s="248"/>
      <c r="AZM35" s="248"/>
      <c r="AZN35" s="248"/>
      <c r="AZO35" s="248"/>
      <c r="AZP35" s="248"/>
      <c r="AZQ35" s="248"/>
      <c r="AZR35" s="248"/>
      <c r="AZS35" s="248"/>
      <c r="AZT35" s="248"/>
      <c r="AZU35" s="248"/>
      <c r="AZV35" s="248"/>
      <c r="AZW35" s="248"/>
      <c r="AZX35" s="248"/>
      <c r="AZY35" s="248"/>
      <c r="AZZ35" s="248"/>
      <c r="BAA35" s="248"/>
      <c r="BAB35" s="248"/>
      <c r="BAC35" s="248"/>
      <c r="BAD35" s="248"/>
      <c r="BAE35" s="248"/>
      <c r="BAF35" s="248"/>
      <c r="BAG35" s="248"/>
      <c r="BAH35" s="249"/>
      <c r="BAI35" s="249"/>
      <c r="BAJ35" s="248"/>
      <c r="BAK35" s="248"/>
      <c r="BAL35" s="248"/>
      <c r="BAM35" s="248"/>
      <c r="BAN35" s="248"/>
      <c r="BAO35" s="248"/>
      <c r="BAP35" s="248"/>
      <c r="BAQ35" s="248"/>
      <c r="BAR35" s="248"/>
      <c r="BAS35" s="248"/>
      <c r="BAT35" s="248"/>
      <c r="BAU35" s="248"/>
      <c r="BAV35" s="248"/>
      <c r="BAW35" s="248"/>
      <c r="BAX35" s="248"/>
      <c r="BAY35" s="248"/>
      <c r="BAZ35" s="248"/>
      <c r="BBA35" s="248"/>
      <c r="BBB35" s="248"/>
      <c r="BBC35" s="248"/>
      <c r="BBD35" s="248"/>
      <c r="BBE35" s="248"/>
      <c r="BBF35" s="248"/>
      <c r="BBG35" s="248"/>
      <c r="BBH35" s="248"/>
      <c r="BBI35" s="248"/>
      <c r="BBJ35" s="248"/>
      <c r="BBK35" s="248"/>
      <c r="BBL35" s="248"/>
      <c r="BBM35" s="248"/>
      <c r="BBN35" s="248"/>
      <c r="BBO35" s="248"/>
      <c r="BBP35" s="248"/>
      <c r="BBQ35" s="248"/>
      <c r="BBR35" s="248"/>
      <c r="BBS35" s="248"/>
      <c r="BBT35" s="248"/>
      <c r="BBU35" s="248"/>
      <c r="BBV35" s="248"/>
      <c r="BBW35" s="248"/>
      <c r="BBX35" s="248"/>
      <c r="BBY35" s="248"/>
      <c r="BBZ35" s="248"/>
      <c r="BCA35" s="248"/>
      <c r="BCB35" s="248"/>
      <c r="BCC35" s="248"/>
      <c r="BCD35" s="248"/>
      <c r="BCE35" s="248"/>
      <c r="BCF35" s="248"/>
      <c r="BCG35" s="248"/>
      <c r="BCH35" s="248"/>
      <c r="BCI35" s="248"/>
      <c r="BCJ35" s="248"/>
      <c r="BCK35" s="248"/>
      <c r="BCL35" s="248"/>
      <c r="BCM35" s="248"/>
      <c r="BCN35" s="248"/>
      <c r="BCO35" s="248"/>
      <c r="BCP35" s="249"/>
      <c r="BCQ35" s="249"/>
      <c r="BCR35" s="248"/>
      <c r="BCS35" s="248"/>
      <c r="BCT35" s="248"/>
      <c r="BCU35" s="248"/>
      <c r="BCV35" s="248"/>
      <c r="BCW35" s="248"/>
      <c r="BCX35" s="248"/>
      <c r="BCY35" s="248"/>
      <c r="BCZ35" s="248"/>
      <c r="BDA35" s="248"/>
      <c r="BDB35" s="248"/>
      <c r="BDC35" s="248"/>
      <c r="BDD35" s="248"/>
      <c r="BDE35" s="248"/>
      <c r="BDF35" s="248"/>
      <c r="BDG35" s="248"/>
      <c r="BDH35" s="248"/>
      <c r="BDI35" s="248"/>
      <c r="BDJ35" s="248"/>
      <c r="BDK35" s="248"/>
      <c r="BDL35" s="248"/>
      <c r="BDM35" s="248"/>
      <c r="BDN35" s="248"/>
      <c r="BDO35" s="248"/>
      <c r="BDP35" s="248"/>
      <c r="BDQ35" s="248"/>
      <c r="BDR35" s="248"/>
      <c r="BDS35" s="248"/>
      <c r="BDT35" s="248"/>
      <c r="BDU35" s="248"/>
      <c r="BDV35" s="248"/>
      <c r="BDW35" s="248"/>
      <c r="BDX35" s="248"/>
      <c r="BDY35" s="248"/>
      <c r="BDZ35" s="248"/>
      <c r="BEA35" s="248"/>
      <c r="BEB35" s="248"/>
      <c r="BEC35" s="248"/>
      <c r="BED35" s="248"/>
      <c r="BEE35" s="248"/>
      <c r="BEF35" s="248"/>
      <c r="BEG35" s="248"/>
      <c r="BEH35" s="248"/>
      <c r="BEI35" s="248"/>
      <c r="BEJ35" s="248"/>
      <c r="BEK35" s="248"/>
      <c r="BEL35" s="248"/>
      <c r="BEM35" s="248"/>
      <c r="BEN35" s="248"/>
      <c r="BEO35" s="248"/>
      <c r="BEP35" s="248"/>
      <c r="BEQ35" s="248"/>
      <c r="BER35" s="248"/>
      <c r="BES35" s="248"/>
      <c r="BET35" s="248"/>
      <c r="BEU35" s="248"/>
      <c r="BEV35" s="248"/>
      <c r="BEW35" s="248"/>
      <c r="BEX35" s="249"/>
      <c r="BEY35" s="249"/>
      <c r="BEZ35" s="248"/>
      <c r="BFA35" s="248"/>
      <c r="BFB35" s="248"/>
      <c r="BFC35" s="248"/>
      <c r="BFD35" s="248"/>
      <c r="BFE35" s="248"/>
      <c r="BFF35" s="248"/>
      <c r="BFG35" s="248"/>
      <c r="BFH35" s="248"/>
      <c r="BFI35" s="248"/>
      <c r="BFJ35" s="248"/>
      <c r="BFK35" s="248"/>
      <c r="BFL35" s="248"/>
      <c r="BFM35" s="248"/>
      <c r="BFN35" s="248"/>
      <c r="BFO35" s="248"/>
      <c r="BFP35" s="248"/>
      <c r="BFQ35" s="248"/>
      <c r="BFR35" s="248"/>
      <c r="BFS35" s="248"/>
      <c r="BFT35" s="248"/>
      <c r="BFU35" s="248"/>
      <c r="BFV35" s="248"/>
      <c r="BFW35" s="248"/>
      <c r="BFX35" s="248"/>
      <c r="BFY35" s="248"/>
      <c r="BFZ35" s="248"/>
      <c r="BGA35" s="248"/>
      <c r="BGB35" s="248"/>
      <c r="BGC35" s="248"/>
      <c r="BGD35" s="248"/>
      <c r="BGE35" s="248"/>
      <c r="BGF35" s="248"/>
      <c r="BGG35" s="248"/>
      <c r="BGH35" s="248"/>
      <c r="BGI35" s="248"/>
      <c r="BGJ35" s="248"/>
      <c r="BGK35" s="248"/>
      <c r="BGL35" s="248"/>
      <c r="BGM35" s="248"/>
      <c r="BGN35" s="248"/>
      <c r="BGO35" s="248"/>
      <c r="BGP35" s="248"/>
      <c r="BGQ35" s="248"/>
      <c r="BGR35" s="248"/>
      <c r="BGS35" s="248"/>
      <c r="BGT35" s="248"/>
      <c r="BGU35" s="248"/>
      <c r="BGV35" s="248"/>
      <c r="BGW35" s="248"/>
      <c r="BGX35" s="248"/>
      <c r="BGY35" s="248"/>
      <c r="BGZ35" s="248"/>
      <c r="BHA35" s="248"/>
      <c r="BHB35" s="248"/>
      <c r="BHC35" s="248"/>
      <c r="BHD35" s="248"/>
      <c r="BHE35" s="248"/>
      <c r="BHF35" s="249"/>
      <c r="BHG35" s="249"/>
      <c r="BHH35" s="248"/>
      <c r="BHI35" s="248"/>
      <c r="BHJ35" s="248"/>
      <c r="BHK35" s="248"/>
      <c r="BHL35" s="248"/>
      <c r="BHM35" s="248"/>
      <c r="BHN35" s="248"/>
      <c r="BHO35" s="248"/>
      <c r="BHP35" s="248"/>
      <c r="BHQ35" s="248"/>
      <c r="BHR35" s="248"/>
      <c r="BHS35" s="248"/>
      <c r="BHT35" s="248"/>
      <c r="BHU35" s="248"/>
      <c r="BHV35" s="248"/>
      <c r="BHW35" s="248"/>
      <c r="BHX35" s="248"/>
      <c r="BHY35" s="248"/>
      <c r="BHZ35" s="248"/>
      <c r="BIA35" s="248"/>
      <c r="BIB35" s="248"/>
      <c r="BIC35" s="248"/>
      <c r="BID35" s="248"/>
      <c r="BIE35" s="248"/>
      <c r="BIF35" s="248"/>
      <c r="BIG35" s="248"/>
      <c r="BIH35" s="248"/>
      <c r="BII35" s="248"/>
      <c r="BIJ35" s="248"/>
      <c r="BIK35" s="248"/>
      <c r="BIL35" s="248"/>
      <c r="BIM35" s="248"/>
      <c r="BIN35" s="248"/>
      <c r="BIO35" s="248"/>
      <c r="BIP35" s="248"/>
      <c r="BIQ35" s="248"/>
      <c r="BIR35" s="248"/>
      <c r="BIS35" s="248"/>
      <c r="BIT35" s="248"/>
      <c r="BIU35" s="248"/>
      <c r="BIV35" s="248"/>
      <c r="BIW35" s="248"/>
      <c r="BIX35" s="248"/>
      <c r="BIY35" s="248"/>
      <c r="BIZ35" s="248"/>
      <c r="BJA35" s="248"/>
      <c r="BJB35" s="248"/>
      <c r="BJC35" s="248"/>
      <c r="BJD35" s="248"/>
      <c r="BJE35" s="248"/>
      <c r="BJF35" s="248"/>
      <c r="BJG35" s="248"/>
      <c r="BJH35" s="248"/>
      <c r="BJI35" s="248"/>
      <c r="BJJ35" s="248"/>
      <c r="BJK35" s="248"/>
      <c r="BJL35" s="248"/>
      <c r="BJM35" s="248"/>
      <c r="BJN35" s="249"/>
      <c r="BJO35" s="249"/>
    </row>
    <row r="36" spans="1:1661" ht="20.100000000000001" customHeight="1" x14ac:dyDescent="0.25">
      <c r="A36" s="78" t="s">
        <v>28</v>
      </c>
      <c r="B36" s="51" t="str">
        <f>IF(LEN(C57)=0,"",C57)</f>
        <v>Test - Unitaire</v>
      </c>
      <c r="C36" s="216"/>
      <c r="D36" s="120" t="str">
        <f t="shared" si="0"/>
        <v/>
      </c>
      <c r="E36" s="22">
        <v>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73"/>
      <c r="AYA36" s="248"/>
      <c r="AYB36" s="248"/>
      <c r="AYC36" s="248"/>
      <c r="AYD36" s="248"/>
      <c r="AYE36" s="248"/>
      <c r="AYF36" s="248"/>
      <c r="AYG36" s="248"/>
      <c r="AYH36" s="248"/>
      <c r="AYI36" s="248"/>
      <c r="AYJ36" s="248"/>
      <c r="AYK36" s="248"/>
      <c r="AYL36" s="248"/>
      <c r="AYM36" s="248"/>
      <c r="AYN36" s="248"/>
      <c r="AYO36" s="248"/>
      <c r="AYP36" s="248"/>
      <c r="AYQ36" s="248"/>
      <c r="AYR36" s="248"/>
      <c r="AYS36" s="248"/>
      <c r="AYT36" s="248"/>
      <c r="AYU36" s="248"/>
      <c r="AYV36" s="248"/>
      <c r="AYW36" s="248"/>
      <c r="AYX36" s="248"/>
      <c r="AYY36" s="248"/>
      <c r="AYZ36" s="248"/>
      <c r="AZA36" s="248"/>
      <c r="AZB36" s="248"/>
      <c r="AZC36" s="248"/>
      <c r="AZD36" s="248"/>
      <c r="AZE36" s="248"/>
      <c r="AZF36" s="248"/>
      <c r="AZG36" s="248"/>
      <c r="AZH36" s="248"/>
      <c r="AZI36" s="248"/>
      <c r="AZJ36" s="248"/>
      <c r="AZK36" s="248"/>
      <c r="AZL36" s="248"/>
      <c r="AZM36" s="248"/>
      <c r="AZN36" s="248"/>
      <c r="AZO36" s="248"/>
      <c r="AZP36" s="248"/>
      <c r="AZQ36" s="248"/>
      <c r="AZR36" s="248"/>
      <c r="AZS36" s="248"/>
      <c r="AZT36" s="248"/>
      <c r="AZU36" s="248"/>
      <c r="AZV36" s="248"/>
      <c r="AZW36" s="248"/>
      <c r="AZX36" s="248"/>
      <c r="AZY36" s="248"/>
      <c r="AZZ36" s="248"/>
      <c r="BAA36" s="248"/>
      <c r="BAB36" s="248"/>
      <c r="BAC36" s="248"/>
      <c r="BAD36" s="248"/>
      <c r="BAE36" s="248"/>
      <c r="BAF36" s="248"/>
      <c r="BAG36" s="248"/>
      <c r="BAH36" s="248"/>
      <c r="BAI36" s="248"/>
      <c r="BAJ36" s="248"/>
      <c r="BAK36" s="248"/>
      <c r="BAL36" s="248"/>
      <c r="BAM36" s="248"/>
      <c r="BAN36" s="248"/>
      <c r="BAO36" s="248"/>
      <c r="BAP36" s="248"/>
      <c r="BAQ36" s="248"/>
      <c r="BAR36" s="248"/>
      <c r="BAS36" s="248"/>
      <c r="BAT36" s="248"/>
      <c r="BAU36" s="248"/>
      <c r="BAV36" s="248"/>
      <c r="BAW36" s="248"/>
      <c r="BAX36" s="248"/>
      <c r="BAY36" s="248"/>
      <c r="BAZ36" s="248"/>
      <c r="BBA36" s="248"/>
      <c r="BBB36" s="248"/>
      <c r="BBC36" s="248"/>
      <c r="BBD36" s="248"/>
      <c r="BBE36" s="248"/>
      <c r="BBF36" s="248"/>
      <c r="BBG36" s="248"/>
      <c r="BBH36" s="248"/>
      <c r="BBI36" s="248"/>
      <c r="BBJ36" s="248"/>
      <c r="BBK36" s="248"/>
      <c r="BBL36" s="248"/>
      <c r="BBM36" s="248"/>
      <c r="BBN36" s="248"/>
      <c r="BBO36" s="248"/>
      <c r="BBP36" s="248"/>
      <c r="BBQ36" s="248"/>
      <c r="BBR36" s="248"/>
      <c r="BBS36" s="248"/>
      <c r="BBT36" s="248"/>
      <c r="BBU36" s="248"/>
      <c r="BBV36" s="248"/>
      <c r="BBW36" s="248"/>
      <c r="BBX36" s="248"/>
      <c r="BBY36" s="248"/>
      <c r="BBZ36" s="248"/>
      <c r="BCA36" s="248"/>
      <c r="BCB36" s="248"/>
      <c r="BCC36" s="248"/>
      <c r="BCD36" s="248"/>
      <c r="BCE36" s="248"/>
      <c r="BCF36" s="248"/>
      <c r="BCG36" s="248"/>
      <c r="BCH36" s="248"/>
      <c r="BCI36" s="248"/>
      <c r="BCJ36" s="248"/>
      <c r="BCK36" s="248"/>
      <c r="BCL36" s="248"/>
      <c r="BCM36" s="248"/>
      <c r="BCN36" s="248"/>
      <c r="BCO36" s="248"/>
      <c r="BCP36" s="248"/>
      <c r="BCQ36" s="248"/>
      <c r="BCR36" s="248"/>
      <c r="BCS36" s="248"/>
      <c r="BCT36" s="248"/>
      <c r="BCU36" s="248"/>
      <c r="BCV36" s="248"/>
      <c r="BCW36" s="248"/>
      <c r="BCX36" s="248"/>
      <c r="BCY36" s="248"/>
      <c r="BCZ36" s="248"/>
      <c r="BDA36" s="248"/>
      <c r="BDB36" s="248"/>
      <c r="BDC36" s="248"/>
      <c r="BDD36" s="248"/>
      <c r="BDE36" s="248"/>
      <c r="BDF36" s="248"/>
      <c r="BDG36" s="248"/>
      <c r="BDH36" s="248"/>
      <c r="BDI36" s="248"/>
      <c r="BDJ36" s="248"/>
      <c r="BDK36" s="248"/>
      <c r="BDL36" s="248"/>
      <c r="BDM36" s="248"/>
      <c r="BDN36" s="248"/>
      <c r="BDO36" s="248"/>
      <c r="BDP36" s="248"/>
      <c r="BDQ36" s="248"/>
      <c r="BDR36" s="248"/>
      <c r="BDS36" s="248"/>
      <c r="BDT36" s="248"/>
      <c r="BDU36" s="248"/>
      <c r="BDV36" s="248"/>
      <c r="BDW36" s="248"/>
      <c r="BDX36" s="248"/>
      <c r="BDY36" s="248"/>
      <c r="BDZ36" s="248"/>
      <c r="BEA36" s="248"/>
      <c r="BEB36" s="248"/>
      <c r="BEC36" s="248"/>
      <c r="BED36" s="248"/>
      <c r="BEE36" s="248"/>
      <c r="BEF36" s="248"/>
      <c r="BEG36" s="248"/>
      <c r="BEH36" s="248"/>
      <c r="BEI36" s="248"/>
      <c r="BEJ36" s="248"/>
      <c r="BEK36" s="248"/>
      <c r="BEL36" s="248"/>
      <c r="BEM36" s="248"/>
      <c r="BEN36" s="248"/>
      <c r="BEO36" s="248"/>
      <c r="BEP36" s="248"/>
      <c r="BEQ36" s="248"/>
      <c r="BER36" s="248"/>
      <c r="BES36" s="248"/>
      <c r="BET36" s="248"/>
      <c r="BEU36" s="248"/>
      <c r="BEV36" s="248"/>
      <c r="BEW36" s="248"/>
      <c r="BEX36" s="248"/>
      <c r="BEY36" s="248"/>
      <c r="BEZ36" s="248"/>
      <c r="BFA36" s="248"/>
      <c r="BFB36" s="248"/>
      <c r="BFC36" s="248"/>
      <c r="BFD36" s="248"/>
      <c r="BFE36" s="248"/>
      <c r="BFF36" s="248"/>
      <c r="BFG36" s="248"/>
      <c r="BFH36" s="248"/>
      <c r="BFI36" s="248"/>
      <c r="BFJ36" s="248"/>
      <c r="BFK36" s="248"/>
      <c r="BFL36" s="248"/>
      <c r="BFM36" s="248"/>
      <c r="BFN36" s="248"/>
      <c r="BFO36" s="248"/>
      <c r="BFP36" s="248"/>
      <c r="BFQ36" s="248"/>
      <c r="BFR36" s="248"/>
      <c r="BFS36" s="248"/>
      <c r="BFT36" s="248"/>
      <c r="BFU36" s="248"/>
      <c r="BFV36" s="248"/>
      <c r="BFW36" s="248"/>
      <c r="BFX36" s="248"/>
      <c r="BFY36" s="248"/>
      <c r="BFZ36" s="248"/>
      <c r="BGA36" s="248"/>
      <c r="BGB36" s="248"/>
      <c r="BGC36" s="248"/>
      <c r="BGD36" s="248"/>
      <c r="BGE36" s="248"/>
      <c r="BGF36" s="248"/>
      <c r="BGG36" s="248"/>
      <c r="BGH36" s="248"/>
      <c r="BGI36" s="248"/>
      <c r="BGJ36" s="248"/>
      <c r="BGK36" s="248"/>
      <c r="BGL36" s="248"/>
      <c r="BGM36" s="248"/>
      <c r="BGN36" s="248"/>
      <c r="BGO36" s="248"/>
      <c r="BGP36" s="248"/>
      <c r="BGQ36" s="248"/>
      <c r="BGR36" s="248"/>
      <c r="BGS36" s="248"/>
      <c r="BGT36" s="248"/>
      <c r="BGU36" s="248"/>
      <c r="BGV36" s="248"/>
      <c r="BGW36" s="248"/>
      <c r="BGX36" s="248"/>
      <c r="BGY36" s="248"/>
      <c r="BGZ36" s="248"/>
      <c r="BHA36" s="248"/>
      <c r="BHB36" s="248"/>
      <c r="BHC36" s="248"/>
      <c r="BHD36" s="248"/>
      <c r="BHE36" s="248"/>
      <c r="BHF36" s="248"/>
      <c r="BHG36" s="248"/>
      <c r="BHH36" s="248"/>
      <c r="BHI36" s="248"/>
      <c r="BHJ36" s="248"/>
      <c r="BHK36" s="248"/>
      <c r="BHL36" s="248"/>
      <c r="BHM36" s="248"/>
      <c r="BHN36" s="248"/>
      <c r="BHO36" s="248"/>
      <c r="BHP36" s="248"/>
      <c r="BHQ36" s="248"/>
      <c r="BHR36" s="248"/>
      <c r="BHS36" s="248"/>
      <c r="BHT36" s="248"/>
      <c r="BHU36" s="248"/>
      <c r="BHV36" s="248"/>
      <c r="BHW36" s="248"/>
      <c r="BHX36" s="248"/>
      <c r="BHY36" s="248"/>
      <c r="BHZ36" s="248"/>
      <c r="BIA36" s="248"/>
      <c r="BIB36" s="248"/>
      <c r="BIC36" s="248"/>
      <c r="BID36" s="248"/>
      <c r="BIE36" s="248"/>
      <c r="BIF36" s="248"/>
      <c r="BIG36" s="248"/>
      <c r="BIH36" s="248"/>
      <c r="BII36" s="248"/>
      <c r="BIJ36" s="248"/>
      <c r="BIK36" s="248"/>
      <c r="BIL36" s="248"/>
      <c r="BIM36" s="248"/>
      <c r="BIN36" s="248"/>
      <c r="BIO36" s="248"/>
      <c r="BIP36" s="248"/>
      <c r="BIQ36" s="248"/>
      <c r="BIR36" s="248"/>
      <c r="BIS36" s="248"/>
      <c r="BIT36" s="248"/>
      <c r="BIU36" s="248"/>
      <c r="BIV36" s="248"/>
      <c r="BIW36" s="248"/>
      <c r="BIX36" s="248"/>
      <c r="BIY36" s="248"/>
      <c r="BIZ36" s="248"/>
      <c r="BJA36" s="248"/>
      <c r="BJB36" s="248"/>
      <c r="BJC36" s="248"/>
      <c r="BJD36" s="248"/>
      <c r="BJE36" s="248"/>
      <c r="BJF36" s="248"/>
      <c r="BJG36" s="248"/>
      <c r="BJH36" s="248"/>
      <c r="BJI36" s="248"/>
      <c r="BJJ36" s="248"/>
      <c r="BJK36" s="248"/>
      <c r="BJL36" s="248"/>
      <c r="BJM36" s="248"/>
      <c r="BJN36" s="248"/>
      <c r="BJO36" s="248"/>
      <c r="BJP36" s="248"/>
      <c r="BJQ36" s="248"/>
      <c r="BJR36" s="248"/>
      <c r="BJS36" s="248"/>
      <c r="BJT36" s="248"/>
      <c r="BJU36" s="248"/>
      <c r="BJV36" s="248"/>
      <c r="BJW36" s="248"/>
      <c r="BJX36" s="248"/>
      <c r="BJY36" s="248"/>
      <c r="BJZ36" s="248"/>
      <c r="BKA36" s="248"/>
      <c r="BKB36" s="248"/>
      <c r="BKC36" s="248"/>
      <c r="BKD36" s="248"/>
      <c r="BKE36" s="248"/>
      <c r="BKF36" s="248"/>
      <c r="BKG36" s="248"/>
      <c r="BKH36" s="248"/>
      <c r="BKI36" s="248"/>
      <c r="BKJ36" s="248"/>
      <c r="BKK36" s="248"/>
      <c r="BKL36" s="248"/>
      <c r="BKM36" s="248"/>
      <c r="BKN36" s="248"/>
      <c r="BKO36" s="248"/>
      <c r="BKP36" s="248"/>
      <c r="BKQ36" s="248"/>
      <c r="BKR36" s="248"/>
      <c r="BKS36" s="248"/>
      <c r="BKT36" s="248"/>
      <c r="BKU36" s="248"/>
      <c r="BKV36" s="248"/>
    </row>
    <row r="37" spans="1:1661" ht="20.100000000000001" customHeight="1" x14ac:dyDescent="0.25">
      <c r="A37" s="78" t="s">
        <v>26</v>
      </c>
      <c r="B37" s="51" t="str">
        <f>IF(LEN(C59)=0,"",C59)</f>
        <v/>
      </c>
      <c r="C37" s="209" t="s">
        <v>31</v>
      </c>
      <c r="D37" s="119" t="str">
        <f t="shared" si="0"/>
        <v>13h 40 min</v>
      </c>
      <c r="E37" s="26">
        <v>164</v>
      </c>
      <c r="F37" s="169"/>
      <c r="G37" s="170"/>
      <c r="H37" s="170"/>
      <c r="I37" s="170"/>
      <c r="J37" s="170"/>
      <c r="K37" s="171"/>
      <c r="L37" s="170"/>
      <c r="M37" s="170"/>
      <c r="N37" s="170"/>
      <c r="O37" s="170"/>
      <c r="P37" s="170"/>
      <c r="Q37" s="172"/>
      <c r="R37" s="170"/>
      <c r="S37" s="170"/>
      <c r="T37" s="170"/>
      <c r="U37" s="170"/>
      <c r="V37" s="170"/>
      <c r="W37" s="173"/>
      <c r="X37" s="251"/>
      <c r="Y37" s="251"/>
      <c r="Z37" s="251"/>
      <c r="AA37" s="251"/>
      <c r="AB37" s="251"/>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251"/>
      <c r="GS37" s="251"/>
      <c r="GT37" s="251"/>
      <c r="GU37" s="254"/>
      <c r="GV37" s="251"/>
      <c r="GW37" s="251"/>
      <c r="GX37" s="251"/>
      <c r="GY37" s="251"/>
      <c r="GZ37" s="251"/>
      <c r="HA37" s="253"/>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251"/>
      <c r="KW37" s="251"/>
      <c r="KX37" s="251"/>
      <c r="KY37" s="252"/>
      <c r="KZ37" s="251"/>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73"/>
      <c r="AYA37" s="248"/>
      <c r="AYB37" s="248"/>
      <c r="AYC37" s="248"/>
      <c r="AYD37" s="248"/>
      <c r="AYE37" s="248"/>
      <c r="AYF37" s="248"/>
      <c r="AYG37" s="248"/>
      <c r="AYH37" s="248"/>
      <c r="AYI37" s="248"/>
      <c r="AYJ37" s="248"/>
      <c r="AYK37" s="248"/>
      <c r="AYL37" s="248"/>
      <c r="AYM37" s="248"/>
      <c r="AYN37" s="248"/>
      <c r="AYO37" s="248"/>
      <c r="AYP37" s="248"/>
      <c r="AYQ37" s="248"/>
      <c r="AYR37" s="248"/>
      <c r="AYS37" s="248"/>
      <c r="AYT37" s="248"/>
      <c r="AYU37" s="248"/>
      <c r="AYV37" s="248"/>
      <c r="AYW37" s="248"/>
      <c r="AYX37" s="248"/>
      <c r="AYY37" s="248"/>
      <c r="AYZ37" s="248"/>
      <c r="AZA37" s="248"/>
      <c r="AZB37" s="248"/>
      <c r="AZC37" s="248"/>
      <c r="AZD37" s="248"/>
      <c r="AZE37" s="248"/>
      <c r="AZF37" s="248"/>
      <c r="AZG37" s="248"/>
      <c r="AZH37" s="248"/>
      <c r="AZI37" s="248"/>
      <c r="AZJ37" s="248"/>
      <c r="AZK37" s="248"/>
      <c r="AZL37" s="248"/>
      <c r="AZM37" s="248"/>
      <c r="AZN37" s="248"/>
      <c r="AZO37" s="248"/>
      <c r="AZP37" s="248"/>
      <c r="AZQ37" s="248"/>
      <c r="AZR37" s="248"/>
      <c r="AZS37" s="248"/>
      <c r="AZT37" s="248"/>
      <c r="AZU37" s="248"/>
      <c r="AZV37" s="248"/>
      <c r="AZW37" s="248"/>
      <c r="AZX37" s="248"/>
      <c r="AZY37" s="248"/>
      <c r="AZZ37" s="248"/>
      <c r="BAA37" s="248"/>
      <c r="BAB37" s="248"/>
      <c r="BAC37" s="248"/>
      <c r="BAD37" s="248"/>
      <c r="BAE37" s="248"/>
      <c r="BAF37" s="248"/>
      <c r="BAG37" s="248"/>
      <c r="BAH37" s="248"/>
      <c r="BAI37" s="248"/>
      <c r="BAJ37" s="249"/>
      <c r="BAK37" s="249"/>
      <c r="BAL37" s="249"/>
      <c r="BAM37" s="249"/>
      <c r="BAN37" s="249"/>
      <c r="BAO37" s="249"/>
      <c r="BAP37" s="249"/>
      <c r="BAQ37" s="249"/>
      <c r="BAR37" s="249"/>
      <c r="BAS37" s="249"/>
      <c r="BAT37" s="249"/>
      <c r="BAU37" s="249"/>
      <c r="BAV37" s="249"/>
      <c r="BAW37" s="249"/>
      <c r="BAX37" s="249"/>
      <c r="BAY37" s="249"/>
      <c r="BAZ37" s="249"/>
      <c r="BBA37" s="249"/>
      <c r="BBB37" s="249"/>
      <c r="BBC37" s="249"/>
      <c r="BBD37" s="249"/>
      <c r="BBE37" s="249"/>
      <c r="BBF37" s="249"/>
      <c r="BBG37" s="249"/>
      <c r="BBH37" s="249"/>
      <c r="BBI37" s="249"/>
      <c r="BBJ37" s="249"/>
      <c r="BBK37" s="249"/>
      <c r="BBL37" s="249"/>
      <c r="BBM37" s="249"/>
      <c r="BBN37" s="249"/>
      <c r="BBO37" s="249"/>
      <c r="BBP37" s="249"/>
      <c r="BBQ37" s="249"/>
      <c r="BBR37" s="248"/>
      <c r="BBS37" s="248"/>
      <c r="BBT37" s="248"/>
      <c r="BBU37" s="248"/>
      <c r="BBV37" s="248"/>
      <c r="BBW37" s="248"/>
      <c r="BBX37" s="248"/>
      <c r="BBY37" s="248"/>
      <c r="BBZ37" s="248"/>
      <c r="BCA37" s="248"/>
      <c r="BCB37" s="248"/>
      <c r="BCC37" s="248"/>
      <c r="BCD37" s="248"/>
      <c r="BCE37" s="248"/>
      <c r="BCF37" s="248"/>
      <c r="BCG37" s="248"/>
      <c r="BCH37" s="248"/>
      <c r="BCI37" s="248"/>
      <c r="BCJ37" s="248"/>
      <c r="BCK37" s="248"/>
      <c r="BCL37" s="248"/>
      <c r="BCM37" s="248"/>
      <c r="BCN37" s="248"/>
      <c r="BCO37" s="248"/>
      <c r="BCP37" s="248"/>
      <c r="BCQ37" s="248"/>
      <c r="BCR37" s="249"/>
      <c r="BCS37" s="249"/>
      <c r="BCT37" s="249"/>
      <c r="BCU37" s="249"/>
      <c r="BCV37" s="249"/>
      <c r="BCW37" s="249"/>
      <c r="BCX37" s="249"/>
      <c r="BCY37" s="249"/>
      <c r="BCZ37" s="249"/>
      <c r="BDA37" s="249"/>
      <c r="BDB37" s="249"/>
      <c r="BDC37" s="249"/>
      <c r="BDD37" s="249"/>
      <c r="BDE37" s="249"/>
      <c r="BDF37" s="249"/>
      <c r="BDG37" s="249"/>
      <c r="BDH37" s="249"/>
      <c r="BDI37" s="249"/>
      <c r="BDJ37" s="249"/>
      <c r="BDK37" s="249"/>
      <c r="BDL37" s="249"/>
      <c r="BDM37" s="249"/>
      <c r="BDN37" s="249"/>
      <c r="BDO37" s="249"/>
      <c r="BDP37" s="248"/>
      <c r="BDQ37" s="248"/>
      <c r="BDR37" s="248"/>
      <c r="BDS37" s="248"/>
      <c r="BDT37" s="248"/>
      <c r="BDU37" s="248"/>
      <c r="BDV37" s="248"/>
      <c r="BDW37" s="248"/>
      <c r="BDX37" s="248"/>
      <c r="BDY37" s="248"/>
      <c r="BDZ37" s="248"/>
      <c r="BEA37" s="248"/>
      <c r="BEB37" s="248"/>
      <c r="BEC37" s="248"/>
      <c r="BED37" s="248"/>
      <c r="BEE37" s="248"/>
      <c r="BEF37" s="248"/>
      <c r="BEG37" s="248"/>
      <c r="BEH37" s="248"/>
      <c r="BEI37" s="248"/>
      <c r="BEJ37" s="248"/>
      <c r="BEK37" s="248"/>
      <c r="BEL37" s="248"/>
      <c r="BEM37" s="248"/>
      <c r="BEN37" s="248"/>
      <c r="BEO37" s="248"/>
      <c r="BEP37" s="248"/>
      <c r="BEQ37" s="248"/>
      <c r="BER37" s="248"/>
      <c r="BES37" s="248"/>
      <c r="BET37" s="248"/>
      <c r="BEU37" s="248"/>
      <c r="BEV37" s="248"/>
      <c r="BEW37" s="248"/>
      <c r="BEX37" s="248"/>
      <c r="BEY37" s="248"/>
      <c r="BEZ37" s="248"/>
      <c r="BFA37" s="248"/>
      <c r="BFB37" s="248"/>
      <c r="BFC37" s="248"/>
      <c r="BFD37" s="248"/>
      <c r="BFE37" s="248"/>
      <c r="BFF37" s="248"/>
      <c r="BFG37" s="248"/>
      <c r="BFH37" s="248"/>
      <c r="BFI37" s="248"/>
      <c r="BFJ37" s="248"/>
      <c r="BFK37" s="248"/>
      <c r="BFL37" s="248"/>
      <c r="BFM37" s="248"/>
      <c r="BFN37" s="248"/>
      <c r="BFO37" s="248"/>
      <c r="BFP37" s="248"/>
      <c r="BFQ37" s="248"/>
      <c r="BFR37" s="248"/>
      <c r="BFS37" s="248"/>
      <c r="BFT37" s="248"/>
      <c r="BFU37" s="248"/>
      <c r="BFV37" s="248"/>
      <c r="BFW37" s="248"/>
      <c r="BFX37" s="248"/>
      <c r="BFY37" s="248"/>
      <c r="BFZ37" s="248"/>
      <c r="BGA37" s="248"/>
      <c r="BGB37" s="248"/>
      <c r="BGC37" s="248"/>
      <c r="BGD37" s="248"/>
      <c r="BGE37" s="248"/>
      <c r="BGF37" s="248"/>
      <c r="BGG37" s="248"/>
      <c r="BGH37" s="248"/>
      <c r="BGI37" s="248"/>
      <c r="BGJ37" s="248"/>
      <c r="BGK37" s="248"/>
      <c r="BGL37" s="248"/>
      <c r="BGM37" s="248"/>
      <c r="BGN37" s="248"/>
      <c r="BGO37" s="248"/>
      <c r="BGP37" s="248"/>
      <c r="BGQ37" s="248"/>
      <c r="BGR37" s="248"/>
      <c r="BGS37" s="248"/>
      <c r="BGT37" s="248"/>
      <c r="BGU37" s="248"/>
      <c r="BGV37" s="248"/>
      <c r="BGW37" s="248"/>
      <c r="BGX37" s="248"/>
      <c r="BGY37" s="248"/>
      <c r="BGZ37" s="248"/>
      <c r="BHA37" s="248"/>
      <c r="BHB37" s="248"/>
      <c r="BHC37" s="248"/>
      <c r="BHD37" s="248"/>
      <c r="BHE37" s="248"/>
      <c r="BHF37" s="248"/>
      <c r="BHG37" s="248"/>
      <c r="BHH37" s="249"/>
      <c r="BHI37" s="249"/>
      <c r="BHJ37" s="249"/>
      <c r="BHK37" s="249"/>
      <c r="BHL37" s="249"/>
      <c r="BHM37" s="249"/>
      <c r="BHN37" s="249"/>
      <c r="BHO37" s="249"/>
      <c r="BHP37" s="249"/>
      <c r="BHQ37" s="249"/>
      <c r="BHR37" s="249"/>
      <c r="BHS37" s="249"/>
      <c r="BHT37" s="249"/>
      <c r="BHU37" s="249"/>
      <c r="BHV37" s="249"/>
      <c r="BHW37" s="249"/>
      <c r="BHX37" s="249"/>
      <c r="BHY37" s="249"/>
      <c r="BHZ37" s="249"/>
      <c r="BIA37" s="249"/>
      <c r="BIB37" s="248"/>
      <c r="BIC37" s="248"/>
      <c r="BID37" s="248"/>
      <c r="BIE37" s="248"/>
      <c r="BIF37" s="248"/>
      <c r="BIG37" s="248"/>
      <c r="BIH37" s="248"/>
      <c r="BII37" s="248"/>
      <c r="BIJ37" s="248"/>
      <c r="BIK37" s="248"/>
      <c r="BIL37" s="248"/>
      <c r="BIM37" s="248"/>
      <c r="BIN37" s="248"/>
      <c r="BIO37" s="248"/>
      <c r="BIP37" s="248"/>
      <c r="BIQ37" s="248"/>
      <c r="BIR37" s="248"/>
      <c r="BIS37" s="248"/>
      <c r="BIT37" s="248"/>
      <c r="BIU37" s="248"/>
      <c r="BIV37" s="248"/>
      <c r="BIW37" s="248"/>
      <c r="BIX37" s="248"/>
      <c r="BIY37" s="248"/>
      <c r="BIZ37" s="248"/>
      <c r="BJA37" s="248"/>
      <c r="BJB37" s="248"/>
      <c r="BJC37" s="248"/>
      <c r="BJD37" s="248"/>
      <c r="BJE37" s="248"/>
      <c r="BJF37" s="248"/>
      <c r="BJG37" s="248"/>
      <c r="BJH37" s="248"/>
      <c r="BJI37" s="248"/>
      <c r="BJJ37" s="248"/>
      <c r="BJK37" s="248"/>
      <c r="BJL37" s="248"/>
      <c r="BJM37" s="248"/>
      <c r="BJN37" s="248"/>
    </row>
    <row r="38" spans="1:1661" ht="20.100000000000001" customHeight="1" x14ac:dyDescent="0.3">
      <c r="A38" s="78" t="s">
        <v>28</v>
      </c>
      <c r="B38" s="51" t="str">
        <f>IF(LEN(C61)=0,"",C61)</f>
        <v/>
      </c>
      <c r="C38" s="210"/>
      <c r="D38" s="121" t="str">
        <f t="shared" si="0"/>
        <v/>
      </c>
      <c r="E38" s="30">
        <v>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73"/>
      <c r="AYA38" s="248"/>
      <c r="AYB38" s="248"/>
      <c r="AYC38" s="248"/>
      <c r="AYD38" s="248"/>
      <c r="AYE38" s="248"/>
      <c r="AYF38" s="248"/>
      <c r="AYG38" s="248"/>
      <c r="AYH38" s="248"/>
      <c r="AYI38" s="248"/>
      <c r="AYJ38" s="248"/>
      <c r="AYK38" s="248"/>
      <c r="AYL38" s="248"/>
      <c r="AYM38" s="248"/>
      <c r="AYN38" s="248"/>
      <c r="AYO38" s="248"/>
      <c r="AYP38" s="248"/>
      <c r="AYQ38" s="248"/>
      <c r="AYR38" s="248"/>
      <c r="AYS38" s="248"/>
      <c r="AYT38" s="248"/>
      <c r="AYU38" s="248"/>
      <c r="AYV38" s="248"/>
      <c r="AYW38" s="248"/>
      <c r="AYX38" s="248"/>
      <c r="AYY38" s="248"/>
      <c r="AYZ38" s="248"/>
      <c r="AZA38" s="248"/>
      <c r="AZB38" s="248"/>
      <c r="AZC38" s="248"/>
      <c r="AZD38" s="248"/>
      <c r="AZE38" s="248"/>
      <c r="AZF38" s="248"/>
      <c r="AZG38" s="248"/>
      <c r="AZH38" s="248"/>
      <c r="AZI38" s="248"/>
      <c r="AZJ38" s="248"/>
      <c r="AZK38" s="248"/>
      <c r="AZL38" s="248"/>
      <c r="AZM38" s="248"/>
      <c r="AZN38" s="248"/>
      <c r="AZO38" s="248"/>
      <c r="AZP38" s="248"/>
      <c r="AZQ38" s="248"/>
      <c r="AZR38" s="248"/>
      <c r="AZS38" s="248"/>
      <c r="AZT38" s="248"/>
      <c r="AZU38" s="248"/>
      <c r="AZV38" s="248"/>
      <c r="AZW38" s="248"/>
      <c r="AZX38" s="248"/>
      <c r="AZY38" s="248"/>
      <c r="AZZ38" s="248"/>
      <c r="BAA38" s="248"/>
      <c r="BAB38" s="248"/>
      <c r="BAC38" s="248"/>
      <c r="BAD38" s="248"/>
      <c r="BAE38" s="248"/>
      <c r="BAF38" s="248"/>
      <c r="BAG38" s="248"/>
      <c r="BAH38" s="248"/>
      <c r="BAI38" s="248"/>
      <c r="BAJ38" s="248"/>
      <c r="BAK38" s="248"/>
      <c r="BAL38" s="248"/>
      <c r="BAM38" s="248"/>
      <c r="BAN38" s="248"/>
      <c r="BAO38" s="248"/>
      <c r="BAP38" s="248"/>
      <c r="BAQ38" s="248"/>
      <c r="BAR38" s="248"/>
      <c r="BAS38" s="248"/>
      <c r="BAT38" s="248"/>
      <c r="BAU38" s="248"/>
      <c r="BAV38" s="248"/>
      <c r="BAW38" s="248"/>
      <c r="BAX38" s="248"/>
      <c r="BAY38" s="248"/>
      <c r="BAZ38" s="248"/>
      <c r="BBA38" s="248"/>
      <c r="BBB38" s="248"/>
      <c r="BBC38" s="248"/>
      <c r="BBD38" s="248"/>
      <c r="BBE38" s="248"/>
      <c r="BBF38" s="248"/>
      <c r="BBG38" s="248"/>
      <c r="BBH38" s="248"/>
      <c r="BBI38" s="248"/>
      <c r="BBJ38" s="248"/>
      <c r="BBK38" s="248"/>
      <c r="BBL38" s="248"/>
      <c r="BBM38" s="248"/>
      <c r="BBN38" s="248"/>
      <c r="BBO38" s="248"/>
      <c r="BBP38" s="248"/>
      <c r="BBQ38" s="248"/>
      <c r="BBR38" s="248"/>
      <c r="BBS38" s="248"/>
      <c r="BBT38" s="248"/>
      <c r="BBU38" s="248"/>
      <c r="BBV38" s="248"/>
      <c r="BBW38" s="248"/>
      <c r="BBX38" s="248"/>
      <c r="BBY38" s="248"/>
      <c r="BBZ38" s="248"/>
      <c r="BCA38" s="248"/>
      <c r="BCB38" s="248"/>
      <c r="BCC38" s="248"/>
      <c r="BCD38" s="248"/>
      <c r="BCE38" s="248"/>
      <c r="BCF38" s="248"/>
      <c r="BCG38" s="248"/>
      <c r="BCH38" s="248"/>
      <c r="BCI38" s="248"/>
      <c r="BCJ38" s="248"/>
      <c r="BCK38" s="248"/>
      <c r="BCL38" s="248"/>
      <c r="BCM38" s="248"/>
      <c r="BCN38" s="248"/>
      <c r="BCO38" s="248"/>
      <c r="BCP38" s="248"/>
      <c r="BCQ38" s="248"/>
      <c r="BCR38" s="248"/>
      <c r="BCS38" s="248"/>
      <c r="BCT38" s="248"/>
      <c r="BCU38" s="248"/>
      <c r="BCV38" s="248"/>
      <c r="BCW38" s="248"/>
      <c r="BCX38" s="248"/>
      <c r="BCY38" s="248"/>
      <c r="BCZ38" s="248"/>
      <c r="BDA38" s="248"/>
      <c r="BDB38" s="248"/>
      <c r="BDC38" s="248"/>
      <c r="BDD38" s="248"/>
      <c r="BDE38" s="248"/>
      <c r="BDF38" s="248"/>
      <c r="BDG38" s="248"/>
      <c r="BDH38" s="248"/>
      <c r="BDI38" s="248"/>
      <c r="BDJ38" s="248"/>
      <c r="BDK38" s="248"/>
      <c r="BDL38" s="248"/>
      <c r="BDM38" s="248"/>
      <c r="BDN38" s="248"/>
      <c r="BDO38" s="248"/>
      <c r="BDP38" s="248"/>
      <c r="BDQ38" s="248"/>
      <c r="BDR38" s="248"/>
      <c r="BDS38" s="248"/>
      <c r="BDT38" s="248"/>
      <c r="BDU38" s="248"/>
      <c r="BDV38" s="248"/>
      <c r="BDW38" s="248"/>
      <c r="BDX38" s="248"/>
      <c r="BDY38" s="248"/>
      <c r="BDZ38" s="248"/>
      <c r="BEA38" s="248"/>
      <c r="BEB38" s="248"/>
      <c r="BEC38" s="248"/>
      <c r="BED38" s="248"/>
      <c r="BEE38" s="248"/>
      <c r="BEF38" s="248"/>
      <c r="BEG38" s="248"/>
      <c r="BEH38" s="248"/>
      <c r="BEI38" s="248"/>
      <c r="BEJ38" s="248"/>
      <c r="BEK38" s="248"/>
      <c r="BEL38" s="248"/>
      <c r="BEM38" s="248"/>
      <c r="BEN38" s="248"/>
      <c r="BEO38" s="248"/>
      <c r="BEP38" s="248"/>
      <c r="BEQ38" s="248"/>
      <c r="BER38" s="248"/>
      <c r="BES38" s="248"/>
      <c r="BET38" s="248"/>
      <c r="BEU38" s="248"/>
      <c r="BEV38" s="248"/>
      <c r="BEW38" s="248"/>
      <c r="BEX38" s="248"/>
      <c r="BEY38" s="248"/>
      <c r="BEZ38" s="248"/>
      <c r="BFA38" s="248"/>
      <c r="BFB38" s="248"/>
      <c r="BFC38" s="248"/>
      <c r="BFD38" s="248"/>
      <c r="BFE38" s="248"/>
      <c r="BFF38" s="248"/>
      <c r="BFG38" s="248"/>
      <c r="BFH38" s="248"/>
      <c r="BFI38" s="248"/>
      <c r="BFJ38" s="248"/>
      <c r="BFK38" s="248"/>
      <c r="BFL38" s="248"/>
      <c r="BFM38" s="248"/>
      <c r="BFN38" s="248"/>
      <c r="BFO38" s="248"/>
      <c r="BFP38" s="248"/>
      <c r="BFQ38" s="248"/>
      <c r="BFR38" s="248"/>
      <c r="BFS38" s="248"/>
      <c r="BFT38" s="248"/>
      <c r="BFU38" s="248"/>
      <c r="BFV38" s="248"/>
      <c r="BFW38" s="248"/>
      <c r="BFX38" s="248"/>
      <c r="BFY38" s="248"/>
      <c r="BFZ38" s="248"/>
      <c r="BGA38" s="248"/>
      <c r="BGB38" s="248"/>
      <c r="BGC38" s="248"/>
      <c r="BGD38" s="248"/>
      <c r="BGE38" s="248"/>
      <c r="BGF38" s="248"/>
      <c r="BGG38" s="248"/>
      <c r="BGH38" s="248"/>
      <c r="BGI38" s="248"/>
      <c r="BGJ38" s="248"/>
      <c r="BGK38" s="248"/>
      <c r="BGL38" s="248"/>
      <c r="BGM38" s="248"/>
      <c r="BGN38" s="248"/>
      <c r="BGO38" s="248"/>
      <c r="BGP38" s="248"/>
      <c r="BGQ38" s="248"/>
      <c r="BGR38" s="248"/>
      <c r="BGS38" s="248"/>
      <c r="BGT38" s="248"/>
      <c r="BGU38" s="248"/>
      <c r="BGV38" s="248"/>
      <c r="BGW38" s="248"/>
      <c r="BGX38" s="248"/>
      <c r="BGY38" s="248"/>
      <c r="BGZ38" s="248"/>
      <c r="BHA38" s="248"/>
      <c r="BHB38" s="248"/>
      <c r="BHC38" s="248"/>
      <c r="BHD38" s="248"/>
      <c r="BHE38" s="248"/>
      <c r="BHF38" s="248"/>
      <c r="BHG38" s="248"/>
      <c r="BHH38" s="248"/>
      <c r="BHI38" s="248"/>
      <c r="BHJ38" s="248"/>
      <c r="BHK38" s="248"/>
      <c r="BHL38" s="248"/>
      <c r="BHM38" s="248"/>
      <c r="BHN38" s="248"/>
      <c r="BHO38" s="248"/>
      <c r="BHP38" s="248"/>
      <c r="BHQ38" s="248"/>
      <c r="BHR38" s="248"/>
      <c r="BHS38" s="248"/>
      <c r="BHT38" s="248"/>
      <c r="BHU38" s="248"/>
      <c r="BHV38" s="248"/>
      <c r="BHW38" s="248"/>
      <c r="BHX38" s="248"/>
      <c r="BHY38" s="248"/>
      <c r="BHZ38" s="248"/>
      <c r="BIA38" s="248"/>
      <c r="BIB38" s="248"/>
      <c r="BIC38" s="248"/>
      <c r="BID38" s="248"/>
      <c r="BIE38" s="248"/>
      <c r="BIF38" s="248"/>
      <c r="BIG38" s="248"/>
      <c r="BIH38" s="248"/>
      <c r="BII38" s="248"/>
      <c r="BIJ38" s="248"/>
      <c r="BIK38" s="248"/>
      <c r="BIL38" s="248"/>
      <c r="BIM38" s="248"/>
      <c r="BIN38" s="248"/>
      <c r="BIO38" s="248"/>
      <c r="BIP38" s="248"/>
      <c r="BIQ38" s="248"/>
      <c r="BIR38" s="248"/>
      <c r="BIS38" s="248"/>
      <c r="BIT38" s="248"/>
      <c r="BIU38" s="248"/>
      <c r="BIV38" s="248"/>
      <c r="BIW38" s="248"/>
      <c r="BIX38" s="248"/>
      <c r="BIY38" s="248"/>
      <c r="BIZ38" s="248"/>
      <c r="BJA38" s="248"/>
      <c r="BJB38" s="248"/>
      <c r="BJC38" s="248"/>
      <c r="BJD38" s="248"/>
      <c r="BJE38" s="248"/>
      <c r="BJF38" s="248"/>
      <c r="BJG38" s="248"/>
      <c r="BJH38" s="248"/>
      <c r="BJI38" s="248"/>
      <c r="BJJ38" s="248"/>
      <c r="BJK38" s="248"/>
      <c r="BJL38" s="248"/>
      <c r="BJM38" s="248"/>
      <c r="BJN38" s="248"/>
      <c r="BJO38" s="248"/>
      <c r="BJP38" s="248"/>
      <c r="BJQ38" s="248"/>
      <c r="BJR38" s="248"/>
      <c r="BJS38" s="248"/>
      <c r="BJT38" s="248"/>
      <c r="BJU38" s="248"/>
      <c r="BJV38" s="248"/>
      <c r="BJW38" s="248"/>
      <c r="BJX38" s="248"/>
      <c r="BJY38" s="248"/>
      <c r="BJZ38" s="248"/>
      <c r="BKA38" s="248"/>
      <c r="BKB38" s="248"/>
      <c r="BKC38" s="248"/>
      <c r="BKD38" s="248"/>
      <c r="BKE38" s="248"/>
      <c r="BKF38" s="248"/>
      <c r="BKG38" s="248"/>
      <c r="BKH38" s="248"/>
      <c r="BKI38" s="248"/>
      <c r="BKJ38" s="248"/>
      <c r="BKK38" s="248"/>
      <c r="BKL38" s="248"/>
      <c r="BKM38" s="248"/>
      <c r="BKN38" s="248"/>
      <c r="BKO38" s="248"/>
      <c r="BKP38" s="248"/>
      <c r="BKQ38" s="248"/>
      <c r="BKR38" s="248"/>
      <c r="BKS38" s="248"/>
      <c r="BKT38" s="248"/>
      <c r="BKU38" s="248"/>
      <c r="BKV38" s="248"/>
    </row>
    <row r="39" spans="1:1661" ht="20.100000000000001" customHeight="1" x14ac:dyDescent="0.25">
      <c r="A39" s="78" t="s">
        <v>26</v>
      </c>
      <c r="B39" s="51" t="str">
        <f>IF(LEN(C63)=0,"",C63)</f>
        <v/>
      </c>
      <c r="C39" s="209" t="s">
        <v>59</v>
      </c>
      <c r="D39" s="119" t="str">
        <f t="shared" si="0"/>
        <v>4h 50 min</v>
      </c>
      <c r="E39" s="34">
        <v>58</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55"/>
      <c r="BY39" s="258"/>
      <c r="BZ39" s="255"/>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55"/>
      <c r="EO39" s="255"/>
      <c r="EP39" s="255"/>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73"/>
      <c r="AYA39" s="248"/>
      <c r="AYB39" s="248"/>
      <c r="AYC39" s="248"/>
      <c r="AYD39" s="248"/>
      <c r="AYE39" s="248"/>
      <c r="AYF39" s="248"/>
      <c r="AYG39" s="248"/>
      <c r="AYH39" s="248"/>
      <c r="AYI39" s="248"/>
      <c r="AYJ39" s="248"/>
      <c r="AYK39" s="248"/>
      <c r="AYL39" s="248"/>
      <c r="AYM39" s="248"/>
      <c r="AYN39" s="248"/>
      <c r="AYO39" s="248"/>
      <c r="AYP39" s="248"/>
      <c r="AYQ39" s="248"/>
      <c r="AYR39" s="248"/>
      <c r="AYS39" s="248"/>
      <c r="AYT39" s="248"/>
      <c r="AYU39" s="248"/>
      <c r="AYV39" s="248"/>
      <c r="AYW39" s="248"/>
      <c r="AYX39" s="248"/>
      <c r="AYY39" s="248"/>
      <c r="AYZ39" s="248"/>
      <c r="AZA39" s="248"/>
      <c r="AZB39" s="248"/>
      <c r="AZC39" s="248"/>
      <c r="AZD39" s="248"/>
      <c r="AZE39" s="248"/>
      <c r="AZF39" s="248"/>
      <c r="AZG39" s="248"/>
      <c r="AZH39" s="248"/>
      <c r="AZI39" s="248"/>
      <c r="AZJ39" s="248"/>
      <c r="AZK39" s="248"/>
      <c r="AZL39" s="248"/>
      <c r="AZM39" s="248"/>
      <c r="AZN39" s="248"/>
      <c r="AZO39" s="248"/>
      <c r="AZP39" s="248"/>
      <c r="AZQ39" s="248"/>
      <c r="AZR39" s="248"/>
      <c r="AZS39" s="248"/>
      <c r="AZT39" s="248"/>
      <c r="AZU39" s="248"/>
      <c r="AZV39" s="248"/>
      <c r="AZW39" s="248"/>
      <c r="AZX39" s="248"/>
      <c r="AZY39" s="248"/>
      <c r="AZZ39" s="248"/>
      <c r="BAA39" s="248"/>
      <c r="BAB39" s="248"/>
      <c r="BAC39" s="248"/>
      <c r="BAD39" s="248"/>
      <c r="BAE39" s="248"/>
      <c r="BAF39" s="248"/>
      <c r="BAG39" s="248"/>
      <c r="BAH39" s="248"/>
      <c r="BAI39" s="248"/>
      <c r="BAJ39" s="248"/>
      <c r="BAK39" s="248"/>
      <c r="BAL39" s="248"/>
      <c r="BAM39" s="248"/>
      <c r="BAN39" s="248"/>
      <c r="BAO39" s="248"/>
      <c r="BAP39" s="248"/>
      <c r="BAQ39" s="248"/>
      <c r="BAR39" s="248"/>
      <c r="BAS39" s="248"/>
      <c r="BAT39" s="248"/>
      <c r="BAU39" s="248"/>
      <c r="BAV39" s="248"/>
      <c r="BAW39" s="248"/>
      <c r="BAX39" s="248"/>
      <c r="BAY39" s="248"/>
      <c r="BAZ39" s="248"/>
      <c r="BBA39" s="248"/>
      <c r="BBB39" s="248"/>
      <c r="BBC39" s="248"/>
      <c r="BBD39" s="248"/>
      <c r="BBE39" s="248"/>
      <c r="BBF39" s="248"/>
      <c r="BBG39" s="248"/>
      <c r="BBH39" s="248"/>
      <c r="BBI39" s="248"/>
      <c r="BBJ39" s="248"/>
      <c r="BBK39" s="248"/>
      <c r="BBL39" s="248"/>
      <c r="BBM39" s="248"/>
      <c r="BBN39" s="248"/>
      <c r="BBO39" s="248"/>
      <c r="BBP39" s="248"/>
      <c r="BBQ39" s="248"/>
      <c r="BBR39" s="248"/>
      <c r="BBS39" s="248"/>
      <c r="BBT39" s="248"/>
      <c r="BBU39" s="248"/>
      <c r="BBV39" s="248"/>
      <c r="BBW39" s="248"/>
      <c r="BBX39" s="248"/>
      <c r="BBY39" s="248"/>
      <c r="BBZ39" s="248"/>
      <c r="BCA39" s="248"/>
      <c r="BCB39" s="248"/>
      <c r="BCC39" s="248"/>
      <c r="BCD39" s="248"/>
      <c r="BCE39" s="248"/>
      <c r="BCF39" s="248"/>
      <c r="BCG39" s="248"/>
      <c r="BCH39" s="248"/>
      <c r="BCI39" s="248"/>
      <c r="BCJ39" s="248"/>
      <c r="BCK39" s="248"/>
      <c r="BCL39" s="248"/>
      <c r="BCM39" s="248"/>
      <c r="BCN39" s="248"/>
      <c r="BCO39" s="248"/>
      <c r="BCP39" s="248"/>
      <c r="BCQ39" s="248"/>
      <c r="BCR39" s="248"/>
      <c r="BCS39" s="248"/>
      <c r="BCT39" s="248"/>
      <c r="BCU39" s="248"/>
      <c r="BCV39" s="248"/>
      <c r="BCW39" s="248"/>
      <c r="BCX39" s="248"/>
      <c r="BCY39" s="248"/>
      <c r="BCZ39" s="248"/>
      <c r="BDA39" s="248"/>
      <c r="BDB39" s="248"/>
      <c r="BDC39" s="248"/>
      <c r="BDD39" s="248"/>
      <c r="BDE39" s="248"/>
      <c r="BDF39" s="248"/>
      <c r="BDG39" s="248"/>
      <c r="BDH39" s="248"/>
      <c r="BDI39" s="248"/>
      <c r="BDJ39" s="248"/>
      <c r="BDK39" s="248"/>
      <c r="BDL39" s="248"/>
      <c r="BDM39" s="248"/>
      <c r="BDN39" s="248"/>
      <c r="BDO39" s="248"/>
      <c r="BDP39" s="248"/>
      <c r="BDQ39" s="248"/>
      <c r="BDR39" s="248"/>
      <c r="BDS39" s="248"/>
      <c r="BDT39" s="248"/>
      <c r="BDU39" s="248"/>
      <c r="BDV39" s="248"/>
      <c r="BDW39" s="248"/>
      <c r="BDX39" s="248"/>
      <c r="BDY39" s="248"/>
      <c r="BDZ39" s="248"/>
      <c r="BEA39" s="248"/>
      <c r="BEB39" s="248"/>
      <c r="BEC39" s="248"/>
      <c r="BED39" s="248"/>
      <c r="BEE39" s="248"/>
      <c r="BEF39" s="248"/>
      <c r="BEG39" s="248"/>
      <c r="BEH39" s="248"/>
      <c r="BEI39" s="248"/>
      <c r="BEJ39" s="248"/>
      <c r="BEK39" s="248"/>
      <c r="BEL39" s="248"/>
      <c r="BEM39" s="248"/>
      <c r="BEN39" s="248"/>
      <c r="BEO39" s="248"/>
      <c r="BEP39" s="248"/>
      <c r="BEQ39" s="248"/>
      <c r="BER39" s="248"/>
      <c r="BES39" s="248"/>
      <c r="BET39" s="248"/>
      <c r="BEU39" s="248"/>
      <c r="BEV39" s="248"/>
      <c r="BEW39" s="248"/>
      <c r="BEX39" s="248"/>
      <c r="BEY39" s="248"/>
      <c r="BEZ39" s="248"/>
      <c r="BFA39" s="248"/>
      <c r="BFB39" s="248"/>
      <c r="BFC39" s="248"/>
      <c r="BFD39" s="248"/>
      <c r="BFE39" s="248"/>
      <c r="BFF39" s="248"/>
      <c r="BFG39" s="248"/>
      <c r="BFH39" s="248"/>
      <c r="BFI39" s="248"/>
      <c r="BFJ39" s="248"/>
      <c r="BFK39" s="248"/>
      <c r="BFL39" s="248"/>
      <c r="BFM39" s="248"/>
      <c r="BFN39" s="248"/>
      <c r="BFO39" s="248"/>
      <c r="BFP39" s="249"/>
      <c r="BFQ39" s="249"/>
      <c r="BFR39" s="249"/>
      <c r="BFS39" s="249"/>
      <c r="BFT39" s="249"/>
      <c r="BFU39" s="249"/>
      <c r="BFV39" s="249"/>
      <c r="BFW39" s="249"/>
      <c r="BFX39" s="249"/>
      <c r="BFY39" s="249"/>
      <c r="BFZ39" s="249"/>
      <c r="BGA39" s="249"/>
      <c r="BGB39" s="249"/>
      <c r="BGC39" s="249"/>
      <c r="BGD39" s="249"/>
      <c r="BGE39" s="249"/>
      <c r="BGF39" s="249"/>
      <c r="BGG39" s="249"/>
      <c r="BGH39" s="248"/>
      <c r="BGI39" s="248"/>
      <c r="BGJ39" s="248"/>
      <c r="BGK39" s="248"/>
      <c r="BGL39" s="248"/>
      <c r="BGM39" s="248"/>
      <c r="BGN39" s="248"/>
      <c r="BGO39" s="248"/>
      <c r="BGP39" s="248"/>
      <c r="BGQ39" s="248"/>
      <c r="BGR39" s="248"/>
      <c r="BGS39" s="248"/>
      <c r="BGT39" s="248"/>
      <c r="BGU39" s="248"/>
      <c r="BGV39" s="248"/>
      <c r="BGW39" s="248"/>
      <c r="BGX39" s="248"/>
      <c r="BGY39" s="248"/>
      <c r="BGZ39" s="248"/>
      <c r="BHA39" s="248"/>
      <c r="BHB39" s="248"/>
      <c r="BHC39" s="248"/>
      <c r="BHD39" s="248"/>
      <c r="BHE39" s="248"/>
      <c r="BHF39" s="248"/>
      <c r="BHG39" s="248"/>
      <c r="BHH39" s="248"/>
      <c r="BHI39" s="248"/>
      <c r="BHJ39" s="248"/>
      <c r="BHK39" s="248"/>
      <c r="BHL39" s="248"/>
      <c r="BHM39" s="248"/>
      <c r="BHN39" s="248"/>
      <c r="BHO39" s="248"/>
      <c r="BHP39" s="248"/>
      <c r="BHQ39" s="248"/>
      <c r="BHR39" s="248"/>
      <c r="BHS39" s="248"/>
      <c r="BHT39" s="248"/>
      <c r="BHU39" s="248"/>
      <c r="BHV39" s="248"/>
      <c r="BHW39" s="248"/>
      <c r="BHX39" s="248"/>
      <c r="BHY39" s="248"/>
      <c r="BHZ39" s="248"/>
      <c r="BIA39" s="248"/>
      <c r="BIB39" s="248"/>
      <c r="BIC39" s="248"/>
      <c r="BID39" s="248"/>
      <c r="BIE39" s="248"/>
      <c r="BIF39" s="248"/>
      <c r="BIG39" s="248"/>
      <c r="BIH39" s="248"/>
      <c r="BII39" s="248"/>
      <c r="BIJ39" s="248"/>
      <c r="BIK39" s="248"/>
      <c r="BIL39" s="248"/>
      <c r="BIM39" s="248"/>
      <c r="BIN39" s="248"/>
      <c r="BIO39" s="248"/>
      <c r="BIP39" s="248"/>
      <c r="BIQ39" s="248"/>
      <c r="BIR39" s="248"/>
      <c r="BIS39" s="248"/>
      <c r="BIT39" s="248"/>
      <c r="BIU39" s="248"/>
      <c r="BIV39" s="248"/>
      <c r="BIW39" s="248"/>
      <c r="BIX39" s="248"/>
      <c r="BIY39" s="248"/>
      <c r="BIZ39" s="248"/>
      <c r="BJA39" s="248"/>
      <c r="BJB39" s="248"/>
      <c r="BJC39" s="248"/>
      <c r="BJD39" s="248"/>
      <c r="BJE39" s="248"/>
      <c r="BJF39" s="248"/>
      <c r="BJG39" s="248"/>
      <c r="BJH39" s="248"/>
      <c r="BJI39" s="248"/>
      <c r="BJJ39" s="248"/>
      <c r="BJK39" s="248"/>
      <c r="BJL39" s="248"/>
      <c r="BJM39" s="248"/>
      <c r="BJN39" s="248"/>
    </row>
    <row r="40" spans="1:1661" ht="20.100000000000001" customHeight="1" x14ac:dyDescent="0.25">
      <c r="A40" s="78" t="s">
        <v>28</v>
      </c>
      <c r="B40" s="51" t="str">
        <f>IF(LEN(C65)=0,"",C65)</f>
        <v/>
      </c>
      <c r="C40" s="210"/>
      <c r="D40" s="120" t="str">
        <f t="shared" si="0"/>
        <v/>
      </c>
      <c r="E40" s="22">
        <v>0</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73"/>
      <c r="AYA40" s="248"/>
      <c r="AYB40" s="248"/>
      <c r="AYC40" s="248"/>
      <c r="AYD40" s="248"/>
      <c r="AYE40" s="248"/>
      <c r="AYF40" s="248"/>
      <c r="AYG40" s="248"/>
      <c r="AYH40" s="248"/>
      <c r="AYI40" s="248"/>
      <c r="AYJ40" s="248"/>
      <c r="AYK40" s="248"/>
      <c r="AYL40" s="248"/>
      <c r="AYM40" s="248"/>
      <c r="AYN40" s="248"/>
      <c r="AYO40" s="248"/>
      <c r="AYP40" s="248"/>
      <c r="AYQ40" s="248"/>
      <c r="AYR40" s="248"/>
      <c r="AYS40" s="248"/>
      <c r="AYT40" s="248"/>
      <c r="AYU40" s="248"/>
      <c r="AYV40" s="248"/>
      <c r="AYW40" s="248"/>
      <c r="AYX40" s="248"/>
      <c r="AYY40" s="248"/>
      <c r="AYZ40" s="248"/>
      <c r="AZA40" s="248"/>
      <c r="AZB40" s="248"/>
      <c r="AZC40" s="248"/>
      <c r="AZD40" s="248"/>
      <c r="AZE40" s="248"/>
      <c r="AZF40" s="248"/>
      <c r="AZG40" s="248"/>
      <c r="AZH40" s="248"/>
      <c r="AZI40" s="248"/>
      <c r="AZJ40" s="248"/>
      <c r="AZK40" s="248"/>
      <c r="AZL40" s="248"/>
      <c r="AZM40" s="248"/>
      <c r="AZN40" s="248"/>
      <c r="AZO40" s="248"/>
      <c r="AZP40" s="248"/>
      <c r="AZQ40" s="248"/>
      <c r="AZR40" s="248"/>
      <c r="AZS40" s="248"/>
      <c r="AZT40" s="248"/>
      <c r="AZU40" s="248"/>
      <c r="AZV40" s="248"/>
      <c r="AZW40" s="248"/>
      <c r="AZX40" s="248"/>
      <c r="AZY40" s="248"/>
      <c r="AZZ40" s="248"/>
      <c r="BAA40" s="248"/>
      <c r="BAB40" s="248"/>
      <c r="BAC40" s="248"/>
      <c r="BAD40" s="248"/>
      <c r="BAE40" s="248"/>
      <c r="BAF40" s="248"/>
      <c r="BAG40" s="248"/>
      <c r="BAH40" s="248"/>
      <c r="BAI40" s="248"/>
      <c r="BAJ40" s="248"/>
      <c r="BAK40" s="248"/>
      <c r="BAL40" s="248"/>
      <c r="BAM40" s="248"/>
      <c r="BAN40" s="248"/>
      <c r="BAO40" s="248"/>
      <c r="BAP40" s="248"/>
      <c r="BAQ40" s="248"/>
      <c r="BAR40" s="248"/>
      <c r="BAS40" s="248"/>
      <c r="BAT40" s="248"/>
      <c r="BAU40" s="248"/>
      <c r="BAV40" s="248"/>
      <c r="BAW40" s="248"/>
      <c r="BAX40" s="248"/>
      <c r="BAY40" s="248"/>
      <c r="BAZ40" s="248"/>
      <c r="BBA40" s="248"/>
      <c r="BBB40" s="248"/>
      <c r="BBC40" s="248"/>
      <c r="BBD40" s="248"/>
      <c r="BBE40" s="248"/>
      <c r="BBF40" s="248"/>
      <c r="BBG40" s="248"/>
      <c r="BBH40" s="248"/>
      <c r="BBI40" s="248"/>
      <c r="BBJ40" s="248"/>
      <c r="BBK40" s="248"/>
      <c r="BBL40" s="248"/>
      <c r="BBM40" s="248"/>
      <c r="BBN40" s="248"/>
      <c r="BBO40" s="248"/>
      <c r="BBP40" s="248"/>
      <c r="BBQ40" s="248"/>
      <c r="BBR40" s="248"/>
      <c r="BBS40" s="248"/>
      <c r="BBT40" s="248"/>
      <c r="BBU40" s="248"/>
      <c r="BBV40" s="248"/>
      <c r="BBW40" s="248"/>
      <c r="BBX40" s="248"/>
      <c r="BBY40" s="248"/>
      <c r="BBZ40" s="248"/>
      <c r="BCA40" s="248"/>
      <c r="BCB40" s="248"/>
      <c r="BCC40" s="248"/>
      <c r="BCD40" s="248"/>
      <c r="BCE40" s="248"/>
      <c r="BCF40" s="248"/>
      <c r="BCG40" s="248"/>
      <c r="BCH40" s="248"/>
      <c r="BCI40" s="248"/>
      <c r="BCJ40" s="248"/>
      <c r="BCK40" s="248"/>
      <c r="BCL40" s="248"/>
      <c r="BCM40" s="248"/>
      <c r="BCN40" s="248"/>
      <c r="BCO40" s="248"/>
      <c r="BCP40" s="248"/>
      <c r="BCQ40" s="248"/>
      <c r="BCR40" s="248"/>
      <c r="BCS40" s="248"/>
      <c r="BCT40" s="248"/>
      <c r="BCU40" s="248"/>
      <c r="BCV40" s="248"/>
      <c r="BCW40" s="248"/>
      <c r="BCX40" s="248"/>
      <c r="BCY40" s="248"/>
      <c r="BCZ40" s="248"/>
      <c r="BDA40" s="248"/>
      <c r="BDB40" s="248"/>
      <c r="BDC40" s="248"/>
      <c r="BDD40" s="248"/>
      <c r="BDE40" s="248"/>
      <c r="BDF40" s="248"/>
      <c r="BDG40" s="248"/>
      <c r="BDH40" s="248"/>
      <c r="BDI40" s="248"/>
      <c r="BDJ40" s="248"/>
      <c r="BDK40" s="248"/>
      <c r="BDL40" s="248"/>
      <c r="BDM40" s="248"/>
      <c r="BDN40" s="248"/>
      <c r="BDO40" s="248"/>
      <c r="BDP40" s="248"/>
      <c r="BDQ40" s="248"/>
      <c r="BDR40" s="248"/>
      <c r="BDS40" s="248"/>
      <c r="BDT40" s="248"/>
      <c r="BDU40" s="248"/>
      <c r="BDV40" s="248"/>
      <c r="BDW40" s="248"/>
      <c r="BDX40" s="248"/>
      <c r="BDY40" s="248"/>
      <c r="BDZ40" s="248"/>
      <c r="BEA40" s="248"/>
      <c r="BEB40" s="248"/>
      <c r="BEC40" s="248"/>
      <c r="BED40" s="248"/>
      <c r="BEE40" s="248"/>
      <c r="BEF40" s="248"/>
      <c r="BEG40" s="248"/>
      <c r="BEH40" s="248"/>
      <c r="BEI40" s="248"/>
      <c r="BEJ40" s="248"/>
      <c r="BEK40" s="248"/>
      <c r="BEL40" s="248"/>
      <c r="BEM40" s="248"/>
      <c r="BEN40" s="248"/>
      <c r="BEO40" s="248"/>
      <c r="BEP40" s="248"/>
      <c r="BEQ40" s="248"/>
      <c r="BER40" s="248"/>
      <c r="BES40" s="248"/>
      <c r="BET40" s="248"/>
      <c r="BEU40" s="248"/>
      <c r="BEV40" s="248"/>
      <c r="BEW40" s="248"/>
      <c r="BEX40" s="248"/>
      <c r="BEY40" s="248"/>
      <c r="BEZ40" s="248"/>
      <c r="BFA40" s="248"/>
      <c r="BFB40" s="248"/>
      <c r="BFC40" s="248"/>
      <c r="BFD40" s="248"/>
      <c r="BFE40" s="248"/>
      <c r="BFF40" s="248"/>
      <c r="BFG40" s="248"/>
      <c r="BFH40" s="248"/>
      <c r="BFI40" s="248"/>
      <c r="BFJ40" s="248"/>
      <c r="BFK40" s="248"/>
      <c r="BFL40" s="248"/>
      <c r="BFM40" s="248"/>
      <c r="BFN40" s="248"/>
      <c r="BFO40" s="248"/>
      <c r="BFP40" s="248"/>
      <c r="BFQ40" s="248"/>
      <c r="BFR40" s="248"/>
      <c r="BFS40" s="248"/>
      <c r="BFT40" s="248"/>
      <c r="BFU40" s="248"/>
      <c r="BFV40" s="248"/>
      <c r="BFW40" s="248"/>
      <c r="BFX40" s="248"/>
      <c r="BFY40" s="248"/>
      <c r="BFZ40" s="248"/>
      <c r="BGA40" s="248"/>
      <c r="BGB40" s="248"/>
      <c r="BGC40" s="248"/>
      <c r="BGD40" s="248"/>
      <c r="BGE40" s="248"/>
      <c r="BGF40" s="248"/>
      <c r="BGG40" s="248"/>
      <c r="BGH40" s="248"/>
      <c r="BGI40" s="248"/>
      <c r="BGJ40" s="248"/>
      <c r="BGK40" s="248"/>
      <c r="BGL40" s="248"/>
      <c r="BGM40" s="248"/>
      <c r="BGN40" s="248"/>
      <c r="BGO40" s="248"/>
      <c r="BGP40" s="248"/>
      <c r="BGQ40" s="248"/>
      <c r="BGR40" s="248"/>
      <c r="BGS40" s="248"/>
      <c r="BGT40" s="248"/>
      <c r="BGU40" s="248"/>
      <c r="BGV40" s="248"/>
      <c r="BGW40" s="248"/>
      <c r="BGX40" s="248"/>
      <c r="BGY40" s="248"/>
      <c r="BGZ40" s="248"/>
      <c r="BHA40" s="248"/>
      <c r="BHB40" s="248"/>
      <c r="BHC40" s="248"/>
      <c r="BHD40" s="248"/>
      <c r="BHE40" s="248"/>
      <c r="BHF40" s="248"/>
      <c r="BHG40" s="248"/>
      <c r="BHH40" s="248"/>
      <c r="BHI40" s="248"/>
      <c r="BHJ40" s="248"/>
      <c r="BHK40" s="248"/>
      <c r="BHL40" s="248"/>
      <c r="BHM40" s="248"/>
      <c r="BHN40" s="248"/>
      <c r="BHO40" s="248"/>
      <c r="BHP40" s="248"/>
      <c r="BHQ40" s="248"/>
      <c r="BHR40" s="248"/>
      <c r="BHS40" s="248"/>
      <c r="BHT40" s="248"/>
      <c r="BHU40" s="248"/>
      <c r="BHV40" s="248"/>
      <c r="BHW40" s="248"/>
      <c r="BHX40" s="248"/>
      <c r="BHY40" s="248"/>
      <c r="BHZ40" s="248"/>
      <c r="BIA40" s="248"/>
      <c r="BIB40" s="248"/>
      <c r="BIC40" s="248"/>
      <c r="BID40" s="248"/>
      <c r="BIE40" s="248"/>
      <c r="BIF40" s="248"/>
      <c r="BIG40" s="248"/>
      <c r="BIH40" s="248"/>
      <c r="BII40" s="248"/>
      <c r="BIJ40" s="248"/>
      <c r="BIK40" s="248"/>
      <c r="BIL40" s="248"/>
      <c r="BIM40" s="248"/>
      <c r="BIN40" s="248"/>
      <c r="BIO40" s="248"/>
      <c r="BIP40" s="248"/>
      <c r="BIQ40" s="248"/>
      <c r="BIR40" s="248"/>
      <c r="BIS40" s="248"/>
      <c r="BIT40" s="248"/>
      <c r="BIU40" s="248"/>
      <c r="BIV40" s="248"/>
      <c r="BIW40" s="248"/>
      <c r="BIX40" s="248"/>
      <c r="BIY40" s="248"/>
      <c r="BIZ40" s="248"/>
      <c r="BJA40" s="248"/>
      <c r="BJB40" s="248"/>
      <c r="BJC40" s="248"/>
      <c r="BJD40" s="248"/>
      <c r="BJE40" s="248"/>
      <c r="BJF40" s="248"/>
      <c r="BJG40" s="248"/>
      <c r="BJH40" s="248"/>
      <c r="BJI40" s="248"/>
      <c r="BJJ40" s="248"/>
      <c r="BJK40" s="248"/>
      <c r="BJL40" s="248"/>
      <c r="BJM40" s="248"/>
      <c r="BJN40" s="248"/>
      <c r="BJO40" s="248"/>
      <c r="BJP40" s="248"/>
      <c r="BJQ40" s="248"/>
      <c r="BJR40" s="248"/>
      <c r="BJS40" s="248"/>
      <c r="BJT40" s="248"/>
      <c r="BJU40" s="248"/>
      <c r="BJV40" s="248"/>
      <c r="BJW40" s="248"/>
      <c r="BJX40" s="248"/>
      <c r="BJY40" s="248"/>
      <c r="BJZ40" s="248"/>
      <c r="BKA40" s="248"/>
      <c r="BKB40" s="248"/>
      <c r="BKC40" s="248"/>
      <c r="BKD40" s="248"/>
      <c r="BKE40" s="248"/>
      <c r="BKF40" s="248"/>
      <c r="BKG40" s="248"/>
      <c r="BKH40" s="248"/>
      <c r="BKI40" s="248"/>
      <c r="BKJ40" s="248"/>
      <c r="BKK40" s="248"/>
      <c r="BKL40" s="248"/>
      <c r="BKM40" s="248"/>
      <c r="BKN40" s="248"/>
      <c r="BKO40" s="248"/>
      <c r="BKP40" s="248"/>
      <c r="BKQ40" s="248"/>
      <c r="BKR40" s="248"/>
      <c r="BKS40" s="248"/>
      <c r="BKT40" s="248"/>
      <c r="BKU40" s="248"/>
      <c r="BKV40" s="248"/>
    </row>
    <row r="41" spans="1:1661" ht="20.100000000000001" customHeight="1" x14ac:dyDescent="0.25">
      <c r="A41" s="78" t="s">
        <v>26</v>
      </c>
      <c r="B41" s="51" t="str">
        <f>IF(LEN(C67)=0,"",C67)</f>
        <v/>
      </c>
      <c r="C41" s="209" t="s">
        <v>53</v>
      </c>
      <c r="D41" s="119" t="str">
        <f t="shared" si="0"/>
        <v>5h 40 min</v>
      </c>
      <c r="E41" s="26">
        <v>68</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73"/>
      <c r="AYA41" s="248"/>
      <c r="AYB41" s="248"/>
      <c r="AYC41" s="248"/>
      <c r="AYD41" s="248"/>
      <c r="AYE41" s="248"/>
      <c r="AYF41" s="248"/>
      <c r="AYG41" s="248"/>
      <c r="AYH41" s="248"/>
      <c r="AYI41" s="248"/>
      <c r="AYJ41" s="248"/>
      <c r="AYK41" s="248"/>
      <c r="AYL41" s="248"/>
      <c r="AYM41" s="248"/>
      <c r="AYN41" s="248"/>
      <c r="AYO41" s="248"/>
      <c r="AYP41" s="248"/>
      <c r="AYQ41" s="248"/>
      <c r="AYR41" s="248"/>
      <c r="AYS41" s="248"/>
      <c r="AYT41" s="248"/>
      <c r="AYU41" s="248"/>
      <c r="AYV41" s="248"/>
      <c r="AYW41" s="248"/>
      <c r="AYX41" s="248"/>
      <c r="AYY41" s="248"/>
      <c r="AYZ41" s="248"/>
      <c r="AZA41" s="248"/>
      <c r="AZB41" s="248"/>
      <c r="AZC41" s="248"/>
      <c r="AZD41" s="248"/>
      <c r="AZE41" s="248"/>
      <c r="AZF41" s="248"/>
      <c r="AZG41" s="248"/>
      <c r="AZH41" s="248"/>
      <c r="AZI41" s="248"/>
      <c r="AZJ41" s="248"/>
      <c r="AZK41" s="248"/>
      <c r="AZL41" s="248"/>
      <c r="AZM41" s="248"/>
      <c r="AZN41" s="248"/>
      <c r="AZO41" s="248"/>
      <c r="AZP41" s="248"/>
      <c r="AZQ41" s="248"/>
      <c r="AZR41" s="248"/>
      <c r="AZS41" s="248"/>
      <c r="AZT41" s="248"/>
      <c r="AZU41" s="248"/>
      <c r="AZV41" s="248"/>
      <c r="AZW41" s="248"/>
      <c r="AZX41" s="248"/>
      <c r="AZY41" s="248"/>
      <c r="AZZ41" s="248"/>
      <c r="BAA41" s="248"/>
      <c r="BAB41" s="248"/>
      <c r="BAC41" s="248"/>
      <c r="BAD41" s="248"/>
      <c r="BAE41" s="248"/>
      <c r="BAF41" s="248"/>
      <c r="BAG41" s="248"/>
      <c r="BAH41" s="248"/>
      <c r="BAI41" s="248"/>
      <c r="BAJ41" s="248"/>
      <c r="BAK41" s="248"/>
      <c r="BAL41" s="248"/>
      <c r="BAM41" s="248"/>
      <c r="BAN41" s="248"/>
      <c r="BAO41" s="248"/>
      <c r="BAP41" s="248"/>
      <c r="BAQ41" s="248"/>
      <c r="BAR41" s="248"/>
      <c r="BAS41" s="248"/>
      <c r="BAT41" s="248"/>
      <c r="BAU41" s="248"/>
      <c r="BAV41" s="248"/>
      <c r="BAW41" s="248"/>
      <c r="BAX41" s="248"/>
      <c r="BAY41" s="248"/>
      <c r="BAZ41" s="248"/>
      <c r="BBA41" s="248"/>
      <c r="BBB41" s="248"/>
      <c r="BBC41" s="248"/>
      <c r="BBD41" s="248"/>
      <c r="BBE41" s="248"/>
      <c r="BBF41" s="248"/>
      <c r="BBG41" s="248"/>
      <c r="BBH41" s="248"/>
      <c r="BBI41" s="248"/>
      <c r="BBJ41" s="248"/>
      <c r="BBK41" s="248"/>
      <c r="BBL41" s="248"/>
      <c r="BBM41" s="248"/>
      <c r="BBN41" s="248"/>
      <c r="BBO41" s="248"/>
      <c r="BBP41" s="248"/>
      <c r="BBQ41" s="248"/>
      <c r="BBR41" s="248"/>
      <c r="BBS41" s="248"/>
      <c r="BBT41" s="248"/>
      <c r="BBU41" s="248"/>
      <c r="BBV41" s="248"/>
      <c r="BBW41" s="248"/>
      <c r="BBX41" s="248"/>
      <c r="BBY41" s="248"/>
      <c r="BBZ41" s="248"/>
      <c r="BCA41" s="248"/>
      <c r="BCB41" s="248"/>
      <c r="BCC41" s="248"/>
      <c r="BCD41" s="248"/>
      <c r="BCE41" s="248"/>
      <c r="BCF41" s="248"/>
      <c r="BCG41" s="248"/>
      <c r="BCH41" s="248"/>
      <c r="BCI41" s="248"/>
      <c r="BCJ41" s="248"/>
      <c r="BCK41" s="248"/>
      <c r="BCL41" s="248"/>
      <c r="BCM41" s="248"/>
      <c r="BCN41" s="248"/>
      <c r="BCO41" s="248"/>
      <c r="BCP41" s="248"/>
      <c r="BCQ41" s="248"/>
      <c r="BCR41" s="248"/>
      <c r="BCS41" s="248"/>
      <c r="BCT41" s="248"/>
      <c r="BCU41" s="248"/>
      <c r="BCV41" s="248"/>
      <c r="BCW41" s="248"/>
      <c r="BCX41" s="248"/>
      <c r="BCY41" s="248"/>
      <c r="BCZ41" s="248"/>
      <c r="BDA41" s="248"/>
      <c r="BDB41" s="248"/>
      <c r="BDC41" s="248"/>
      <c r="BDD41" s="248"/>
      <c r="BDE41" s="248"/>
      <c r="BDF41" s="248"/>
      <c r="BDG41" s="248"/>
      <c r="BDH41" s="248"/>
      <c r="BDI41" s="248"/>
      <c r="BDJ41" s="248"/>
      <c r="BDK41" s="248"/>
      <c r="BDL41" s="248"/>
      <c r="BDM41" s="248"/>
      <c r="BDN41" s="248"/>
      <c r="BDO41" s="248"/>
      <c r="BDP41" s="248"/>
      <c r="BDQ41" s="248"/>
      <c r="BDR41" s="248"/>
      <c r="BDS41" s="248"/>
      <c r="BDT41" s="248"/>
      <c r="BDU41" s="248"/>
      <c r="BDV41" s="248"/>
      <c r="BDW41" s="248"/>
      <c r="BDX41" s="248"/>
      <c r="BDY41" s="248"/>
      <c r="BDZ41" s="248"/>
      <c r="BEA41" s="248"/>
      <c r="BEB41" s="248"/>
      <c r="BEC41" s="248"/>
      <c r="BED41" s="248"/>
      <c r="BEE41" s="248"/>
      <c r="BEF41" s="248"/>
      <c r="BEG41" s="248"/>
      <c r="BEH41" s="248"/>
      <c r="BEI41" s="248"/>
      <c r="BEJ41" s="248"/>
      <c r="BEK41" s="248"/>
      <c r="BEL41" s="248"/>
      <c r="BEM41" s="248"/>
      <c r="BEN41" s="248"/>
      <c r="BEO41" s="248"/>
      <c r="BEP41" s="248"/>
      <c r="BEQ41" s="248"/>
      <c r="BER41" s="248"/>
      <c r="BES41" s="248"/>
      <c r="BET41" s="248"/>
      <c r="BEU41" s="248"/>
      <c r="BEV41" s="248"/>
      <c r="BEW41" s="248"/>
      <c r="BEX41" s="248"/>
      <c r="BEY41" s="248"/>
      <c r="BEZ41" s="248"/>
      <c r="BFA41" s="248"/>
      <c r="BFB41" s="248"/>
      <c r="BFC41" s="248"/>
      <c r="BFD41" s="248"/>
      <c r="BFE41" s="248"/>
      <c r="BFF41" s="248"/>
      <c r="BFG41" s="248"/>
      <c r="BFH41" s="248"/>
      <c r="BFI41" s="248"/>
      <c r="BFJ41" s="248"/>
      <c r="BFK41" s="248"/>
      <c r="BFL41" s="248"/>
      <c r="BFM41" s="248"/>
      <c r="BFN41" s="248"/>
      <c r="BFO41" s="248"/>
      <c r="BFP41" s="248"/>
      <c r="BFQ41" s="248"/>
      <c r="BFR41" s="248"/>
      <c r="BFS41" s="248"/>
      <c r="BFT41" s="248"/>
      <c r="BFU41" s="248"/>
      <c r="BFV41" s="248"/>
      <c r="BFW41" s="248"/>
      <c r="BFX41" s="248"/>
      <c r="BFY41" s="248"/>
      <c r="BFZ41" s="248"/>
      <c r="BGA41" s="248"/>
      <c r="BGB41" s="248"/>
      <c r="BGC41" s="248"/>
      <c r="BGD41" s="248"/>
      <c r="BGE41" s="248"/>
      <c r="BGF41" s="248"/>
      <c r="BGG41" s="248"/>
      <c r="BGH41" s="248"/>
      <c r="BGI41" s="248"/>
      <c r="BGJ41" s="248"/>
      <c r="BGK41" s="248"/>
      <c r="BGL41" s="248"/>
      <c r="BGM41" s="248"/>
      <c r="BGN41" s="248"/>
      <c r="BGO41" s="248"/>
      <c r="BGP41" s="248"/>
      <c r="BGQ41" s="248"/>
      <c r="BGR41" s="248"/>
      <c r="BGS41" s="248"/>
      <c r="BGT41" s="248"/>
      <c r="BGU41" s="248"/>
      <c r="BGV41" s="248"/>
      <c r="BGW41" s="248"/>
      <c r="BGX41" s="248"/>
      <c r="BGY41" s="248"/>
      <c r="BGZ41" s="248"/>
      <c r="BHA41" s="248"/>
      <c r="BHB41" s="248"/>
      <c r="BHC41" s="248"/>
      <c r="BHD41" s="248"/>
      <c r="BHE41" s="248"/>
      <c r="BHF41" s="248"/>
      <c r="BHG41" s="248"/>
      <c r="BHH41" s="248"/>
      <c r="BHI41" s="248"/>
      <c r="BHJ41" s="248"/>
      <c r="BHK41" s="248"/>
      <c r="BHL41" s="248"/>
      <c r="BHM41" s="248"/>
      <c r="BHN41" s="248"/>
      <c r="BHO41" s="248"/>
      <c r="BHP41" s="248"/>
      <c r="BHQ41" s="248"/>
      <c r="BHR41" s="248"/>
      <c r="BHS41" s="248"/>
      <c r="BHT41" s="248"/>
      <c r="BHU41" s="248"/>
      <c r="BHV41" s="248"/>
      <c r="BHW41" s="248"/>
      <c r="BHX41" s="248"/>
      <c r="BHY41" s="248"/>
      <c r="BHZ41" s="248"/>
      <c r="BIA41" s="248"/>
      <c r="BIB41" s="248"/>
      <c r="BIC41" s="248"/>
      <c r="BID41" s="248"/>
      <c r="BIE41" s="248"/>
      <c r="BIF41" s="248"/>
      <c r="BIG41" s="248"/>
      <c r="BIH41" s="248"/>
      <c r="BII41" s="248"/>
      <c r="BIJ41" s="248"/>
      <c r="BIK41" s="248"/>
      <c r="BIL41" s="248"/>
      <c r="BIM41" s="248"/>
      <c r="BIN41" s="248"/>
      <c r="BIO41" s="248"/>
      <c r="BIP41" s="248"/>
      <c r="BIQ41" s="248"/>
      <c r="BIR41" s="248"/>
      <c r="BIS41" s="248"/>
      <c r="BIT41" s="248"/>
      <c r="BIU41" s="248"/>
      <c r="BIV41" s="248"/>
      <c r="BIW41" s="248"/>
      <c r="BIX41" s="248"/>
      <c r="BIY41" s="248"/>
      <c r="BIZ41" s="248"/>
      <c r="BJA41" s="248"/>
      <c r="BJB41" s="248"/>
      <c r="BJC41" s="248"/>
      <c r="BJD41" s="248"/>
      <c r="BJE41" s="248"/>
      <c r="BJF41" s="248"/>
      <c r="BJG41" s="248"/>
      <c r="BJH41" s="248"/>
      <c r="BJI41" s="248"/>
      <c r="BJJ41" s="248"/>
      <c r="BJK41" s="248"/>
      <c r="BJL41" s="248"/>
      <c r="BJM41" s="248"/>
      <c r="BJN41" s="248"/>
    </row>
    <row r="42" spans="1:1661" ht="20.100000000000001" customHeight="1" x14ac:dyDescent="0.3">
      <c r="A42" s="78" t="s">
        <v>28</v>
      </c>
      <c r="B42" s="51" t="str">
        <f>IF(LEN(C69)=0,"",C69)</f>
        <v/>
      </c>
      <c r="C42" s="210"/>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73"/>
      <c r="AYA42" s="248"/>
      <c r="AYB42" s="248"/>
      <c r="AYC42" s="248"/>
      <c r="AYD42" s="248"/>
      <c r="AYE42" s="248"/>
      <c r="AYF42" s="248"/>
      <c r="AYG42" s="248"/>
      <c r="AYH42" s="248"/>
      <c r="AYI42" s="248"/>
      <c r="AYJ42" s="248"/>
      <c r="AYK42" s="248"/>
      <c r="AYL42" s="248"/>
      <c r="AYM42" s="248"/>
      <c r="AYN42" s="248"/>
      <c r="AYO42" s="248"/>
      <c r="AYP42" s="248"/>
      <c r="AYQ42" s="248"/>
      <c r="AYR42" s="248"/>
      <c r="AYS42" s="248"/>
      <c r="AYT42" s="248"/>
      <c r="AYU42" s="248"/>
      <c r="AYV42" s="248"/>
      <c r="AYW42" s="248"/>
      <c r="AYX42" s="248"/>
      <c r="AYY42" s="248"/>
      <c r="AYZ42" s="248"/>
      <c r="AZA42" s="248"/>
      <c r="AZB42" s="248"/>
      <c r="AZC42" s="248"/>
      <c r="AZD42" s="248"/>
      <c r="AZE42" s="248"/>
      <c r="AZF42" s="248"/>
      <c r="AZG42" s="248"/>
      <c r="AZH42" s="248"/>
      <c r="AZI42" s="248"/>
      <c r="AZJ42" s="248"/>
      <c r="AZK42" s="248"/>
      <c r="AZL42" s="248"/>
      <c r="AZM42" s="248"/>
      <c r="AZN42" s="248"/>
      <c r="AZO42" s="248"/>
      <c r="AZP42" s="248"/>
      <c r="AZQ42" s="248"/>
      <c r="AZR42" s="248"/>
      <c r="AZS42" s="248"/>
      <c r="AZT42" s="248"/>
      <c r="AZU42" s="248"/>
      <c r="AZV42" s="248"/>
      <c r="AZW42" s="248"/>
      <c r="AZX42" s="248"/>
      <c r="AZY42" s="248"/>
      <c r="AZZ42" s="248"/>
      <c r="BAA42" s="248"/>
      <c r="BAB42" s="248"/>
      <c r="BAC42" s="248"/>
      <c r="BAD42" s="248"/>
      <c r="BAE42" s="248"/>
      <c r="BAF42" s="248"/>
      <c r="BAG42" s="248"/>
      <c r="BAH42" s="248"/>
      <c r="BAI42" s="248"/>
      <c r="BAJ42" s="248"/>
      <c r="BAK42" s="248"/>
      <c r="BAL42" s="248"/>
      <c r="BAM42" s="248"/>
      <c r="BAN42" s="248"/>
      <c r="BAO42" s="248"/>
      <c r="BAP42" s="248"/>
      <c r="BAQ42" s="248"/>
      <c r="BAR42" s="248"/>
      <c r="BAS42" s="248"/>
      <c r="BAT42" s="248"/>
      <c r="BAU42" s="248"/>
      <c r="BAV42" s="248"/>
      <c r="BAW42" s="248"/>
      <c r="BAX42" s="248"/>
      <c r="BAY42" s="248"/>
      <c r="BAZ42" s="248"/>
      <c r="BBA42" s="248"/>
      <c r="BBB42" s="248"/>
      <c r="BBC42" s="248"/>
      <c r="BBD42" s="248"/>
      <c r="BBE42" s="248"/>
      <c r="BBF42" s="248"/>
      <c r="BBG42" s="248"/>
      <c r="BBH42" s="248"/>
      <c r="BBI42" s="248"/>
      <c r="BBJ42" s="248"/>
      <c r="BBK42" s="248"/>
      <c r="BBL42" s="248"/>
      <c r="BBM42" s="248"/>
      <c r="BBN42" s="248"/>
      <c r="BBO42" s="248"/>
      <c r="BBP42" s="248"/>
      <c r="BBQ42" s="248"/>
      <c r="BBR42" s="248"/>
      <c r="BBS42" s="248"/>
      <c r="BBT42" s="248"/>
      <c r="BBU42" s="248"/>
      <c r="BBV42" s="248"/>
      <c r="BBW42" s="248"/>
      <c r="BBX42" s="248"/>
      <c r="BBY42" s="248"/>
      <c r="BBZ42" s="248"/>
      <c r="BCA42" s="248"/>
      <c r="BCB42" s="248"/>
      <c r="BCC42" s="248"/>
      <c r="BCD42" s="248"/>
      <c r="BCE42" s="248"/>
      <c r="BCF42" s="248"/>
      <c r="BCG42" s="248"/>
      <c r="BCH42" s="248"/>
      <c r="BCI42" s="248"/>
      <c r="BCJ42" s="248"/>
      <c r="BCK42" s="248"/>
      <c r="BCL42" s="248"/>
      <c r="BCM42" s="248"/>
      <c r="BCN42" s="248"/>
      <c r="BCO42" s="248"/>
      <c r="BCP42" s="248"/>
      <c r="BCQ42" s="248"/>
      <c r="BCR42" s="248"/>
      <c r="BCS42" s="248"/>
      <c r="BCT42" s="248"/>
      <c r="BCU42" s="248"/>
      <c r="BCV42" s="248"/>
      <c r="BCW42" s="248"/>
      <c r="BCX42" s="248"/>
      <c r="BCY42" s="248"/>
      <c r="BCZ42" s="248"/>
      <c r="BDA42" s="248"/>
      <c r="BDB42" s="248"/>
      <c r="BDC42" s="248"/>
      <c r="BDD42" s="248"/>
      <c r="BDE42" s="248"/>
      <c r="BDF42" s="248"/>
      <c r="BDG42" s="248"/>
      <c r="BDH42" s="248"/>
      <c r="BDI42" s="248"/>
      <c r="BDJ42" s="248"/>
      <c r="BDK42" s="248"/>
      <c r="BDL42" s="248"/>
      <c r="BDM42" s="248"/>
      <c r="BDN42" s="248"/>
      <c r="BDO42" s="248"/>
      <c r="BDP42" s="248"/>
      <c r="BDQ42" s="248"/>
      <c r="BDR42" s="248"/>
      <c r="BDS42" s="248"/>
      <c r="BDT42" s="248"/>
      <c r="BDU42" s="248"/>
      <c r="BDV42" s="248"/>
      <c r="BDW42" s="248"/>
      <c r="BDX42" s="248"/>
      <c r="BDY42" s="248"/>
      <c r="BDZ42" s="248"/>
      <c r="BEA42" s="248"/>
      <c r="BEB42" s="248"/>
      <c r="BEC42" s="248"/>
      <c r="BED42" s="248"/>
      <c r="BEE42" s="248"/>
      <c r="BEF42" s="248"/>
      <c r="BEG42" s="248"/>
      <c r="BEH42" s="248"/>
      <c r="BEI42" s="248"/>
      <c r="BEJ42" s="248"/>
      <c r="BEK42" s="248"/>
      <c r="BEL42" s="248"/>
      <c r="BEM42" s="248"/>
      <c r="BEN42" s="248"/>
      <c r="BEO42" s="248"/>
      <c r="BEP42" s="248"/>
      <c r="BEQ42" s="248"/>
      <c r="BER42" s="248"/>
      <c r="BES42" s="248"/>
      <c r="BET42" s="248"/>
      <c r="BEU42" s="248"/>
      <c r="BEV42" s="248"/>
      <c r="BEW42" s="248"/>
      <c r="BEX42" s="248"/>
      <c r="BEY42" s="248"/>
      <c r="BEZ42" s="248"/>
      <c r="BFA42" s="248"/>
      <c r="BFB42" s="248"/>
      <c r="BFC42" s="248"/>
      <c r="BFD42" s="248"/>
      <c r="BFE42" s="248"/>
      <c r="BFF42" s="248"/>
      <c r="BFG42" s="248"/>
      <c r="BFH42" s="248"/>
      <c r="BFI42" s="248"/>
      <c r="BFJ42" s="248"/>
      <c r="BFK42" s="248"/>
      <c r="BFL42" s="248"/>
      <c r="BFM42" s="248"/>
      <c r="BFN42" s="248"/>
      <c r="BFO42" s="248"/>
      <c r="BFP42" s="248"/>
      <c r="BFQ42" s="248"/>
      <c r="BFR42" s="248"/>
      <c r="BFS42" s="248"/>
      <c r="BFT42" s="248"/>
      <c r="BFU42" s="248"/>
      <c r="BFV42" s="248"/>
      <c r="BFW42" s="248"/>
      <c r="BFX42" s="248"/>
      <c r="BFY42" s="248"/>
      <c r="BFZ42" s="248"/>
      <c r="BGA42" s="248"/>
      <c r="BGB42" s="248"/>
      <c r="BGC42" s="248"/>
      <c r="BGD42" s="248"/>
      <c r="BGE42" s="248"/>
      <c r="BGF42" s="248"/>
      <c r="BGG42" s="248"/>
      <c r="BGH42" s="248"/>
      <c r="BGI42" s="248"/>
      <c r="BGJ42" s="248"/>
      <c r="BGK42" s="248"/>
      <c r="BGL42" s="248"/>
      <c r="BGM42" s="248"/>
      <c r="BGN42" s="248"/>
      <c r="BGO42" s="248"/>
      <c r="BGP42" s="248"/>
      <c r="BGQ42" s="248"/>
      <c r="BGR42" s="248"/>
      <c r="BGS42" s="248"/>
      <c r="BGT42" s="248"/>
      <c r="BGU42" s="248"/>
      <c r="BGV42" s="248"/>
      <c r="BGW42" s="248"/>
      <c r="BGX42" s="248"/>
      <c r="BGY42" s="248"/>
      <c r="BGZ42" s="248"/>
      <c r="BHA42" s="248"/>
      <c r="BHB42" s="248"/>
      <c r="BHC42" s="248"/>
      <c r="BHD42" s="248"/>
      <c r="BHE42" s="248"/>
      <c r="BHF42" s="248"/>
      <c r="BHG42" s="248"/>
      <c r="BHH42" s="248"/>
      <c r="BHI42" s="248"/>
      <c r="BHJ42" s="248"/>
      <c r="BHK42" s="248"/>
      <c r="BHL42" s="248"/>
      <c r="BHM42" s="248"/>
      <c r="BHN42" s="248"/>
      <c r="BHO42" s="248"/>
      <c r="BHP42" s="248"/>
      <c r="BHQ42" s="248"/>
      <c r="BHR42" s="248"/>
      <c r="BHS42" s="248"/>
      <c r="BHT42" s="248"/>
      <c r="BHU42" s="248"/>
      <c r="BHV42" s="248"/>
      <c r="BHW42" s="248"/>
      <c r="BHX42" s="248"/>
      <c r="BHY42" s="248"/>
      <c r="BHZ42" s="248"/>
      <c r="BIA42" s="248"/>
      <c r="BIB42" s="248"/>
      <c r="BIC42" s="248"/>
      <c r="BID42" s="248"/>
      <c r="BIE42" s="248"/>
      <c r="BIF42" s="248"/>
      <c r="BIG42" s="248"/>
      <c r="BIH42" s="248"/>
      <c r="BII42" s="248"/>
      <c r="BIJ42" s="248"/>
      <c r="BIK42" s="248"/>
      <c r="BIL42" s="248"/>
      <c r="BIM42" s="248"/>
      <c r="BIN42" s="248"/>
      <c r="BIO42" s="248"/>
      <c r="BIP42" s="248"/>
      <c r="BIQ42" s="248"/>
      <c r="BIR42" s="248"/>
      <c r="BIS42" s="248"/>
      <c r="BIT42" s="248"/>
      <c r="BIU42" s="248"/>
      <c r="BIV42" s="248"/>
      <c r="BIW42" s="248"/>
      <c r="BIX42" s="248"/>
      <c r="BIY42" s="248"/>
      <c r="BIZ42" s="248"/>
      <c r="BJA42" s="248"/>
      <c r="BJB42" s="248"/>
      <c r="BJC42" s="248"/>
      <c r="BJD42" s="248"/>
      <c r="BJE42" s="248"/>
      <c r="BJF42" s="248"/>
      <c r="BJG42" s="248"/>
      <c r="BJH42" s="248"/>
      <c r="BJI42" s="248"/>
      <c r="BJJ42" s="248"/>
      <c r="BJK42" s="248"/>
      <c r="BJL42" s="248"/>
      <c r="BJM42" s="248"/>
      <c r="BJN42" s="248"/>
      <c r="BJO42" s="248"/>
      <c r="BJP42" s="248"/>
      <c r="BJQ42" s="248"/>
      <c r="BJR42" s="248"/>
      <c r="BJS42" s="248"/>
      <c r="BJT42" s="248"/>
      <c r="BJU42" s="248"/>
      <c r="BJV42" s="248"/>
      <c r="BJW42" s="248"/>
      <c r="BJX42" s="248"/>
      <c r="BJY42" s="248"/>
      <c r="BJZ42" s="248"/>
      <c r="BKA42" s="248"/>
      <c r="BKB42" s="248"/>
      <c r="BKC42" s="248"/>
      <c r="BKD42" s="248"/>
      <c r="BKE42" s="248"/>
      <c r="BKF42" s="248"/>
      <c r="BKG42" s="248"/>
      <c r="BKH42" s="248"/>
      <c r="BKI42" s="248"/>
      <c r="BKJ42" s="248"/>
      <c r="BKK42" s="248"/>
      <c r="BKL42" s="248"/>
      <c r="BKM42" s="248"/>
      <c r="BKN42" s="248"/>
      <c r="BKO42" s="248"/>
      <c r="BKP42" s="248"/>
      <c r="BKQ42" s="248"/>
      <c r="BKR42" s="248"/>
      <c r="BKS42" s="248"/>
      <c r="BKT42" s="248"/>
      <c r="BKU42" s="248"/>
      <c r="BKV42" s="248"/>
    </row>
    <row r="43" spans="1:1661" ht="20.100000000000001" customHeight="1" x14ac:dyDescent="0.25">
      <c r="A43" s="78" t="s">
        <v>26</v>
      </c>
      <c r="B43" s="51" t="str">
        <f>IF(LEN(C71)=0,"",C71)</f>
        <v/>
      </c>
      <c r="C43" s="209" t="s">
        <v>54</v>
      </c>
      <c r="D43" s="119" t="str">
        <f t="shared" si="0"/>
        <v>16h 15 min</v>
      </c>
      <c r="E43" s="26">
        <v>195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251"/>
      <c r="CN43" s="251"/>
      <c r="CO43" s="251"/>
      <c r="CP43" s="251"/>
      <c r="CQ43" s="254"/>
      <c r="CR43" s="251"/>
      <c r="CS43" s="251"/>
      <c r="CT43" s="251"/>
      <c r="CU43" s="251"/>
      <c r="CV43" s="251"/>
      <c r="CW43" s="253"/>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73"/>
      <c r="AYA43" s="248"/>
      <c r="AYB43" s="248"/>
      <c r="AYC43" s="248"/>
      <c r="AYD43" s="248"/>
      <c r="AYE43" s="248"/>
      <c r="AYF43" s="248"/>
      <c r="AYG43" s="248"/>
      <c r="AYH43" s="248"/>
      <c r="AYI43" s="248"/>
      <c r="AYJ43" s="248"/>
      <c r="AYK43" s="248"/>
      <c r="AYL43" s="248"/>
      <c r="AYM43" s="248"/>
      <c r="AYN43" s="248"/>
      <c r="AYO43" s="248"/>
      <c r="AYP43" s="248"/>
      <c r="AYQ43" s="248"/>
      <c r="AYR43" s="248"/>
      <c r="AYS43" s="248"/>
      <c r="AYT43" s="248"/>
      <c r="AYU43" s="248"/>
      <c r="AYV43" s="248"/>
      <c r="AYW43" s="248"/>
      <c r="AYX43" s="248"/>
      <c r="AYY43" s="248"/>
      <c r="AYZ43" s="248"/>
      <c r="AZA43" s="248"/>
      <c r="AZB43" s="248"/>
      <c r="AZC43" s="248"/>
      <c r="AZD43" s="248"/>
      <c r="AZE43" s="248"/>
      <c r="AZF43" s="248"/>
      <c r="AZG43" s="248"/>
      <c r="AZH43" s="248"/>
      <c r="AZI43" s="248"/>
      <c r="AZJ43" s="248"/>
      <c r="AZK43" s="248"/>
      <c r="AZL43" s="248"/>
      <c r="AZM43" s="248"/>
      <c r="AZN43" s="248"/>
      <c r="AZO43" s="248"/>
      <c r="AZP43" s="248"/>
      <c r="AZQ43" s="248"/>
      <c r="AZR43" s="248"/>
      <c r="AZS43" s="248"/>
      <c r="AZT43" s="248"/>
      <c r="AZU43" s="248"/>
      <c r="AZV43" s="248"/>
      <c r="AZW43" s="248"/>
      <c r="AZX43" s="248"/>
      <c r="AZY43" s="248"/>
      <c r="AZZ43" s="248"/>
      <c r="BAA43" s="248"/>
      <c r="BAB43" s="248"/>
      <c r="BAC43" s="248"/>
      <c r="BAD43" s="248"/>
      <c r="BAE43" s="248"/>
      <c r="BAF43" s="248"/>
      <c r="BAG43" s="248"/>
      <c r="BAH43" s="248"/>
      <c r="BAI43" s="248"/>
      <c r="BAJ43" s="248"/>
      <c r="BAK43" s="248"/>
      <c r="BAL43" s="248"/>
      <c r="BAM43" s="248"/>
      <c r="BAN43" s="248"/>
      <c r="BAO43" s="248"/>
      <c r="BAP43" s="248"/>
      <c r="BAQ43" s="248"/>
      <c r="BAR43" s="248"/>
      <c r="BAS43" s="248"/>
      <c r="BAT43" s="248"/>
      <c r="BAU43" s="248"/>
      <c r="BAV43" s="248"/>
      <c r="BAW43" s="248"/>
      <c r="BAX43" s="248"/>
      <c r="BAY43" s="248"/>
      <c r="BAZ43" s="248"/>
      <c r="BBA43" s="248"/>
      <c r="BBB43" s="248"/>
      <c r="BBC43" s="248"/>
      <c r="BBD43" s="248"/>
      <c r="BBE43" s="248"/>
      <c r="BBF43" s="248"/>
      <c r="BBG43" s="248"/>
      <c r="BBH43" s="248"/>
      <c r="BBI43" s="248"/>
      <c r="BBJ43" s="248"/>
      <c r="BBK43" s="248"/>
      <c r="BBL43" s="248"/>
      <c r="BBM43" s="248"/>
      <c r="BBN43" s="248"/>
      <c r="BBO43" s="248"/>
      <c r="BBP43" s="248"/>
      <c r="BBQ43" s="248"/>
      <c r="BBR43" s="248"/>
      <c r="BBS43" s="248"/>
      <c r="BBT43" s="248"/>
      <c r="BBU43" s="248"/>
      <c r="BBV43" s="248"/>
      <c r="BBW43" s="248"/>
      <c r="BBX43" s="248"/>
      <c r="BBY43" s="248"/>
      <c r="BBZ43" s="248"/>
      <c r="BCA43" s="248"/>
      <c r="BCB43" s="248"/>
      <c r="BCC43" s="248"/>
      <c r="BCD43" s="248"/>
      <c r="BCE43" s="248"/>
      <c r="BCF43" s="248"/>
      <c r="BCG43" s="248"/>
      <c r="BCH43" s="248"/>
      <c r="BCI43" s="248"/>
      <c r="BCJ43" s="248"/>
      <c r="BCK43" s="248"/>
      <c r="BCL43" s="248"/>
      <c r="BCM43" s="248"/>
      <c r="BCN43" s="248"/>
      <c r="BCO43" s="248"/>
      <c r="BCP43" s="248"/>
      <c r="BCQ43" s="248"/>
      <c r="BCR43" s="248"/>
      <c r="BCS43" s="248"/>
      <c r="BCT43" s="248"/>
      <c r="BCU43" s="248"/>
      <c r="BCV43" s="248"/>
      <c r="BCW43" s="248"/>
      <c r="BCX43" s="248"/>
      <c r="BCY43" s="248"/>
      <c r="BCZ43" s="248"/>
      <c r="BDA43" s="248"/>
      <c r="BDB43" s="248"/>
      <c r="BDC43" s="248"/>
      <c r="BDD43" s="248"/>
      <c r="BDE43" s="248"/>
      <c r="BDF43" s="248"/>
      <c r="BDG43" s="248"/>
      <c r="BDH43" s="248"/>
      <c r="BDI43" s="248"/>
      <c r="BDJ43" s="248"/>
      <c r="BDK43" s="248"/>
      <c r="BDL43" s="248"/>
      <c r="BDM43" s="248"/>
      <c r="BDN43" s="248"/>
      <c r="BDO43" s="248"/>
      <c r="BDP43" s="248"/>
      <c r="BDQ43" s="248"/>
      <c r="BDR43" s="248"/>
      <c r="BDS43" s="248"/>
      <c r="BDT43" s="248"/>
      <c r="BDU43" s="248"/>
      <c r="BDV43" s="248"/>
      <c r="BDW43" s="248"/>
      <c r="BDX43" s="248"/>
      <c r="BDY43" s="248"/>
      <c r="BDZ43" s="248"/>
      <c r="BEA43" s="248"/>
      <c r="BEB43" s="248"/>
      <c r="BEC43" s="248"/>
      <c r="BED43" s="248"/>
      <c r="BEE43" s="248"/>
      <c r="BEF43" s="248"/>
      <c r="BEG43" s="248"/>
      <c r="BEH43" s="248"/>
      <c r="BEI43" s="248"/>
      <c r="BEJ43" s="248"/>
      <c r="BEK43" s="248"/>
      <c r="BEL43" s="248"/>
      <c r="BEM43" s="248"/>
      <c r="BEN43" s="248"/>
      <c r="BEO43" s="248"/>
      <c r="BEP43" s="248"/>
      <c r="BEQ43" s="248"/>
      <c r="BER43" s="248"/>
      <c r="BES43" s="248"/>
      <c r="BET43" s="248"/>
      <c r="BEU43" s="248"/>
      <c r="BEV43" s="248"/>
      <c r="BEW43" s="248"/>
      <c r="BEX43" s="248"/>
      <c r="BEY43" s="248"/>
      <c r="BEZ43" s="248"/>
      <c r="BFA43" s="248"/>
      <c r="BFB43" s="248"/>
      <c r="BFC43" s="248"/>
      <c r="BFD43" s="248"/>
      <c r="BFE43" s="248"/>
      <c r="BFF43" s="248"/>
      <c r="BFG43" s="248"/>
      <c r="BFH43" s="248"/>
      <c r="BFI43" s="248"/>
      <c r="BFJ43" s="248"/>
      <c r="BFK43" s="248"/>
      <c r="BFL43" s="248"/>
      <c r="BFM43" s="248"/>
      <c r="BFN43" s="248"/>
      <c r="BFO43" s="248"/>
      <c r="BFP43" s="248"/>
      <c r="BFQ43" s="248"/>
      <c r="BFR43" s="248"/>
      <c r="BFS43" s="248"/>
      <c r="BFT43" s="248"/>
      <c r="BFU43" s="248"/>
      <c r="BFV43" s="248"/>
      <c r="BFW43" s="248"/>
      <c r="BFX43" s="248"/>
      <c r="BFY43" s="248"/>
      <c r="BFZ43" s="248"/>
      <c r="BGA43" s="248"/>
      <c r="BGB43" s="248"/>
      <c r="BGC43" s="248"/>
      <c r="BGD43" s="248"/>
      <c r="BGE43" s="248"/>
      <c r="BGF43" s="248"/>
      <c r="BGG43" s="248"/>
      <c r="BGH43" s="248"/>
      <c r="BGI43" s="248"/>
      <c r="BGJ43" s="248"/>
      <c r="BGK43" s="248"/>
      <c r="BGL43" s="248"/>
      <c r="BGM43" s="248"/>
      <c r="BGN43" s="248"/>
      <c r="BGO43" s="248"/>
      <c r="BGP43" s="248"/>
      <c r="BGQ43" s="248"/>
      <c r="BGR43" s="248"/>
      <c r="BGS43" s="248"/>
      <c r="BGT43" s="248"/>
      <c r="BGU43" s="248"/>
      <c r="BGV43" s="248"/>
      <c r="BGW43" s="248"/>
      <c r="BGX43" s="248"/>
      <c r="BGY43" s="248"/>
      <c r="BGZ43" s="248"/>
      <c r="BHA43" s="248"/>
      <c r="BHB43" s="248"/>
      <c r="BHC43" s="248"/>
      <c r="BHD43" s="248"/>
      <c r="BHE43" s="248"/>
      <c r="BHF43" s="248"/>
      <c r="BHG43" s="248"/>
      <c r="BHH43" s="248"/>
      <c r="BHI43" s="248"/>
      <c r="BHJ43" s="248"/>
      <c r="BHK43" s="248"/>
      <c r="BHL43" s="248"/>
      <c r="BHM43" s="248"/>
      <c r="BHN43" s="248"/>
      <c r="BHO43" s="248"/>
      <c r="BHP43" s="248"/>
      <c r="BHQ43" s="248"/>
      <c r="BHR43" s="248"/>
      <c r="BHS43" s="248"/>
      <c r="BHT43" s="248"/>
      <c r="BHU43" s="248"/>
      <c r="BHV43" s="248"/>
      <c r="BHW43" s="248"/>
      <c r="BHX43" s="248"/>
      <c r="BHY43" s="248"/>
      <c r="BHZ43" s="248"/>
      <c r="BIA43" s="248"/>
      <c r="BIB43" s="248"/>
      <c r="BIC43" s="248"/>
      <c r="BID43" s="248"/>
      <c r="BIE43" s="248"/>
      <c r="BIF43" s="248"/>
      <c r="BIG43" s="248"/>
      <c r="BIH43" s="248"/>
      <c r="BII43" s="248"/>
      <c r="BIJ43" s="248"/>
      <c r="BIK43" s="248"/>
      <c r="BIL43" s="248"/>
      <c r="BIM43" s="248"/>
      <c r="BIN43" s="248"/>
      <c r="BIO43" s="248"/>
      <c r="BIP43" s="248"/>
      <c r="BIQ43" s="248"/>
      <c r="BIR43" s="248"/>
      <c r="BIS43" s="248"/>
      <c r="BIT43" s="248"/>
      <c r="BIU43" s="248"/>
      <c r="BIV43" s="248"/>
      <c r="BIW43" s="248"/>
      <c r="BIX43" s="248"/>
      <c r="BIY43" s="248"/>
      <c r="BIZ43" s="248"/>
      <c r="BJA43" s="248"/>
      <c r="BJB43" s="248"/>
      <c r="BJC43" s="248"/>
      <c r="BJD43" s="248"/>
      <c r="BJE43" s="248"/>
      <c r="BJF43" s="248"/>
      <c r="BJG43" s="248"/>
      <c r="BJH43" s="248"/>
      <c r="BJI43" s="248"/>
      <c r="BJJ43" s="248"/>
      <c r="BJK43" s="248"/>
      <c r="BJL43" s="248"/>
      <c r="BJM43" s="248"/>
      <c r="BJN43" s="248"/>
    </row>
    <row r="44" spans="1:1661" ht="20.100000000000001" customHeight="1" x14ac:dyDescent="0.3">
      <c r="A44" s="78" t="s">
        <v>28</v>
      </c>
      <c r="B44" s="51" t="str">
        <f>IF(LEN(C73)=0,"",C73)</f>
        <v/>
      </c>
      <c r="C44" s="216"/>
      <c r="D44" s="121" t="str">
        <f t="shared" si="0"/>
        <v/>
      </c>
      <c r="E44" s="30">
        <v>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73"/>
      <c r="AYA44" s="248"/>
      <c r="AYB44" s="248"/>
      <c r="AYC44" s="248"/>
      <c r="AYD44" s="248"/>
      <c r="AYE44" s="248"/>
      <c r="AYF44" s="248"/>
      <c r="AYG44" s="248"/>
      <c r="AYH44" s="248"/>
      <c r="AYI44" s="248"/>
      <c r="AYJ44" s="248"/>
      <c r="AYK44" s="248"/>
      <c r="AYL44" s="248"/>
      <c r="AYM44" s="248"/>
      <c r="AYN44" s="248"/>
      <c r="AYO44" s="248"/>
      <c r="AYP44" s="248"/>
      <c r="AYQ44" s="248"/>
      <c r="AYR44" s="248"/>
      <c r="AYS44" s="248"/>
      <c r="AYT44" s="248"/>
      <c r="AYU44" s="248"/>
      <c r="AYV44" s="248"/>
      <c r="AYW44" s="248"/>
      <c r="AYX44" s="248"/>
      <c r="AYY44" s="248"/>
      <c r="AYZ44" s="248"/>
      <c r="AZA44" s="248"/>
      <c r="AZB44" s="248"/>
      <c r="AZC44" s="248"/>
      <c r="AZD44" s="248"/>
      <c r="AZE44" s="248"/>
      <c r="AZF44" s="248"/>
      <c r="AZG44" s="248"/>
      <c r="AZH44" s="248"/>
      <c r="AZI44" s="248"/>
      <c r="AZJ44" s="248"/>
      <c r="AZK44" s="248"/>
      <c r="AZL44" s="248"/>
      <c r="AZM44" s="248"/>
      <c r="AZN44" s="248"/>
      <c r="AZO44" s="248"/>
      <c r="AZP44" s="248"/>
      <c r="AZQ44" s="248"/>
      <c r="AZR44" s="248"/>
      <c r="AZS44" s="248"/>
      <c r="AZT44" s="248"/>
      <c r="AZU44" s="248"/>
      <c r="AZV44" s="248"/>
      <c r="AZW44" s="248"/>
      <c r="AZX44" s="248"/>
      <c r="AZY44" s="248"/>
      <c r="AZZ44" s="248"/>
      <c r="BAA44" s="248"/>
      <c r="BAB44" s="248"/>
      <c r="BAC44" s="248"/>
      <c r="BAD44" s="248"/>
      <c r="BAE44" s="248"/>
      <c r="BAF44" s="248"/>
      <c r="BAG44" s="248"/>
      <c r="BAH44" s="248"/>
      <c r="BAI44" s="248"/>
      <c r="BAJ44" s="248"/>
      <c r="BAK44" s="248"/>
      <c r="BAL44" s="248"/>
      <c r="BAM44" s="248"/>
      <c r="BAN44" s="248"/>
      <c r="BAO44" s="248"/>
      <c r="BAP44" s="248"/>
      <c r="BAQ44" s="248"/>
      <c r="BAR44" s="248"/>
      <c r="BAS44" s="248"/>
      <c r="BAT44" s="248"/>
      <c r="BAU44" s="248"/>
      <c r="BAV44" s="248"/>
      <c r="BAW44" s="248"/>
      <c r="BAX44" s="248"/>
      <c r="BAY44" s="248"/>
      <c r="BAZ44" s="248"/>
      <c r="BBA44" s="248"/>
      <c r="BBB44" s="248"/>
      <c r="BBC44" s="248"/>
      <c r="BBD44" s="248"/>
      <c r="BBE44" s="248"/>
      <c r="BBF44" s="248"/>
      <c r="BBG44" s="248"/>
      <c r="BBH44" s="248"/>
      <c r="BBI44" s="248"/>
      <c r="BBJ44" s="248"/>
      <c r="BBK44" s="248"/>
      <c r="BBL44" s="248"/>
      <c r="BBM44" s="248"/>
      <c r="BBN44" s="248"/>
      <c r="BBO44" s="248"/>
      <c r="BBP44" s="248"/>
      <c r="BBQ44" s="248"/>
      <c r="BBR44" s="248"/>
      <c r="BBS44" s="248"/>
      <c r="BBT44" s="248"/>
      <c r="BBU44" s="248"/>
      <c r="BBV44" s="248"/>
      <c r="BBW44" s="248"/>
      <c r="BBX44" s="248"/>
      <c r="BBY44" s="248"/>
      <c r="BBZ44" s="248"/>
      <c r="BCA44" s="248"/>
      <c r="BCB44" s="248"/>
      <c r="BCC44" s="248"/>
      <c r="BCD44" s="248"/>
      <c r="BCE44" s="248"/>
      <c r="BCF44" s="248"/>
      <c r="BCG44" s="248"/>
      <c r="BCH44" s="248"/>
      <c r="BCI44" s="248"/>
      <c r="BCJ44" s="248"/>
      <c r="BCK44" s="248"/>
      <c r="BCL44" s="248"/>
      <c r="BCM44" s="248"/>
      <c r="BCN44" s="248"/>
      <c r="BCO44" s="248"/>
      <c r="BCP44" s="248"/>
      <c r="BCQ44" s="248"/>
      <c r="BCR44" s="248"/>
      <c r="BCS44" s="248"/>
      <c r="BCT44" s="248"/>
      <c r="BCU44" s="248"/>
      <c r="BCV44" s="248"/>
      <c r="BCW44" s="248"/>
      <c r="BCX44" s="248"/>
      <c r="BCY44" s="248"/>
      <c r="BCZ44" s="248"/>
      <c r="BDA44" s="248"/>
      <c r="BDB44" s="248"/>
      <c r="BDC44" s="248"/>
      <c r="BDD44" s="248"/>
      <c r="BDE44" s="248"/>
      <c r="BDF44" s="248"/>
      <c r="BDG44" s="248"/>
      <c r="BDH44" s="248"/>
      <c r="BDI44" s="248"/>
      <c r="BDJ44" s="248"/>
      <c r="BDK44" s="248"/>
      <c r="BDL44" s="248"/>
      <c r="BDM44" s="248"/>
      <c r="BDN44" s="248"/>
      <c r="BDO44" s="248"/>
      <c r="BDP44" s="248"/>
      <c r="BDQ44" s="248"/>
      <c r="BDR44" s="248"/>
      <c r="BDS44" s="248"/>
      <c r="BDT44" s="248"/>
      <c r="BDU44" s="248"/>
      <c r="BDV44" s="248"/>
      <c r="BDW44" s="248"/>
      <c r="BDX44" s="248"/>
      <c r="BDY44" s="248"/>
      <c r="BDZ44" s="248"/>
      <c r="BEA44" s="248"/>
      <c r="BEB44" s="248"/>
      <c r="BEC44" s="248"/>
      <c r="BED44" s="248"/>
      <c r="BEE44" s="248"/>
      <c r="BEF44" s="248"/>
      <c r="BEG44" s="248"/>
      <c r="BEH44" s="248"/>
      <c r="BEI44" s="248"/>
      <c r="BEJ44" s="248"/>
      <c r="BEK44" s="248"/>
      <c r="BEL44" s="248"/>
      <c r="BEM44" s="248"/>
      <c r="BEN44" s="248"/>
      <c r="BEO44" s="248"/>
      <c r="BEP44" s="248"/>
      <c r="BEQ44" s="248"/>
      <c r="BER44" s="248"/>
      <c r="BES44" s="248"/>
      <c r="BET44" s="248"/>
      <c r="BEU44" s="248"/>
      <c r="BEV44" s="248"/>
      <c r="BEW44" s="248"/>
      <c r="BEX44" s="248"/>
      <c r="BEY44" s="248"/>
      <c r="BEZ44" s="248"/>
      <c r="BFA44" s="248"/>
      <c r="BFB44" s="248"/>
      <c r="BFC44" s="248"/>
      <c r="BFD44" s="248"/>
      <c r="BFE44" s="248"/>
      <c r="BFF44" s="248"/>
      <c r="BFG44" s="248"/>
      <c r="BFH44" s="248"/>
      <c r="BFI44" s="248"/>
      <c r="BFJ44" s="248"/>
      <c r="BFK44" s="248"/>
      <c r="BFL44" s="248"/>
      <c r="BFM44" s="248"/>
      <c r="BFN44" s="248"/>
      <c r="BFO44" s="248"/>
      <c r="BFP44" s="248"/>
      <c r="BFQ44" s="248"/>
      <c r="BFR44" s="248"/>
      <c r="BFS44" s="248"/>
      <c r="BFT44" s="248"/>
      <c r="BFU44" s="248"/>
      <c r="BFV44" s="248"/>
      <c r="BFW44" s="248"/>
      <c r="BFX44" s="248"/>
      <c r="BFY44" s="248"/>
      <c r="BFZ44" s="248"/>
      <c r="BGA44" s="248"/>
      <c r="BGB44" s="248"/>
      <c r="BGC44" s="248"/>
      <c r="BGD44" s="248"/>
      <c r="BGE44" s="248"/>
      <c r="BGF44" s="248"/>
      <c r="BGG44" s="248"/>
      <c r="BGH44" s="248"/>
      <c r="BGI44" s="248"/>
      <c r="BGJ44" s="248"/>
      <c r="BGK44" s="248"/>
      <c r="BGL44" s="248"/>
      <c r="BGM44" s="248"/>
      <c r="BGN44" s="248"/>
      <c r="BGO44" s="248"/>
      <c r="BGP44" s="248"/>
      <c r="BGQ44" s="248"/>
      <c r="BGR44" s="248"/>
      <c r="BGS44" s="248"/>
      <c r="BGT44" s="248"/>
      <c r="BGU44" s="248"/>
      <c r="BGV44" s="248"/>
      <c r="BGW44" s="248"/>
      <c r="BGX44" s="248"/>
      <c r="BGY44" s="248"/>
      <c r="BGZ44" s="248"/>
      <c r="BHA44" s="248"/>
      <c r="BHB44" s="248"/>
      <c r="BHC44" s="248"/>
      <c r="BHD44" s="248"/>
      <c r="BHE44" s="248"/>
      <c r="BHF44" s="248"/>
      <c r="BHG44" s="248"/>
      <c r="BHH44" s="248"/>
      <c r="BHI44" s="248"/>
      <c r="BHJ44" s="248"/>
      <c r="BHK44" s="248"/>
      <c r="BHL44" s="248"/>
      <c r="BHM44" s="248"/>
      <c r="BHN44" s="248"/>
      <c r="BHO44" s="248"/>
      <c r="BHP44" s="248"/>
      <c r="BHQ44" s="248"/>
      <c r="BHR44" s="248"/>
      <c r="BHS44" s="248"/>
      <c r="BHT44" s="248"/>
      <c r="BHU44" s="248"/>
      <c r="BHV44" s="248"/>
      <c r="BHW44" s="248"/>
      <c r="BHX44" s="248"/>
      <c r="BHY44" s="248"/>
      <c r="BHZ44" s="248"/>
      <c r="BIA44" s="248"/>
      <c r="BIB44" s="248"/>
      <c r="BIC44" s="248"/>
      <c r="BID44" s="248"/>
      <c r="BIE44" s="248"/>
      <c r="BIF44" s="248"/>
      <c r="BIG44" s="248"/>
      <c r="BIH44" s="248"/>
      <c r="BII44" s="248"/>
      <c r="BIJ44" s="248"/>
      <c r="BIK44" s="248"/>
      <c r="BIL44" s="248"/>
      <c r="BIM44" s="248"/>
      <c r="BIN44" s="248"/>
      <c r="BIO44" s="248"/>
      <c r="BIP44" s="248"/>
      <c r="BIQ44" s="248"/>
      <c r="BIR44" s="248"/>
      <c r="BIS44" s="248"/>
      <c r="BIT44" s="248"/>
      <c r="BIU44" s="248"/>
      <c r="BIV44" s="248"/>
      <c r="BIW44" s="248"/>
      <c r="BIX44" s="248"/>
      <c r="BIY44" s="248"/>
      <c r="BIZ44" s="248"/>
      <c r="BJA44" s="248"/>
      <c r="BJB44" s="248"/>
      <c r="BJC44" s="248"/>
      <c r="BJD44" s="248"/>
      <c r="BJE44" s="248"/>
      <c r="BJF44" s="248"/>
      <c r="BJG44" s="248"/>
      <c r="BJH44" s="248"/>
      <c r="BJI44" s="248"/>
      <c r="BJJ44" s="248"/>
      <c r="BJK44" s="248"/>
      <c r="BJL44" s="248"/>
      <c r="BJM44" s="248"/>
      <c r="BJN44" s="248"/>
      <c r="BJO44" s="248"/>
      <c r="BJP44" s="248"/>
      <c r="BJQ44" s="248"/>
      <c r="BJR44" s="248"/>
      <c r="BJS44" s="248"/>
      <c r="BJT44" s="248"/>
      <c r="BJU44" s="248"/>
      <c r="BJV44" s="248"/>
      <c r="BJW44" s="248"/>
      <c r="BJX44" s="248"/>
      <c r="BJY44" s="248"/>
      <c r="BJZ44" s="248"/>
      <c r="BKA44" s="248"/>
      <c r="BKB44" s="248"/>
      <c r="BKC44" s="248"/>
      <c r="BKD44" s="248"/>
      <c r="BKE44" s="248"/>
      <c r="BKF44" s="248"/>
      <c r="BKG44" s="248"/>
      <c r="BKH44" s="248"/>
      <c r="BKI44" s="248"/>
      <c r="BKJ44" s="248"/>
      <c r="BKK44" s="248"/>
      <c r="BKL44" s="248"/>
      <c r="BKM44" s="248"/>
      <c r="BKN44" s="248"/>
      <c r="BKO44" s="248"/>
      <c r="BKP44" s="248"/>
      <c r="BKQ44" s="248"/>
      <c r="BKR44" s="248"/>
      <c r="BKS44" s="248"/>
      <c r="BKT44" s="248"/>
      <c r="BKU44" s="248"/>
      <c r="BKV44" s="248"/>
    </row>
    <row r="45" spans="1:1661" ht="20.100000000000001" customHeight="1" x14ac:dyDescent="0.25">
      <c r="A45" s="78" t="s">
        <v>26</v>
      </c>
      <c r="B45" s="51" t="str">
        <f>IF(LEN(C75)=0,"",C75)</f>
        <v/>
      </c>
      <c r="C45" s="209" t="s">
        <v>32</v>
      </c>
      <c r="D45" s="119" t="str">
        <f t="shared" si="0"/>
        <v>5h 10 min</v>
      </c>
      <c r="E45" s="34">
        <v>62</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73"/>
      <c r="AYA45" s="248"/>
      <c r="AYB45" s="248"/>
      <c r="AYC45" s="248"/>
      <c r="AYD45" s="248"/>
      <c r="AYE45" s="248"/>
      <c r="AYF45" s="248"/>
      <c r="AYG45" s="248"/>
      <c r="AYH45" s="248"/>
      <c r="AYI45" s="248"/>
      <c r="AYJ45" s="248"/>
      <c r="AYK45" s="248"/>
      <c r="AYL45" s="248"/>
      <c r="AYM45" s="248"/>
      <c r="AYN45" s="248"/>
      <c r="AYO45" s="248"/>
      <c r="AYP45" s="248"/>
      <c r="AYQ45" s="248"/>
      <c r="AYR45" s="248"/>
      <c r="AYS45" s="248"/>
      <c r="AYT45" s="248"/>
      <c r="AYU45" s="248"/>
      <c r="AYV45" s="248"/>
      <c r="AYW45" s="248"/>
      <c r="AYX45" s="248"/>
      <c r="AYY45" s="248"/>
      <c r="AYZ45" s="248"/>
      <c r="AZA45" s="248"/>
      <c r="AZB45" s="248"/>
      <c r="AZC45" s="248"/>
      <c r="AZD45" s="248"/>
      <c r="AZE45" s="248"/>
      <c r="AZF45" s="248"/>
      <c r="AZG45" s="248"/>
      <c r="AZH45" s="248"/>
      <c r="AZI45" s="248"/>
      <c r="AZJ45" s="248"/>
      <c r="AZK45" s="248"/>
      <c r="AZL45" s="248"/>
      <c r="AZM45" s="248"/>
      <c r="AZN45" s="248"/>
      <c r="AZO45" s="248"/>
      <c r="AZP45" s="248"/>
      <c r="AZQ45" s="248"/>
      <c r="AZR45" s="248"/>
      <c r="AZS45" s="248"/>
      <c r="AZT45" s="248"/>
      <c r="AZU45" s="248"/>
      <c r="AZV45" s="248"/>
      <c r="AZW45" s="248"/>
      <c r="AZX45" s="248"/>
      <c r="AZY45" s="248"/>
      <c r="AZZ45" s="248"/>
      <c r="BAA45" s="248"/>
      <c r="BAB45" s="248"/>
      <c r="BAC45" s="248"/>
      <c r="BAD45" s="248"/>
      <c r="BAE45" s="248"/>
      <c r="BAF45" s="248"/>
      <c r="BAG45" s="248"/>
      <c r="BAH45" s="248"/>
      <c r="BAI45" s="248"/>
      <c r="BAJ45" s="248"/>
      <c r="BAK45" s="248"/>
      <c r="BAL45" s="248"/>
      <c r="BAM45" s="248"/>
      <c r="BAN45" s="248"/>
      <c r="BAO45" s="248"/>
      <c r="BAP45" s="248"/>
      <c r="BAQ45" s="248"/>
      <c r="BAR45" s="248"/>
      <c r="BAS45" s="248"/>
      <c r="BAT45" s="248"/>
      <c r="BAU45" s="248"/>
      <c r="BAV45" s="248"/>
      <c r="BAW45" s="248"/>
      <c r="BAX45" s="248"/>
      <c r="BAY45" s="248"/>
      <c r="BAZ45" s="248"/>
      <c r="BBA45" s="248"/>
      <c r="BBB45" s="248"/>
      <c r="BBC45" s="248"/>
      <c r="BBD45" s="248"/>
      <c r="BBE45" s="248"/>
      <c r="BBF45" s="248"/>
      <c r="BBG45" s="248"/>
      <c r="BBH45" s="248"/>
      <c r="BBI45" s="248"/>
      <c r="BBJ45" s="248"/>
      <c r="BBK45" s="248"/>
      <c r="BBL45" s="248"/>
      <c r="BBM45" s="248"/>
      <c r="BBN45" s="248"/>
      <c r="BBO45" s="248"/>
      <c r="BBP45" s="248"/>
      <c r="BBQ45" s="248"/>
      <c r="BBR45" s="248"/>
      <c r="BBS45" s="248"/>
      <c r="BBT45" s="248"/>
      <c r="BBU45" s="248"/>
      <c r="BBV45" s="248"/>
      <c r="BBW45" s="248"/>
      <c r="BBX45" s="248"/>
      <c r="BBY45" s="248"/>
      <c r="BBZ45" s="248"/>
      <c r="BCA45" s="248"/>
      <c r="BCB45" s="248"/>
      <c r="BCC45" s="248"/>
      <c r="BCD45" s="248"/>
      <c r="BCE45" s="248"/>
      <c r="BCF45" s="248"/>
      <c r="BCG45" s="248"/>
      <c r="BCH45" s="248"/>
      <c r="BCI45" s="248"/>
      <c r="BCJ45" s="248"/>
      <c r="BCK45" s="248"/>
      <c r="BCL45" s="248"/>
      <c r="BCM45" s="248"/>
      <c r="BCN45" s="248"/>
      <c r="BCO45" s="248"/>
      <c r="BCP45" s="248"/>
      <c r="BCQ45" s="248"/>
      <c r="BCR45" s="248"/>
      <c r="BCS45" s="248"/>
      <c r="BCT45" s="248"/>
      <c r="BCU45" s="248"/>
      <c r="BCV45" s="248"/>
      <c r="BCW45" s="248"/>
      <c r="BCX45" s="248"/>
      <c r="BCY45" s="248"/>
      <c r="BCZ45" s="248"/>
      <c r="BDA45" s="248"/>
      <c r="BDB45" s="248"/>
      <c r="BDC45" s="248"/>
      <c r="BDD45" s="248"/>
      <c r="BDE45" s="248"/>
      <c r="BDF45" s="248"/>
      <c r="BDG45" s="248"/>
      <c r="BDH45" s="248"/>
      <c r="BDI45" s="248"/>
      <c r="BDJ45" s="248"/>
      <c r="BDK45" s="248"/>
      <c r="BDL45" s="248"/>
      <c r="BDM45" s="248"/>
      <c r="BDN45" s="248"/>
      <c r="BDO45" s="248"/>
      <c r="BDP45" s="248"/>
      <c r="BDQ45" s="248"/>
      <c r="BDR45" s="248"/>
      <c r="BDS45" s="248"/>
      <c r="BDT45" s="248"/>
      <c r="BDU45" s="248"/>
      <c r="BDV45" s="248"/>
      <c r="BDW45" s="248"/>
      <c r="BDX45" s="248"/>
      <c r="BDY45" s="248"/>
      <c r="BDZ45" s="248"/>
      <c r="BEA45" s="248"/>
      <c r="BEB45" s="248"/>
      <c r="BEC45" s="248"/>
      <c r="BED45" s="248"/>
      <c r="BEE45" s="248"/>
      <c r="BEF45" s="248"/>
      <c r="BEG45" s="248"/>
      <c r="BEH45" s="248"/>
      <c r="BEI45" s="248"/>
      <c r="BEJ45" s="248"/>
      <c r="BEK45" s="248"/>
      <c r="BEL45" s="248"/>
      <c r="BEM45" s="248"/>
      <c r="BEN45" s="248"/>
      <c r="BEO45" s="248"/>
      <c r="BEP45" s="248"/>
      <c r="BEQ45" s="248"/>
      <c r="BER45" s="248"/>
      <c r="BES45" s="248"/>
      <c r="BET45" s="248"/>
      <c r="BEU45" s="248"/>
      <c r="BEV45" s="248"/>
      <c r="BEW45" s="248"/>
      <c r="BEX45" s="248"/>
      <c r="BEY45" s="248"/>
      <c r="BEZ45" s="248"/>
      <c r="BFA45" s="248"/>
      <c r="BFB45" s="248"/>
      <c r="BFC45" s="248"/>
      <c r="BFD45" s="248"/>
      <c r="BFE45" s="248"/>
      <c r="BFF45" s="248"/>
      <c r="BFG45" s="248"/>
      <c r="BFH45" s="248"/>
      <c r="BFI45" s="248"/>
      <c r="BFJ45" s="248"/>
      <c r="BFK45" s="248"/>
      <c r="BFL45" s="248"/>
      <c r="BFM45" s="248"/>
      <c r="BFN45" s="248"/>
      <c r="BFO45" s="248"/>
      <c r="BFP45" s="248"/>
      <c r="BFQ45" s="248"/>
      <c r="BFR45" s="248"/>
      <c r="BFS45" s="248"/>
      <c r="BFT45" s="248"/>
      <c r="BFU45" s="248"/>
      <c r="BFV45" s="248"/>
      <c r="BFW45" s="248"/>
      <c r="BFX45" s="248"/>
      <c r="BFY45" s="248"/>
      <c r="BFZ45" s="248"/>
      <c r="BGA45" s="248"/>
      <c r="BGB45" s="248"/>
      <c r="BGC45" s="248"/>
      <c r="BGD45" s="248"/>
      <c r="BGE45" s="248"/>
      <c r="BGF45" s="248"/>
      <c r="BGG45" s="248"/>
      <c r="BGH45" s="248"/>
      <c r="BGI45" s="248"/>
      <c r="BGJ45" s="248"/>
      <c r="BGK45" s="248"/>
      <c r="BGL45" s="248"/>
      <c r="BGM45" s="248"/>
      <c r="BGN45" s="248"/>
      <c r="BGO45" s="248"/>
      <c r="BGP45" s="248"/>
      <c r="BGQ45" s="248"/>
      <c r="BGR45" s="248"/>
      <c r="BGS45" s="248"/>
      <c r="BGT45" s="248"/>
      <c r="BGU45" s="248"/>
      <c r="BGV45" s="248"/>
      <c r="BGW45" s="248"/>
      <c r="BGX45" s="248"/>
      <c r="BGY45" s="248"/>
      <c r="BGZ45" s="248"/>
      <c r="BHA45" s="248"/>
      <c r="BHB45" s="248"/>
      <c r="BHC45" s="248"/>
      <c r="BHD45" s="248"/>
      <c r="BHE45" s="248"/>
      <c r="BHF45" s="248"/>
      <c r="BHG45" s="248"/>
      <c r="BHH45" s="248"/>
      <c r="BHI45" s="248"/>
      <c r="BHJ45" s="248"/>
      <c r="BHK45" s="248"/>
      <c r="BHL45" s="248"/>
      <c r="BHM45" s="248"/>
      <c r="BHN45" s="248"/>
      <c r="BHO45" s="248"/>
      <c r="BHP45" s="248"/>
      <c r="BHQ45" s="248"/>
      <c r="BHR45" s="248"/>
      <c r="BHS45" s="248"/>
      <c r="BHT45" s="248"/>
      <c r="BHU45" s="248"/>
      <c r="BHV45" s="248"/>
      <c r="BHW45" s="248"/>
      <c r="BHX45" s="248"/>
      <c r="BHY45" s="248"/>
      <c r="BHZ45" s="248"/>
      <c r="BIA45" s="248"/>
      <c r="BIB45" s="248"/>
      <c r="BIC45" s="248"/>
      <c r="BID45" s="248"/>
      <c r="BIE45" s="248"/>
      <c r="BIF45" s="248"/>
      <c r="BIG45" s="248"/>
      <c r="BIH45" s="248"/>
      <c r="BII45" s="248"/>
      <c r="BIJ45" s="248"/>
      <c r="BIK45" s="248"/>
      <c r="BIL45" s="248"/>
      <c r="BIM45" s="248"/>
      <c r="BIN45" s="248"/>
      <c r="BIO45" s="248"/>
      <c r="BIP45" s="248"/>
      <c r="BIQ45" s="248"/>
      <c r="BIR45" s="248"/>
      <c r="BIS45" s="248"/>
      <c r="BIT45" s="248"/>
      <c r="BIU45" s="248"/>
      <c r="BIV45" s="248"/>
      <c r="BIW45" s="248"/>
      <c r="BIX45" s="248"/>
      <c r="BIY45" s="248"/>
      <c r="BIZ45" s="248"/>
      <c r="BJA45" s="248"/>
      <c r="BJB45" s="248"/>
      <c r="BJC45" s="248"/>
      <c r="BJD45" s="248"/>
      <c r="BJE45" s="248"/>
      <c r="BJF45" s="248"/>
      <c r="BJG45" s="248"/>
      <c r="BJH45" s="248"/>
      <c r="BJI45" s="248"/>
      <c r="BJJ45" s="248"/>
      <c r="BJK45" s="248"/>
      <c r="BJL45" s="248"/>
      <c r="BJM45" s="248"/>
      <c r="BJN45" s="248"/>
    </row>
    <row r="46" spans="1:1661" ht="20.100000000000001" customHeight="1" x14ac:dyDescent="0.25">
      <c r="A46" s="78" t="s">
        <v>28</v>
      </c>
      <c r="B46" s="51" t="str">
        <f>IF(LEN(C77)=0,"",C77)</f>
        <v/>
      </c>
      <c r="C46" s="210"/>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73"/>
      <c r="AYA46" s="248"/>
      <c r="AYB46" s="248"/>
      <c r="AYC46" s="248"/>
      <c r="AYD46" s="248"/>
      <c r="AYE46" s="248"/>
      <c r="AYF46" s="248"/>
      <c r="AYG46" s="248"/>
      <c r="AYH46" s="248"/>
      <c r="AYI46" s="248"/>
      <c r="AYJ46" s="248"/>
      <c r="AYK46" s="248"/>
      <c r="AYL46" s="248"/>
      <c r="AYM46" s="248"/>
      <c r="AYN46" s="248"/>
      <c r="AYO46" s="248"/>
      <c r="AYP46" s="248"/>
      <c r="AYQ46" s="248"/>
      <c r="AYR46" s="248"/>
      <c r="AYS46" s="248"/>
      <c r="AYT46" s="248"/>
      <c r="AYU46" s="248"/>
      <c r="AYV46" s="248"/>
      <c r="AYW46" s="248"/>
      <c r="AYX46" s="248"/>
      <c r="AYY46" s="248"/>
      <c r="AYZ46" s="248"/>
      <c r="AZA46" s="248"/>
      <c r="AZB46" s="248"/>
      <c r="AZC46" s="248"/>
      <c r="AZD46" s="248"/>
      <c r="AZE46" s="248"/>
      <c r="AZF46" s="248"/>
      <c r="AZG46" s="248"/>
      <c r="AZH46" s="248"/>
      <c r="AZI46" s="248"/>
      <c r="AZJ46" s="248"/>
      <c r="AZK46" s="248"/>
      <c r="AZL46" s="248"/>
      <c r="AZM46" s="248"/>
      <c r="AZN46" s="248"/>
      <c r="AZO46" s="248"/>
      <c r="AZP46" s="248"/>
      <c r="AZQ46" s="248"/>
      <c r="AZR46" s="248"/>
      <c r="AZS46" s="248"/>
      <c r="AZT46" s="248"/>
      <c r="AZU46" s="248"/>
      <c r="AZV46" s="248"/>
      <c r="AZW46" s="248"/>
      <c r="AZX46" s="248"/>
      <c r="AZY46" s="248"/>
      <c r="AZZ46" s="248"/>
      <c r="BAA46" s="248"/>
      <c r="BAB46" s="248"/>
      <c r="BAC46" s="248"/>
      <c r="BAD46" s="248"/>
      <c r="BAE46" s="248"/>
      <c r="BAF46" s="248"/>
      <c r="BAG46" s="248"/>
      <c r="BAH46" s="248"/>
      <c r="BAI46" s="248"/>
      <c r="BAJ46" s="248"/>
      <c r="BAK46" s="248"/>
      <c r="BAL46" s="248"/>
      <c r="BAM46" s="248"/>
      <c r="BAN46" s="248"/>
      <c r="BAO46" s="248"/>
      <c r="BAP46" s="248"/>
      <c r="BAQ46" s="248"/>
      <c r="BAR46" s="248"/>
      <c r="BAS46" s="248"/>
      <c r="BAT46" s="248"/>
      <c r="BAU46" s="248"/>
      <c r="BAV46" s="248"/>
      <c r="BAW46" s="248"/>
      <c r="BAX46" s="248"/>
      <c r="BAY46" s="248"/>
      <c r="BAZ46" s="248"/>
      <c r="BBA46" s="248"/>
      <c r="BBB46" s="248"/>
      <c r="BBC46" s="248"/>
      <c r="BBD46" s="248"/>
      <c r="BBE46" s="248"/>
      <c r="BBF46" s="248"/>
      <c r="BBG46" s="248"/>
      <c r="BBH46" s="248"/>
      <c r="BBI46" s="248"/>
      <c r="BBJ46" s="248"/>
      <c r="BBK46" s="248"/>
      <c r="BBL46" s="248"/>
      <c r="BBM46" s="248"/>
      <c r="BBN46" s="248"/>
      <c r="BBO46" s="248"/>
      <c r="BBP46" s="248"/>
      <c r="BBQ46" s="248"/>
      <c r="BBR46" s="248"/>
      <c r="BBS46" s="248"/>
      <c r="BBT46" s="248"/>
      <c r="BBU46" s="248"/>
      <c r="BBV46" s="248"/>
      <c r="BBW46" s="248"/>
      <c r="BBX46" s="248"/>
      <c r="BBY46" s="248"/>
      <c r="BBZ46" s="248"/>
      <c r="BCA46" s="248"/>
      <c r="BCB46" s="248"/>
      <c r="BCC46" s="248"/>
      <c r="BCD46" s="248"/>
      <c r="BCE46" s="248"/>
      <c r="BCF46" s="248"/>
      <c r="BCG46" s="248"/>
      <c r="BCH46" s="248"/>
      <c r="BCI46" s="248"/>
      <c r="BCJ46" s="248"/>
      <c r="BCK46" s="248"/>
      <c r="BCL46" s="248"/>
      <c r="BCM46" s="248"/>
      <c r="BCN46" s="248"/>
      <c r="BCO46" s="248"/>
      <c r="BCP46" s="248"/>
      <c r="BCQ46" s="248"/>
      <c r="BCR46" s="248"/>
      <c r="BCS46" s="248"/>
      <c r="BCT46" s="248"/>
      <c r="BCU46" s="248"/>
      <c r="BCV46" s="248"/>
      <c r="BCW46" s="248"/>
      <c r="BCX46" s="248"/>
      <c r="BCY46" s="248"/>
      <c r="BCZ46" s="248"/>
      <c r="BDA46" s="248"/>
      <c r="BDB46" s="248"/>
      <c r="BDC46" s="248"/>
      <c r="BDD46" s="248"/>
      <c r="BDE46" s="248"/>
      <c r="BDF46" s="248"/>
      <c r="BDG46" s="248"/>
      <c r="BDH46" s="248"/>
      <c r="BDI46" s="248"/>
      <c r="BDJ46" s="248"/>
      <c r="BDK46" s="248"/>
      <c r="BDL46" s="248"/>
      <c r="BDM46" s="248"/>
      <c r="BDN46" s="248"/>
      <c r="BDO46" s="248"/>
      <c r="BDP46" s="248"/>
      <c r="BDQ46" s="248"/>
      <c r="BDR46" s="248"/>
      <c r="BDS46" s="248"/>
      <c r="BDT46" s="248"/>
      <c r="BDU46" s="248"/>
      <c r="BDV46" s="248"/>
      <c r="BDW46" s="248"/>
      <c r="BDX46" s="248"/>
      <c r="BDY46" s="248"/>
      <c r="BDZ46" s="248"/>
      <c r="BEA46" s="248"/>
      <c r="BEB46" s="248"/>
      <c r="BEC46" s="248"/>
      <c r="BED46" s="248"/>
      <c r="BEE46" s="248"/>
      <c r="BEF46" s="248"/>
      <c r="BEG46" s="248"/>
      <c r="BEH46" s="248"/>
      <c r="BEI46" s="248"/>
      <c r="BEJ46" s="248"/>
      <c r="BEK46" s="248"/>
      <c r="BEL46" s="248"/>
      <c r="BEM46" s="248"/>
      <c r="BEN46" s="248"/>
      <c r="BEO46" s="248"/>
      <c r="BEP46" s="248"/>
      <c r="BEQ46" s="248"/>
      <c r="BER46" s="248"/>
      <c r="BES46" s="248"/>
      <c r="BET46" s="248"/>
      <c r="BEU46" s="248"/>
      <c r="BEV46" s="248"/>
      <c r="BEW46" s="248"/>
      <c r="BEX46" s="248"/>
      <c r="BEY46" s="248"/>
      <c r="BEZ46" s="248"/>
      <c r="BFA46" s="248"/>
      <c r="BFB46" s="248"/>
      <c r="BFC46" s="248"/>
      <c r="BFD46" s="248"/>
      <c r="BFE46" s="248"/>
      <c r="BFF46" s="248"/>
      <c r="BFG46" s="248"/>
      <c r="BFH46" s="248"/>
      <c r="BFI46" s="248"/>
      <c r="BFJ46" s="248"/>
      <c r="BFK46" s="248"/>
      <c r="BFL46" s="248"/>
      <c r="BFM46" s="248"/>
      <c r="BFN46" s="248"/>
      <c r="BFO46" s="248"/>
      <c r="BFP46" s="248"/>
      <c r="BFQ46" s="248"/>
      <c r="BFR46" s="248"/>
      <c r="BFS46" s="248"/>
      <c r="BFT46" s="248"/>
      <c r="BFU46" s="248"/>
      <c r="BFV46" s="248"/>
      <c r="BFW46" s="248"/>
      <c r="BFX46" s="248"/>
      <c r="BFY46" s="248"/>
      <c r="BFZ46" s="248"/>
      <c r="BGA46" s="248"/>
      <c r="BGB46" s="248"/>
      <c r="BGC46" s="248"/>
      <c r="BGD46" s="248"/>
      <c r="BGE46" s="248"/>
      <c r="BGF46" s="248"/>
      <c r="BGG46" s="248"/>
      <c r="BGH46" s="248"/>
      <c r="BGI46" s="248"/>
      <c r="BGJ46" s="248"/>
      <c r="BGK46" s="248"/>
      <c r="BGL46" s="248"/>
      <c r="BGM46" s="248"/>
      <c r="BGN46" s="248"/>
      <c r="BGO46" s="248"/>
      <c r="BGP46" s="248"/>
      <c r="BGQ46" s="248"/>
      <c r="BGR46" s="248"/>
      <c r="BGS46" s="248"/>
      <c r="BGT46" s="248"/>
      <c r="BGU46" s="248"/>
      <c r="BGV46" s="248"/>
      <c r="BGW46" s="248"/>
      <c r="BGX46" s="248"/>
      <c r="BGY46" s="248"/>
      <c r="BGZ46" s="248"/>
      <c r="BHA46" s="248"/>
      <c r="BHB46" s="248"/>
      <c r="BHC46" s="248"/>
      <c r="BHD46" s="248"/>
      <c r="BHE46" s="248"/>
      <c r="BHF46" s="248"/>
      <c r="BHG46" s="248"/>
      <c r="BHH46" s="248"/>
      <c r="BHI46" s="248"/>
      <c r="BHJ46" s="248"/>
      <c r="BHK46" s="248"/>
      <c r="BHL46" s="248"/>
      <c r="BHM46" s="248"/>
      <c r="BHN46" s="248"/>
      <c r="BHO46" s="248"/>
      <c r="BHP46" s="248"/>
      <c r="BHQ46" s="248"/>
      <c r="BHR46" s="248"/>
      <c r="BHS46" s="248"/>
      <c r="BHT46" s="248"/>
      <c r="BHU46" s="248"/>
      <c r="BHV46" s="248"/>
      <c r="BHW46" s="248"/>
      <c r="BHX46" s="248"/>
      <c r="BHY46" s="248"/>
      <c r="BHZ46" s="248"/>
      <c r="BIA46" s="248"/>
      <c r="BIB46" s="248"/>
      <c r="BIC46" s="248"/>
      <c r="BID46" s="248"/>
      <c r="BIE46" s="248"/>
      <c r="BIF46" s="248"/>
      <c r="BIG46" s="248"/>
      <c r="BIH46" s="248"/>
      <c r="BII46" s="248"/>
      <c r="BIJ46" s="248"/>
      <c r="BIK46" s="248"/>
      <c r="BIL46" s="248"/>
      <c r="BIM46" s="248"/>
      <c r="BIN46" s="248"/>
      <c r="BIO46" s="248"/>
      <c r="BIP46" s="248"/>
      <c r="BIQ46" s="248"/>
      <c r="BIR46" s="248"/>
      <c r="BIS46" s="248"/>
      <c r="BIT46" s="248"/>
      <c r="BIU46" s="248"/>
      <c r="BIV46" s="248"/>
      <c r="BIW46" s="248"/>
      <c r="BIX46" s="248"/>
      <c r="BIY46" s="248"/>
      <c r="BIZ46" s="248"/>
      <c r="BJA46" s="248"/>
      <c r="BJB46" s="248"/>
      <c r="BJC46" s="248"/>
      <c r="BJD46" s="248"/>
      <c r="BJE46" s="248"/>
      <c r="BJF46" s="248"/>
      <c r="BJG46" s="248"/>
      <c r="BJH46" s="248"/>
      <c r="BJI46" s="248"/>
      <c r="BJJ46" s="248"/>
      <c r="BJK46" s="248"/>
      <c r="BJL46" s="248"/>
      <c r="BJM46" s="248"/>
      <c r="BJN46" s="248"/>
      <c r="BJO46" s="248"/>
      <c r="BJP46" s="248"/>
      <c r="BJQ46" s="248"/>
      <c r="BJR46" s="248"/>
      <c r="BJS46" s="248"/>
      <c r="BJT46" s="248"/>
      <c r="BJU46" s="248"/>
      <c r="BJV46" s="248"/>
      <c r="BJW46" s="248"/>
      <c r="BJX46" s="248"/>
      <c r="BJY46" s="248"/>
      <c r="BJZ46" s="248"/>
      <c r="BKA46" s="248"/>
      <c r="BKB46" s="248"/>
      <c r="BKC46" s="248"/>
      <c r="BKD46" s="248"/>
      <c r="BKE46" s="248"/>
      <c r="BKF46" s="248"/>
      <c r="BKG46" s="248"/>
      <c r="BKH46" s="248"/>
      <c r="BKI46" s="248"/>
      <c r="BKJ46" s="248"/>
      <c r="BKK46" s="248"/>
      <c r="BKL46" s="248"/>
      <c r="BKM46" s="248"/>
      <c r="BKN46" s="248"/>
      <c r="BKO46" s="248"/>
      <c r="BKP46" s="248"/>
      <c r="BKQ46" s="248"/>
      <c r="BKR46" s="248"/>
      <c r="BKS46" s="248"/>
      <c r="BKT46" s="248"/>
      <c r="BKU46" s="248"/>
      <c r="BKV46" s="248"/>
    </row>
    <row r="47" spans="1:1661" ht="20.100000000000001" customHeight="1" x14ac:dyDescent="0.25">
      <c r="A47" s="78" t="s">
        <v>26</v>
      </c>
      <c r="B47" s="51" t="str">
        <f>IF(LEN(C79)=0,"",C79)</f>
        <v/>
      </c>
      <c r="C47" s="209" t="s">
        <v>55</v>
      </c>
      <c r="D47" s="119" t="str">
        <f t="shared" si="0"/>
        <v>5h 10 min</v>
      </c>
      <c r="E47" s="34">
        <v>62</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73"/>
      <c r="AYA47" s="248"/>
      <c r="AYB47" s="248"/>
      <c r="AYC47" s="248"/>
      <c r="AYD47" s="248"/>
      <c r="AYE47" s="248"/>
      <c r="AYF47" s="248"/>
      <c r="AYG47" s="248"/>
      <c r="AYH47" s="248"/>
      <c r="AYI47" s="248"/>
      <c r="AYJ47" s="248"/>
      <c r="AYK47" s="248"/>
      <c r="AYL47" s="248"/>
      <c r="AYM47" s="248"/>
      <c r="AYN47" s="248"/>
      <c r="AYO47" s="248"/>
      <c r="AYP47" s="248"/>
      <c r="AYQ47" s="248"/>
      <c r="AYR47" s="248"/>
      <c r="AYS47" s="248"/>
      <c r="AYT47" s="248"/>
      <c r="AYU47" s="248"/>
      <c r="AYV47" s="248"/>
      <c r="AYW47" s="248"/>
      <c r="AYX47" s="248"/>
      <c r="AYY47" s="248"/>
      <c r="AYZ47" s="248"/>
      <c r="AZA47" s="248"/>
      <c r="AZB47" s="248"/>
      <c r="AZC47" s="248"/>
      <c r="AZD47" s="248"/>
      <c r="AZE47" s="248"/>
      <c r="AZF47" s="248"/>
      <c r="AZG47" s="248"/>
      <c r="AZH47" s="248"/>
      <c r="AZI47" s="248"/>
      <c r="AZJ47" s="248"/>
      <c r="AZK47" s="248"/>
      <c r="AZL47" s="248"/>
      <c r="AZM47" s="248"/>
      <c r="AZN47" s="248"/>
      <c r="AZO47" s="248"/>
      <c r="AZP47" s="248"/>
      <c r="AZQ47" s="248"/>
      <c r="AZR47" s="248"/>
      <c r="AZS47" s="248"/>
      <c r="AZT47" s="248"/>
      <c r="AZU47" s="248"/>
      <c r="AZV47" s="248"/>
      <c r="AZW47" s="248"/>
      <c r="AZX47" s="248"/>
      <c r="AZY47" s="248"/>
      <c r="AZZ47" s="248"/>
      <c r="BAA47" s="248"/>
      <c r="BAB47" s="248"/>
      <c r="BAC47" s="248"/>
      <c r="BAD47" s="248"/>
      <c r="BAE47" s="248"/>
      <c r="BAF47" s="248"/>
      <c r="BAG47" s="248"/>
      <c r="BAH47" s="248"/>
      <c r="BAI47" s="248"/>
      <c r="BAJ47" s="248"/>
      <c r="BAK47" s="248"/>
      <c r="BAL47" s="248"/>
      <c r="BAM47" s="248"/>
      <c r="BAN47" s="248"/>
      <c r="BAO47" s="248"/>
      <c r="BAP47" s="248"/>
      <c r="BAQ47" s="248"/>
      <c r="BAR47" s="248"/>
      <c r="BAS47" s="248"/>
      <c r="BAT47" s="248"/>
      <c r="BAU47" s="248"/>
      <c r="BAV47" s="248"/>
      <c r="BAW47" s="248"/>
      <c r="BAX47" s="248"/>
      <c r="BAY47" s="248"/>
      <c r="BAZ47" s="248"/>
      <c r="BBA47" s="248"/>
      <c r="BBB47" s="248"/>
      <c r="BBC47" s="248"/>
      <c r="BBD47" s="248"/>
      <c r="BBE47" s="248"/>
      <c r="BBF47" s="248"/>
      <c r="BBG47" s="248"/>
      <c r="BBH47" s="248"/>
      <c r="BBI47" s="248"/>
      <c r="BBJ47" s="248"/>
      <c r="BBK47" s="248"/>
      <c r="BBL47" s="248"/>
      <c r="BBM47" s="248"/>
      <c r="BBN47" s="248"/>
      <c r="BBO47" s="248"/>
      <c r="BBP47" s="248"/>
      <c r="BBQ47" s="248"/>
      <c r="BBR47" s="248"/>
      <c r="BBS47" s="248"/>
      <c r="BBT47" s="248"/>
      <c r="BBU47" s="248"/>
      <c r="BBV47" s="248"/>
      <c r="BBW47" s="248"/>
      <c r="BBX47" s="248"/>
      <c r="BBY47" s="248"/>
      <c r="BBZ47" s="248"/>
      <c r="BCA47" s="248"/>
      <c r="BCB47" s="248"/>
      <c r="BCC47" s="248"/>
      <c r="BCD47" s="248"/>
      <c r="BCE47" s="248"/>
      <c r="BCF47" s="248"/>
      <c r="BCG47" s="248"/>
      <c r="BCH47" s="248"/>
      <c r="BCI47" s="248"/>
      <c r="BCJ47" s="248"/>
      <c r="BCK47" s="248"/>
      <c r="BCL47" s="248"/>
      <c r="BCM47" s="248"/>
      <c r="BCN47" s="248"/>
      <c r="BCO47" s="248"/>
      <c r="BCP47" s="248"/>
      <c r="BCQ47" s="248"/>
      <c r="BCR47" s="248"/>
      <c r="BCS47" s="248"/>
      <c r="BCT47" s="248"/>
      <c r="BCU47" s="248"/>
      <c r="BCV47" s="248"/>
      <c r="BCW47" s="248"/>
      <c r="BCX47" s="248"/>
      <c r="BCY47" s="248"/>
      <c r="BCZ47" s="248"/>
      <c r="BDA47" s="248"/>
      <c r="BDB47" s="248"/>
      <c r="BDC47" s="248"/>
      <c r="BDD47" s="248"/>
      <c r="BDE47" s="248"/>
      <c r="BDF47" s="248"/>
      <c r="BDG47" s="248"/>
      <c r="BDH47" s="248"/>
      <c r="BDI47" s="248"/>
      <c r="BDJ47" s="248"/>
      <c r="BDK47" s="248"/>
      <c r="BDL47" s="248"/>
      <c r="BDM47" s="248"/>
      <c r="BDN47" s="248"/>
      <c r="BDO47" s="248"/>
      <c r="BDP47" s="248"/>
      <c r="BDQ47" s="248"/>
      <c r="BDR47" s="248"/>
      <c r="BDS47" s="248"/>
      <c r="BDT47" s="248"/>
      <c r="BDU47" s="248"/>
      <c r="BDV47" s="248"/>
      <c r="BDW47" s="248"/>
      <c r="BDX47" s="248"/>
      <c r="BDY47" s="248"/>
      <c r="BDZ47" s="248"/>
      <c r="BEA47" s="248"/>
      <c r="BEB47" s="248"/>
      <c r="BEC47" s="248"/>
      <c r="BED47" s="248"/>
      <c r="BEE47" s="248"/>
      <c r="BEF47" s="248"/>
      <c r="BEG47" s="248"/>
      <c r="BEH47" s="248"/>
      <c r="BEI47" s="248"/>
      <c r="BEJ47" s="248"/>
      <c r="BEK47" s="248"/>
      <c r="BEL47" s="248"/>
      <c r="BEM47" s="248"/>
      <c r="BEN47" s="248"/>
      <c r="BEO47" s="248"/>
      <c r="BEP47" s="248"/>
      <c r="BEQ47" s="248"/>
      <c r="BER47" s="248"/>
      <c r="BES47" s="248"/>
      <c r="BET47" s="248"/>
      <c r="BEU47" s="248"/>
      <c r="BEV47" s="248"/>
      <c r="BEW47" s="248"/>
      <c r="BEX47" s="248"/>
      <c r="BEY47" s="248"/>
      <c r="BEZ47" s="248"/>
      <c r="BFA47" s="248"/>
      <c r="BFB47" s="248"/>
      <c r="BFC47" s="248"/>
      <c r="BFD47" s="248"/>
      <c r="BFE47" s="248"/>
      <c r="BFF47" s="248"/>
      <c r="BFG47" s="248"/>
      <c r="BFH47" s="248"/>
      <c r="BFI47" s="248"/>
      <c r="BFJ47" s="248"/>
      <c r="BFK47" s="248"/>
      <c r="BFL47" s="248"/>
      <c r="BFM47" s="248"/>
      <c r="BFN47" s="248"/>
      <c r="BFO47" s="248"/>
      <c r="BFP47" s="248"/>
      <c r="BFQ47" s="248"/>
      <c r="BFR47" s="248"/>
      <c r="BFS47" s="248"/>
      <c r="BFT47" s="248"/>
      <c r="BFU47" s="248"/>
      <c r="BFV47" s="248"/>
      <c r="BFW47" s="248"/>
      <c r="BFX47" s="248"/>
      <c r="BFY47" s="248"/>
      <c r="BFZ47" s="248"/>
      <c r="BGA47" s="248"/>
      <c r="BGB47" s="248"/>
      <c r="BGC47" s="248"/>
      <c r="BGD47" s="248"/>
      <c r="BGE47" s="248"/>
      <c r="BGF47" s="248"/>
      <c r="BGG47" s="248"/>
      <c r="BGH47" s="248"/>
      <c r="BGI47" s="248"/>
      <c r="BGJ47" s="248"/>
      <c r="BGK47" s="248"/>
      <c r="BGL47" s="248"/>
      <c r="BGM47" s="248"/>
      <c r="BGN47" s="248"/>
      <c r="BGO47" s="248"/>
      <c r="BGP47" s="248"/>
      <c r="BGQ47" s="248"/>
      <c r="BGR47" s="248"/>
      <c r="BGS47" s="248"/>
      <c r="BGT47" s="248"/>
      <c r="BGU47" s="248"/>
      <c r="BGV47" s="248"/>
      <c r="BGW47" s="248"/>
      <c r="BGX47" s="248"/>
      <c r="BGY47" s="248"/>
      <c r="BGZ47" s="248"/>
      <c r="BHA47" s="248"/>
      <c r="BHB47" s="248"/>
      <c r="BHC47" s="248"/>
      <c r="BHD47" s="248"/>
      <c r="BHE47" s="248"/>
      <c r="BHF47" s="248"/>
      <c r="BHG47" s="248"/>
      <c r="BHH47" s="248"/>
      <c r="BHI47" s="248"/>
      <c r="BHJ47" s="248"/>
      <c r="BHK47" s="248"/>
      <c r="BHL47" s="248"/>
      <c r="BHM47" s="248"/>
      <c r="BHN47" s="248"/>
      <c r="BHO47" s="248"/>
      <c r="BHP47" s="248"/>
      <c r="BHQ47" s="248"/>
      <c r="BHR47" s="248"/>
      <c r="BHS47" s="248"/>
      <c r="BHT47" s="248"/>
      <c r="BHU47" s="248"/>
      <c r="BHV47" s="248"/>
      <c r="BHW47" s="248"/>
      <c r="BHX47" s="248"/>
      <c r="BHY47" s="248"/>
      <c r="BHZ47" s="248"/>
      <c r="BIA47" s="248"/>
      <c r="BIB47" s="248"/>
      <c r="BIC47" s="248"/>
      <c r="BID47" s="248"/>
      <c r="BIE47" s="248"/>
      <c r="BIF47" s="248"/>
      <c r="BIG47" s="248"/>
      <c r="BIH47" s="248"/>
      <c r="BII47" s="248"/>
      <c r="BIJ47" s="248"/>
      <c r="BIK47" s="248"/>
      <c r="BIL47" s="248"/>
      <c r="BIM47" s="248"/>
      <c r="BIN47" s="248"/>
      <c r="BIO47" s="248"/>
      <c r="BIP47" s="248"/>
      <c r="BIQ47" s="248"/>
      <c r="BIR47" s="248"/>
      <c r="BIS47" s="248"/>
      <c r="BIT47" s="248"/>
      <c r="BIU47" s="248"/>
      <c r="BIV47" s="248"/>
      <c r="BIW47" s="248"/>
      <c r="BIX47" s="248"/>
      <c r="BIY47" s="248"/>
      <c r="BIZ47" s="248"/>
      <c r="BJA47" s="248"/>
      <c r="BJB47" s="248"/>
      <c r="BJC47" s="248"/>
      <c r="BJD47" s="248"/>
      <c r="BJE47" s="248"/>
      <c r="BJF47" s="248"/>
      <c r="BJG47" s="248"/>
      <c r="BJH47" s="248"/>
      <c r="BJI47" s="248"/>
      <c r="BJJ47" s="248"/>
      <c r="BJK47" s="248"/>
      <c r="BJL47" s="248"/>
      <c r="BJM47" s="248"/>
      <c r="BJN47" s="248"/>
    </row>
    <row r="48" spans="1:1661" ht="20.100000000000001" customHeight="1" x14ac:dyDescent="0.3">
      <c r="A48" s="78" t="s">
        <v>28</v>
      </c>
      <c r="B48" s="51" t="str">
        <f>IF(LEN(C81)=0,"",C81)</f>
        <v/>
      </c>
      <c r="C48" s="210"/>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73"/>
      <c r="AYA48" s="248"/>
      <c r="AYB48" s="248"/>
      <c r="AYC48" s="248"/>
      <c r="AYD48" s="248"/>
      <c r="AYE48" s="248"/>
      <c r="AYF48" s="248"/>
      <c r="AYG48" s="248"/>
      <c r="AYH48" s="248"/>
      <c r="AYI48" s="248"/>
      <c r="AYJ48" s="248"/>
      <c r="AYK48" s="248"/>
      <c r="AYL48" s="248"/>
      <c r="AYM48" s="248"/>
      <c r="AYN48" s="248"/>
      <c r="AYO48" s="248"/>
      <c r="AYP48" s="248"/>
      <c r="AYQ48" s="248"/>
      <c r="AYR48" s="248"/>
      <c r="AYS48" s="248"/>
      <c r="AYT48" s="248"/>
      <c r="AYU48" s="248"/>
      <c r="AYV48" s="248"/>
      <c r="AYW48" s="248"/>
      <c r="AYX48" s="248"/>
      <c r="AYY48" s="248"/>
      <c r="AYZ48" s="248"/>
      <c r="AZA48" s="248"/>
      <c r="AZB48" s="248"/>
      <c r="AZC48" s="248"/>
      <c r="AZD48" s="248"/>
      <c r="AZE48" s="248"/>
      <c r="AZF48" s="248"/>
      <c r="AZG48" s="248"/>
      <c r="AZH48" s="248"/>
      <c r="AZI48" s="248"/>
      <c r="AZJ48" s="248"/>
      <c r="AZK48" s="248"/>
      <c r="AZL48" s="248"/>
      <c r="AZM48" s="248"/>
      <c r="AZN48" s="248"/>
      <c r="AZO48" s="248"/>
      <c r="AZP48" s="248"/>
      <c r="AZQ48" s="248"/>
      <c r="AZR48" s="248"/>
      <c r="AZS48" s="248"/>
      <c r="AZT48" s="248"/>
      <c r="AZU48" s="248"/>
      <c r="AZV48" s="248"/>
      <c r="AZW48" s="248"/>
      <c r="AZX48" s="248"/>
      <c r="AZY48" s="248"/>
      <c r="AZZ48" s="248"/>
      <c r="BAA48" s="248"/>
      <c r="BAB48" s="248"/>
      <c r="BAC48" s="248"/>
      <c r="BAD48" s="248"/>
      <c r="BAE48" s="248"/>
      <c r="BAF48" s="248"/>
      <c r="BAG48" s="248"/>
      <c r="BAH48" s="248"/>
      <c r="BAI48" s="248"/>
      <c r="BAJ48" s="248"/>
      <c r="BAK48" s="248"/>
      <c r="BAL48" s="248"/>
      <c r="BAM48" s="248"/>
      <c r="BAN48" s="248"/>
      <c r="BAO48" s="248"/>
      <c r="BAP48" s="248"/>
      <c r="BAQ48" s="248"/>
      <c r="BAR48" s="248"/>
      <c r="BAS48" s="248"/>
      <c r="BAT48" s="248"/>
      <c r="BAU48" s="248"/>
      <c r="BAV48" s="248"/>
      <c r="BAW48" s="248"/>
      <c r="BAX48" s="248"/>
      <c r="BAY48" s="248"/>
      <c r="BAZ48" s="248"/>
      <c r="BBA48" s="248"/>
      <c r="BBB48" s="248"/>
      <c r="BBC48" s="248"/>
      <c r="BBD48" s="248"/>
      <c r="BBE48" s="248"/>
      <c r="BBF48" s="248"/>
      <c r="BBG48" s="248"/>
      <c r="BBH48" s="248"/>
      <c r="BBI48" s="248"/>
      <c r="BBJ48" s="248"/>
      <c r="BBK48" s="248"/>
      <c r="BBL48" s="248"/>
      <c r="BBM48" s="248"/>
      <c r="BBN48" s="248"/>
      <c r="BBO48" s="248"/>
      <c r="BBP48" s="248"/>
      <c r="BBQ48" s="248"/>
      <c r="BBR48" s="248"/>
      <c r="BBS48" s="248"/>
      <c r="BBT48" s="248"/>
      <c r="BBU48" s="248"/>
      <c r="BBV48" s="248"/>
      <c r="BBW48" s="248"/>
      <c r="BBX48" s="248"/>
      <c r="BBY48" s="248"/>
      <c r="BBZ48" s="248"/>
      <c r="BCA48" s="248"/>
      <c r="BCB48" s="248"/>
      <c r="BCC48" s="248"/>
      <c r="BCD48" s="248"/>
      <c r="BCE48" s="248"/>
      <c r="BCF48" s="248"/>
      <c r="BCG48" s="248"/>
      <c r="BCH48" s="248"/>
      <c r="BCI48" s="248"/>
      <c r="BCJ48" s="248"/>
      <c r="BCK48" s="248"/>
      <c r="BCL48" s="248"/>
      <c r="BCM48" s="248"/>
      <c r="BCN48" s="248"/>
      <c r="BCO48" s="248"/>
      <c r="BCP48" s="248"/>
      <c r="BCQ48" s="248"/>
      <c r="BCR48" s="248"/>
      <c r="BCS48" s="248"/>
      <c r="BCT48" s="248"/>
      <c r="BCU48" s="248"/>
      <c r="BCV48" s="248"/>
      <c r="BCW48" s="248"/>
      <c r="BCX48" s="248"/>
      <c r="BCY48" s="248"/>
      <c r="BCZ48" s="248"/>
      <c r="BDA48" s="248"/>
      <c r="BDB48" s="248"/>
      <c r="BDC48" s="248"/>
      <c r="BDD48" s="248"/>
      <c r="BDE48" s="248"/>
      <c r="BDF48" s="248"/>
      <c r="BDG48" s="248"/>
      <c r="BDH48" s="248"/>
      <c r="BDI48" s="248"/>
      <c r="BDJ48" s="248"/>
      <c r="BDK48" s="248"/>
      <c r="BDL48" s="248"/>
      <c r="BDM48" s="248"/>
      <c r="BDN48" s="248"/>
      <c r="BDO48" s="248"/>
      <c r="BDP48" s="248"/>
      <c r="BDQ48" s="248"/>
      <c r="BDR48" s="248"/>
      <c r="BDS48" s="248"/>
      <c r="BDT48" s="248"/>
      <c r="BDU48" s="248"/>
      <c r="BDV48" s="248"/>
      <c r="BDW48" s="248"/>
      <c r="BDX48" s="248"/>
      <c r="BDY48" s="248"/>
      <c r="BDZ48" s="248"/>
      <c r="BEA48" s="248"/>
      <c r="BEB48" s="248"/>
      <c r="BEC48" s="248"/>
      <c r="BED48" s="248"/>
      <c r="BEE48" s="248"/>
      <c r="BEF48" s="248"/>
      <c r="BEG48" s="248"/>
      <c r="BEH48" s="248"/>
      <c r="BEI48" s="248"/>
      <c r="BEJ48" s="248"/>
      <c r="BEK48" s="248"/>
      <c r="BEL48" s="248"/>
      <c r="BEM48" s="248"/>
      <c r="BEN48" s="248"/>
      <c r="BEO48" s="248"/>
      <c r="BEP48" s="248"/>
      <c r="BEQ48" s="248"/>
      <c r="BER48" s="248"/>
      <c r="BES48" s="248"/>
      <c r="BET48" s="248"/>
      <c r="BEU48" s="248"/>
      <c r="BEV48" s="248"/>
      <c r="BEW48" s="248"/>
      <c r="BEX48" s="248"/>
      <c r="BEY48" s="248"/>
      <c r="BEZ48" s="248"/>
      <c r="BFA48" s="248"/>
      <c r="BFB48" s="248"/>
      <c r="BFC48" s="248"/>
      <c r="BFD48" s="248"/>
      <c r="BFE48" s="248"/>
      <c r="BFF48" s="248"/>
      <c r="BFG48" s="248"/>
      <c r="BFH48" s="248"/>
      <c r="BFI48" s="248"/>
      <c r="BFJ48" s="248"/>
      <c r="BFK48" s="248"/>
      <c r="BFL48" s="248"/>
      <c r="BFM48" s="248"/>
      <c r="BFN48" s="248"/>
      <c r="BFO48" s="248"/>
      <c r="BFP48" s="248"/>
      <c r="BFQ48" s="248"/>
      <c r="BFR48" s="248"/>
      <c r="BFS48" s="248"/>
      <c r="BFT48" s="248"/>
      <c r="BFU48" s="248"/>
      <c r="BFV48" s="248"/>
      <c r="BFW48" s="248"/>
      <c r="BFX48" s="248"/>
      <c r="BFY48" s="248"/>
      <c r="BFZ48" s="248"/>
      <c r="BGA48" s="248"/>
      <c r="BGB48" s="248"/>
      <c r="BGC48" s="248"/>
      <c r="BGD48" s="248"/>
      <c r="BGE48" s="248"/>
      <c r="BGF48" s="248"/>
      <c r="BGG48" s="248"/>
      <c r="BGH48" s="248"/>
      <c r="BGI48" s="248"/>
      <c r="BGJ48" s="248"/>
      <c r="BGK48" s="248"/>
      <c r="BGL48" s="248"/>
      <c r="BGM48" s="248"/>
      <c r="BGN48" s="248"/>
      <c r="BGO48" s="248"/>
      <c r="BGP48" s="248"/>
      <c r="BGQ48" s="248"/>
      <c r="BGR48" s="248"/>
      <c r="BGS48" s="248"/>
      <c r="BGT48" s="248"/>
      <c r="BGU48" s="248"/>
      <c r="BGV48" s="248"/>
      <c r="BGW48" s="248"/>
      <c r="BGX48" s="248"/>
      <c r="BGY48" s="248"/>
      <c r="BGZ48" s="248"/>
      <c r="BHA48" s="248"/>
      <c r="BHB48" s="248"/>
      <c r="BHC48" s="248"/>
      <c r="BHD48" s="248"/>
      <c r="BHE48" s="248"/>
      <c r="BHF48" s="248"/>
      <c r="BHG48" s="248"/>
      <c r="BHH48" s="248"/>
      <c r="BHI48" s="248"/>
      <c r="BHJ48" s="248"/>
      <c r="BHK48" s="248"/>
      <c r="BHL48" s="248"/>
      <c r="BHM48" s="248"/>
      <c r="BHN48" s="248"/>
      <c r="BHO48" s="248"/>
      <c r="BHP48" s="248"/>
      <c r="BHQ48" s="248"/>
      <c r="BHR48" s="248"/>
      <c r="BHS48" s="248"/>
      <c r="BHT48" s="248"/>
      <c r="BHU48" s="248"/>
      <c r="BHV48" s="248"/>
      <c r="BHW48" s="248"/>
      <c r="BHX48" s="248"/>
      <c r="BHY48" s="248"/>
      <c r="BHZ48" s="248"/>
      <c r="BIA48" s="248"/>
      <c r="BIB48" s="248"/>
      <c r="BIC48" s="248"/>
      <c r="BID48" s="248"/>
      <c r="BIE48" s="248"/>
      <c r="BIF48" s="248"/>
      <c r="BIG48" s="248"/>
      <c r="BIH48" s="248"/>
      <c r="BII48" s="248"/>
      <c r="BIJ48" s="248"/>
      <c r="BIK48" s="248"/>
      <c r="BIL48" s="248"/>
      <c r="BIM48" s="248"/>
      <c r="BIN48" s="248"/>
      <c r="BIO48" s="248"/>
      <c r="BIP48" s="248"/>
      <c r="BIQ48" s="248"/>
      <c r="BIR48" s="248"/>
      <c r="BIS48" s="248"/>
      <c r="BIT48" s="248"/>
      <c r="BIU48" s="248"/>
      <c r="BIV48" s="248"/>
      <c r="BIW48" s="248"/>
      <c r="BIX48" s="248"/>
      <c r="BIY48" s="248"/>
      <c r="BIZ48" s="248"/>
      <c r="BJA48" s="248"/>
      <c r="BJB48" s="248"/>
      <c r="BJC48" s="248"/>
      <c r="BJD48" s="248"/>
      <c r="BJE48" s="248"/>
      <c r="BJF48" s="248"/>
      <c r="BJG48" s="248"/>
      <c r="BJH48" s="248"/>
      <c r="BJI48" s="248"/>
      <c r="BJJ48" s="248"/>
      <c r="BJK48" s="248"/>
      <c r="BJL48" s="248"/>
      <c r="BJM48" s="248"/>
      <c r="BJN48" s="248"/>
      <c r="BJO48" s="248"/>
      <c r="BJP48" s="248"/>
      <c r="BJQ48" s="248"/>
      <c r="BJR48" s="248"/>
      <c r="BJS48" s="248"/>
      <c r="BJT48" s="248"/>
      <c r="BJU48" s="248"/>
      <c r="BJV48" s="248"/>
      <c r="BJW48" s="248"/>
      <c r="BJX48" s="248"/>
      <c r="BJY48" s="248"/>
      <c r="BJZ48" s="248"/>
      <c r="BKA48" s="248"/>
      <c r="BKB48" s="248"/>
      <c r="BKC48" s="248"/>
      <c r="BKD48" s="248"/>
      <c r="BKE48" s="248"/>
      <c r="BKF48" s="248"/>
      <c r="BKG48" s="248"/>
      <c r="BKH48" s="248"/>
      <c r="BKI48" s="248"/>
      <c r="BKJ48" s="248"/>
      <c r="BKK48" s="248"/>
      <c r="BKL48" s="248"/>
      <c r="BKM48" s="248"/>
      <c r="BKN48" s="248"/>
      <c r="BKO48" s="248"/>
      <c r="BKP48" s="248"/>
      <c r="BKQ48" s="248"/>
      <c r="BKR48" s="248"/>
      <c r="BKS48" s="248"/>
      <c r="BKT48" s="248"/>
      <c r="BKU48" s="248"/>
      <c r="BKV48" s="248"/>
    </row>
    <row r="49" spans="1:1660" ht="20.100000000000001" customHeight="1" x14ac:dyDescent="0.25">
      <c r="A49" s="78" t="s">
        <v>26</v>
      </c>
      <c r="B49" s="51" t="str">
        <f>IF(LEN(C83)=0,"",C83)</f>
        <v/>
      </c>
      <c r="C49" s="209" t="s">
        <v>56</v>
      </c>
      <c r="D49" s="119" t="str">
        <f t="shared" si="0"/>
        <v>6h 25 min</v>
      </c>
      <c r="E49" s="26">
        <v>77</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251"/>
      <c r="OB49" s="251"/>
      <c r="OC49" s="251"/>
      <c r="OD49" s="251"/>
      <c r="OE49" s="254"/>
      <c r="OF49" s="251"/>
      <c r="OG49" s="251"/>
      <c r="OH49" s="251"/>
      <c r="OI49" s="251"/>
      <c r="OJ49" s="251"/>
      <c r="OK49" s="253"/>
      <c r="OL49" s="251"/>
      <c r="OM49" s="251"/>
      <c r="ON49" s="251"/>
      <c r="OO49" s="251"/>
      <c r="OP49" s="251"/>
      <c r="OQ49" s="254"/>
      <c r="OR49" s="170"/>
      <c r="OS49" s="170"/>
      <c r="OT49" s="170"/>
      <c r="OU49" s="170"/>
      <c r="OV49" s="170"/>
      <c r="OW49" s="172"/>
      <c r="OX49" s="170"/>
      <c r="OY49" s="170"/>
      <c r="OZ49" s="170"/>
      <c r="PA49" s="170"/>
      <c r="PB49" s="170"/>
      <c r="PC49" s="173"/>
      <c r="PD49" s="170"/>
      <c r="PE49" s="170"/>
      <c r="PF49" s="170"/>
      <c r="PG49" s="170"/>
      <c r="PH49" s="170"/>
      <c r="PI49" s="174"/>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73"/>
      <c r="AYA49" s="248"/>
      <c r="AYB49" s="248"/>
      <c r="AYC49" s="248"/>
      <c r="AYD49" s="248"/>
      <c r="AYE49" s="248"/>
      <c r="AYF49" s="248"/>
      <c r="AYG49" s="248"/>
      <c r="AYH49" s="248"/>
      <c r="AYI49" s="248"/>
      <c r="AYJ49" s="248"/>
      <c r="AYK49" s="248"/>
      <c r="AYL49" s="248"/>
      <c r="AYM49" s="248"/>
      <c r="AYN49" s="248"/>
      <c r="AYO49" s="248"/>
      <c r="AYP49" s="248"/>
      <c r="AYQ49" s="248"/>
      <c r="AYR49" s="248"/>
      <c r="AYS49" s="248"/>
      <c r="AYT49" s="248"/>
      <c r="AYU49" s="248"/>
      <c r="AYV49" s="248"/>
      <c r="AYW49" s="248"/>
      <c r="AYX49" s="248"/>
      <c r="AYY49" s="248"/>
      <c r="AYZ49" s="248"/>
      <c r="AZA49" s="248"/>
      <c r="AZB49" s="248"/>
      <c r="AZC49" s="248"/>
      <c r="AZD49" s="248"/>
      <c r="AZE49" s="248"/>
      <c r="AZF49" s="248"/>
      <c r="AZG49" s="248"/>
      <c r="AZH49" s="248"/>
      <c r="AZI49" s="248"/>
      <c r="AZJ49" s="248"/>
      <c r="AZK49" s="248"/>
      <c r="AZL49" s="248"/>
      <c r="AZM49" s="248"/>
      <c r="AZN49" s="248"/>
      <c r="AZO49" s="248"/>
      <c r="AZP49" s="248"/>
      <c r="AZQ49" s="248"/>
      <c r="AZR49" s="248"/>
      <c r="AZS49" s="248"/>
      <c r="AZT49" s="248"/>
      <c r="AZU49" s="248"/>
      <c r="AZV49" s="248"/>
      <c r="AZW49" s="248"/>
      <c r="AZX49" s="248"/>
      <c r="AZY49" s="248"/>
      <c r="AZZ49" s="248"/>
      <c r="BAA49" s="248"/>
      <c r="BAB49" s="248"/>
      <c r="BAC49" s="248"/>
      <c r="BAD49" s="248"/>
      <c r="BAE49" s="248"/>
      <c r="BAF49" s="248"/>
      <c r="BAG49" s="248"/>
      <c r="BAH49" s="248"/>
      <c r="BAI49" s="248"/>
      <c r="BAJ49" s="248"/>
      <c r="BAK49" s="248"/>
      <c r="BAL49" s="248"/>
      <c r="BAM49" s="248"/>
      <c r="BAN49" s="248"/>
      <c r="BAO49" s="248"/>
      <c r="BAP49" s="248"/>
      <c r="BAQ49" s="248"/>
      <c r="BAR49" s="248"/>
      <c r="BAS49" s="248"/>
      <c r="BAT49" s="248"/>
      <c r="BAU49" s="248"/>
      <c r="BAV49" s="248"/>
      <c r="BAW49" s="248"/>
      <c r="BAX49" s="248"/>
      <c r="BAY49" s="248"/>
      <c r="BAZ49" s="248"/>
      <c r="BBA49" s="248"/>
      <c r="BBB49" s="248"/>
      <c r="BBC49" s="248"/>
      <c r="BBD49" s="248"/>
      <c r="BBE49" s="248"/>
      <c r="BBF49" s="248"/>
      <c r="BBG49" s="248"/>
      <c r="BBH49" s="248"/>
      <c r="BBI49" s="248"/>
      <c r="BBJ49" s="248"/>
      <c r="BBK49" s="248"/>
      <c r="BBL49" s="248"/>
      <c r="BBM49" s="248"/>
      <c r="BBN49" s="248"/>
      <c r="BBO49" s="248"/>
      <c r="BBP49" s="248"/>
      <c r="BBQ49" s="248"/>
      <c r="BBR49" s="248"/>
      <c r="BBS49" s="248"/>
      <c r="BBT49" s="248"/>
      <c r="BBU49" s="248"/>
      <c r="BBV49" s="248"/>
      <c r="BBW49" s="248"/>
      <c r="BBX49" s="248"/>
      <c r="BBY49" s="248"/>
      <c r="BBZ49" s="248"/>
      <c r="BCA49" s="248"/>
      <c r="BCB49" s="248"/>
      <c r="BCC49" s="248"/>
      <c r="BCD49" s="248"/>
      <c r="BCE49" s="248"/>
      <c r="BCF49" s="248"/>
      <c r="BCG49" s="248"/>
      <c r="BCH49" s="248"/>
      <c r="BCI49" s="248"/>
      <c r="BCJ49" s="248"/>
      <c r="BCK49" s="248"/>
      <c r="BCL49" s="248"/>
      <c r="BCM49" s="248"/>
      <c r="BCN49" s="248"/>
      <c r="BCO49" s="248"/>
      <c r="BCP49" s="248"/>
      <c r="BCQ49" s="248"/>
      <c r="BCR49" s="248"/>
      <c r="BCS49" s="248"/>
      <c r="BCT49" s="248"/>
      <c r="BCU49" s="248"/>
      <c r="BCV49" s="248"/>
      <c r="BCW49" s="248"/>
      <c r="BCX49" s="248"/>
      <c r="BCY49" s="248"/>
      <c r="BCZ49" s="248"/>
      <c r="BDA49" s="248"/>
      <c r="BDB49" s="248"/>
      <c r="BDC49" s="248"/>
      <c r="BDD49" s="248"/>
      <c r="BDE49" s="248"/>
      <c r="BDF49" s="248"/>
      <c r="BDG49" s="248"/>
      <c r="BDH49" s="248"/>
      <c r="BDI49" s="248"/>
      <c r="BDJ49" s="248"/>
      <c r="BDK49" s="248"/>
      <c r="BDL49" s="248"/>
      <c r="BDM49" s="248"/>
      <c r="BDN49" s="248"/>
      <c r="BDO49" s="248"/>
      <c r="BDP49" s="248"/>
      <c r="BDQ49" s="248"/>
      <c r="BDR49" s="248"/>
      <c r="BDS49" s="248"/>
      <c r="BDT49" s="248"/>
      <c r="BDU49" s="248"/>
      <c r="BDV49" s="248"/>
      <c r="BDW49" s="248"/>
      <c r="BDX49" s="248"/>
      <c r="BDY49" s="248"/>
      <c r="BDZ49" s="248"/>
      <c r="BEA49" s="248"/>
      <c r="BEB49" s="248"/>
      <c r="BEC49" s="248"/>
      <c r="BED49" s="248"/>
      <c r="BEE49" s="248"/>
      <c r="BEF49" s="248"/>
      <c r="BEG49" s="248"/>
      <c r="BEH49" s="248"/>
      <c r="BEI49" s="248"/>
      <c r="BEJ49" s="248"/>
      <c r="BEK49" s="248"/>
      <c r="BEL49" s="248"/>
      <c r="BEM49" s="248"/>
      <c r="BEN49" s="248"/>
      <c r="BEO49" s="248"/>
      <c r="BEP49" s="248"/>
      <c r="BEQ49" s="248"/>
      <c r="BER49" s="248"/>
      <c r="BES49" s="248"/>
      <c r="BET49" s="248"/>
      <c r="BEU49" s="248"/>
      <c r="BEV49" s="248"/>
      <c r="BEW49" s="248"/>
      <c r="BEX49" s="248"/>
      <c r="BEY49" s="248"/>
      <c r="BEZ49" s="248"/>
      <c r="BFA49" s="248"/>
      <c r="BFB49" s="248"/>
      <c r="BFC49" s="248"/>
      <c r="BFD49" s="248"/>
      <c r="BFE49" s="248"/>
      <c r="BFF49" s="248"/>
      <c r="BFG49" s="248"/>
      <c r="BFH49" s="248"/>
      <c r="BFI49" s="248"/>
      <c r="BFJ49" s="248"/>
      <c r="BFK49" s="248"/>
      <c r="BFL49" s="248"/>
      <c r="BFM49" s="248"/>
      <c r="BFN49" s="248"/>
      <c r="BFO49" s="248"/>
      <c r="BFP49" s="248"/>
      <c r="BFQ49" s="248"/>
      <c r="BFR49" s="248"/>
      <c r="BFS49" s="248"/>
      <c r="BFT49" s="248"/>
      <c r="BFU49" s="248"/>
      <c r="BFV49" s="248"/>
      <c r="BFW49" s="248"/>
      <c r="BFX49" s="248"/>
      <c r="BFY49" s="248"/>
      <c r="BFZ49" s="248"/>
      <c r="BGA49" s="248"/>
      <c r="BGB49" s="248"/>
      <c r="BGC49" s="248"/>
      <c r="BGD49" s="248"/>
      <c r="BGE49" s="248"/>
      <c r="BGF49" s="248"/>
      <c r="BGG49" s="248"/>
      <c r="BGH49" s="248"/>
      <c r="BGI49" s="248"/>
      <c r="BGJ49" s="248"/>
      <c r="BGK49" s="248"/>
      <c r="BGL49" s="248"/>
      <c r="BGM49" s="248"/>
      <c r="BGN49" s="248"/>
      <c r="BGO49" s="248"/>
      <c r="BGP49" s="248"/>
      <c r="BGQ49" s="248"/>
      <c r="BGR49" s="248"/>
      <c r="BGS49" s="248"/>
      <c r="BGT49" s="248"/>
      <c r="BGU49" s="248"/>
      <c r="BGV49" s="248"/>
      <c r="BGW49" s="248"/>
      <c r="BGX49" s="248"/>
      <c r="BGY49" s="248"/>
      <c r="BGZ49" s="248"/>
      <c r="BHA49" s="248"/>
      <c r="BHB49" s="248"/>
      <c r="BHC49" s="248"/>
      <c r="BHD49" s="248"/>
      <c r="BHE49" s="248"/>
      <c r="BHF49" s="248"/>
      <c r="BHG49" s="248"/>
      <c r="BHH49" s="248"/>
      <c r="BHI49" s="248"/>
      <c r="BHJ49" s="248"/>
      <c r="BHK49" s="248"/>
      <c r="BHL49" s="248"/>
      <c r="BHM49" s="248"/>
      <c r="BHN49" s="248"/>
      <c r="BHO49" s="248"/>
      <c r="BHP49" s="248"/>
      <c r="BHQ49" s="248"/>
      <c r="BHR49" s="248"/>
      <c r="BHS49" s="248"/>
      <c r="BHT49" s="248"/>
      <c r="BHU49" s="248"/>
      <c r="BHV49" s="248"/>
      <c r="BHW49" s="248"/>
      <c r="BHX49" s="248"/>
      <c r="BHY49" s="248"/>
      <c r="BHZ49" s="248"/>
      <c r="BIA49" s="248"/>
      <c r="BIB49" s="248"/>
      <c r="BIC49" s="248"/>
      <c r="BID49" s="248"/>
      <c r="BIE49" s="248"/>
      <c r="BIF49" s="248"/>
      <c r="BIG49" s="248"/>
      <c r="BIH49" s="248"/>
      <c r="BII49" s="248"/>
      <c r="BIJ49" s="248"/>
      <c r="BIK49" s="248"/>
      <c r="BIL49" s="248"/>
      <c r="BIM49" s="248"/>
      <c r="BIN49" s="248"/>
      <c r="BIO49" s="248"/>
      <c r="BIP49" s="248"/>
      <c r="BIQ49" s="248"/>
      <c r="BIR49" s="248"/>
      <c r="BIS49" s="248"/>
      <c r="BIT49" s="248"/>
      <c r="BIU49" s="248"/>
      <c r="BIV49" s="248"/>
      <c r="BIW49" s="248"/>
      <c r="BIX49" s="248"/>
      <c r="BIY49" s="248"/>
      <c r="BIZ49" s="248"/>
      <c r="BJA49" s="248"/>
      <c r="BJB49" s="248"/>
      <c r="BJC49" s="248"/>
      <c r="BJD49" s="248"/>
      <c r="BJE49" s="248"/>
      <c r="BJF49" s="248"/>
      <c r="BJG49" s="248"/>
      <c r="BJH49" s="248"/>
      <c r="BJI49" s="248"/>
      <c r="BJJ49" s="248"/>
      <c r="BJK49" s="248"/>
      <c r="BJL49" s="248"/>
      <c r="BJM49" s="248"/>
      <c r="BJN49" s="248"/>
    </row>
    <row r="50" spans="1:1660" ht="20.100000000000001" customHeight="1" x14ac:dyDescent="0.3">
      <c r="A50" s="78" t="s">
        <v>28</v>
      </c>
      <c r="B50" s="51" t="str">
        <f>IF(LEN(C85)=0,"",C85)</f>
        <v/>
      </c>
      <c r="C50" s="216"/>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73"/>
      <c r="AYA50" s="248"/>
      <c r="AYB50" s="248"/>
      <c r="AYC50" s="248"/>
      <c r="AYD50" s="248"/>
      <c r="AYE50" s="248"/>
      <c r="AYF50" s="248"/>
      <c r="AYG50" s="248"/>
      <c r="AYH50" s="248"/>
      <c r="AYI50" s="248"/>
      <c r="AYJ50" s="248"/>
      <c r="AYK50" s="248"/>
      <c r="AYL50" s="248"/>
      <c r="AYM50" s="248"/>
      <c r="AYN50" s="248"/>
      <c r="AYO50" s="248"/>
      <c r="AYP50" s="248"/>
      <c r="AYQ50" s="248"/>
      <c r="AYR50" s="248"/>
      <c r="AYS50" s="248"/>
      <c r="AYT50" s="248"/>
      <c r="AYU50" s="248"/>
      <c r="AYV50" s="248"/>
      <c r="AYW50" s="248"/>
      <c r="AYX50" s="248"/>
      <c r="AYY50" s="248"/>
      <c r="AYZ50" s="248"/>
      <c r="AZA50" s="248"/>
      <c r="AZB50" s="248"/>
      <c r="AZC50" s="248"/>
      <c r="AZD50" s="248"/>
      <c r="AZE50" s="248"/>
      <c r="AZF50" s="248"/>
      <c r="AZG50" s="248"/>
      <c r="AZH50" s="248"/>
      <c r="AZI50" s="248"/>
      <c r="AZJ50" s="248"/>
      <c r="AZK50" s="248"/>
      <c r="AZL50" s="248"/>
      <c r="AZM50" s="248"/>
      <c r="AZN50" s="248"/>
      <c r="AZO50" s="248"/>
      <c r="AZP50" s="248"/>
      <c r="AZQ50" s="248"/>
      <c r="AZR50" s="248"/>
      <c r="AZS50" s="248"/>
      <c r="AZT50" s="248"/>
      <c r="AZU50" s="248"/>
      <c r="AZV50" s="248"/>
      <c r="AZW50" s="248"/>
      <c r="AZX50" s="248"/>
      <c r="AZY50" s="248"/>
      <c r="AZZ50" s="248"/>
      <c r="BAA50" s="248"/>
      <c r="BAB50" s="248"/>
      <c r="BAC50" s="248"/>
      <c r="BAD50" s="248"/>
      <c r="BAE50" s="248"/>
      <c r="BAF50" s="248"/>
      <c r="BAG50" s="248"/>
      <c r="BAH50" s="248"/>
      <c r="BAI50" s="248"/>
      <c r="BAJ50" s="248"/>
      <c r="BAK50" s="248"/>
      <c r="BAL50" s="248"/>
      <c r="BAM50" s="248"/>
      <c r="BAN50" s="248"/>
      <c r="BAO50" s="248"/>
      <c r="BAP50" s="248"/>
      <c r="BAQ50" s="248"/>
      <c r="BAR50" s="248"/>
      <c r="BAS50" s="248"/>
      <c r="BAT50" s="248"/>
      <c r="BAU50" s="248"/>
      <c r="BAV50" s="248"/>
      <c r="BAW50" s="248"/>
      <c r="BAX50" s="248"/>
      <c r="BAY50" s="248"/>
      <c r="BAZ50" s="248"/>
      <c r="BBA50" s="248"/>
      <c r="BBB50" s="248"/>
      <c r="BBC50" s="248"/>
      <c r="BBD50" s="248"/>
      <c r="BBE50" s="248"/>
      <c r="BBF50" s="248"/>
      <c r="BBG50" s="248"/>
      <c r="BBH50" s="248"/>
      <c r="BBI50" s="248"/>
      <c r="BBJ50" s="248"/>
      <c r="BBK50" s="248"/>
      <c r="BBL50" s="248"/>
      <c r="BBM50" s="248"/>
      <c r="BBN50" s="248"/>
      <c r="BBO50" s="248"/>
      <c r="BBP50" s="248"/>
      <c r="BBQ50" s="248"/>
      <c r="BBR50" s="248"/>
      <c r="BBS50" s="248"/>
      <c r="BBT50" s="248"/>
      <c r="BBU50" s="248"/>
      <c r="BBV50" s="248"/>
      <c r="BBW50" s="248"/>
      <c r="BBX50" s="248"/>
      <c r="BBY50" s="248"/>
      <c r="BBZ50" s="248"/>
      <c r="BCA50" s="248"/>
      <c r="BCB50" s="248"/>
      <c r="BCC50" s="248"/>
      <c r="BCD50" s="248"/>
      <c r="BCE50" s="248"/>
      <c r="BCF50" s="248"/>
      <c r="BCG50" s="248"/>
      <c r="BCH50" s="248"/>
      <c r="BCI50" s="248"/>
      <c r="BCJ50" s="248"/>
      <c r="BCK50" s="248"/>
      <c r="BCL50" s="248"/>
      <c r="BCM50" s="248"/>
      <c r="BCN50" s="248"/>
      <c r="BCO50" s="248"/>
      <c r="BCP50" s="248"/>
      <c r="BCQ50" s="248"/>
      <c r="BCR50" s="248"/>
      <c r="BCS50" s="248"/>
      <c r="BCT50" s="248"/>
      <c r="BCU50" s="248"/>
      <c r="BCV50" s="248"/>
      <c r="BCW50" s="248"/>
      <c r="BCX50" s="248"/>
      <c r="BCY50" s="248"/>
      <c r="BCZ50" s="248"/>
      <c r="BDA50" s="248"/>
      <c r="BDB50" s="248"/>
      <c r="BDC50" s="248"/>
      <c r="BDD50" s="248"/>
      <c r="BDE50" s="248"/>
      <c r="BDF50" s="248"/>
      <c r="BDG50" s="248"/>
      <c r="BDH50" s="248"/>
      <c r="BDI50" s="248"/>
      <c r="BDJ50" s="248"/>
      <c r="BDK50" s="248"/>
      <c r="BDL50" s="248"/>
      <c r="BDM50" s="248"/>
      <c r="BDN50" s="248"/>
      <c r="BDO50" s="248"/>
      <c r="BDP50" s="248"/>
      <c r="BDQ50" s="248"/>
      <c r="BDR50" s="248"/>
      <c r="BDS50" s="248"/>
      <c r="BDT50" s="248"/>
      <c r="BDU50" s="248"/>
      <c r="BDV50" s="248"/>
      <c r="BDW50" s="248"/>
      <c r="BDX50" s="248"/>
      <c r="BDY50" s="248"/>
      <c r="BDZ50" s="248"/>
      <c r="BEA50" s="248"/>
      <c r="BEB50" s="248"/>
      <c r="BEC50" s="248"/>
      <c r="BED50" s="248"/>
      <c r="BEE50" s="248"/>
      <c r="BEF50" s="248"/>
      <c r="BEG50" s="248"/>
      <c r="BEH50" s="248"/>
      <c r="BEI50" s="248"/>
      <c r="BEJ50" s="248"/>
      <c r="BEK50" s="248"/>
      <c r="BEL50" s="248"/>
      <c r="BEM50" s="248"/>
      <c r="BEN50" s="248"/>
      <c r="BEO50" s="248"/>
      <c r="BEP50" s="248"/>
      <c r="BEQ50" s="248"/>
      <c r="BER50" s="248"/>
      <c r="BES50" s="248"/>
      <c r="BET50" s="248"/>
      <c r="BEU50" s="248"/>
      <c r="BEV50" s="248"/>
      <c r="BEW50" s="248"/>
      <c r="BEX50" s="248"/>
      <c r="BEY50" s="248"/>
      <c r="BEZ50" s="248"/>
      <c r="BFA50" s="248"/>
      <c r="BFB50" s="248"/>
      <c r="BFC50" s="248"/>
      <c r="BFD50" s="248"/>
      <c r="BFE50" s="248"/>
      <c r="BFF50" s="248"/>
      <c r="BFG50" s="248"/>
      <c r="BFH50" s="248"/>
      <c r="BFI50" s="248"/>
      <c r="BFJ50" s="248"/>
      <c r="BFK50" s="248"/>
      <c r="BFL50" s="248"/>
      <c r="BFM50" s="248"/>
      <c r="BFN50" s="248"/>
      <c r="BFO50" s="248"/>
      <c r="BFP50" s="248"/>
      <c r="BFQ50" s="248"/>
      <c r="BFR50" s="248"/>
      <c r="BFS50" s="248"/>
      <c r="BFT50" s="248"/>
      <c r="BFU50" s="248"/>
      <c r="BFV50" s="248"/>
      <c r="BFW50" s="248"/>
      <c r="BFX50" s="248"/>
      <c r="BFY50" s="248"/>
      <c r="BFZ50" s="248"/>
      <c r="BGA50" s="248"/>
      <c r="BGB50" s="248"/>
      <c r="BGC50" s="248"/>
      <c r="BGD50" s="248"/>
      <c r="BGE50" s="248"/>
      <c r="BGF50" s="248"/>
      <c r="BGG50" s="248"/>
      <c r="BGH50" s="248"/>
      <c r="BGI50" s="248"/>
      <c r="BGJ50" s="248"/>
      <c r="BGK50" s="248"/>
      <c r="BGL50" s="248"/>
      <c r="BGM50" s="248"/>
      <c r="BGN50" s="248"/>
      <c r="BGO50" s="248"/>
      <c r="BGP50" s="248"/>
      <c r="BGQ50" s="248"/>
      <c r="BGR50" s="248"/>
      <c r="BGS50" s="248"/>
      <c r="BGT50" s="248"/>
      <c r="BGU50" s="248"/>
      <c r="BGV50" s="248"/>
      <c r="BGW50" s="248"/>
      <c r="BGX50" s="248"/>
      <c r="BGY50" s="248"/>
      <c r="BGZ50" s="248"/>
      <c r="BHA50" s="248"/>
      <c r="BHB50" s="248"/>
      <c r="BHC50" s="248"/>
      <c r="BHD50" s="248"/>
      <c r="BHE50" s="248"/>
      <c r="BHF50" s="248"/>
      <c r="BHG50" s="248"/>
      <c r="BHH50" s="248"/>
      <c r="BHI50" s="248"/>
      <c r="BHJ50" s="248"/>
      <c r="BHK50" s="248"/>
      <c r="BHL50" s="248"/>
      <c r="BHM50" s="248"/>
      <c r="BHN50" s="248"/>
      <c r="BHO50" s="248"/>
      <c r="BHP50" s="248"/>
      <c r="BHQ50" s="248"/>
      <c r="BHR50" s="248"/>
      <c r="BHS50" s="248"/>
      <c r="BHT50" s="248"/>
      <c r="BHU50" s="248"/>
      <c r="BHV50" s="248"/>
      <c r="BHW50" s="248"/>
      <c r="BHX50" s="248"/>
      <c r="BHY50" s="248"/>
      <c r="BHZ50" s="248"/>
      <c r="BIA50" s="248"/>
      <c r="BIB50" s="248"/>
      <c r="BIC50" s="248"/>
      <c r="BID50" s="248"/>
      <c r="BIE50" s="248"/>
      <c r="BIF50" s="248"/>
      <c r="BIG50" s="248"/>
      <c r="BIH50" s="248"/>
      <c r="BII50" s="248"/>
      <c r="BIJ50" s="248"/>
      <c r="BIK50" s="248"/>
      <c r="BIL50" s="248"/>
      <c r="BIM50" s="248"/>
      <c r="BIN50" s="248"/>
      <c r="BIO50" s="248"/>
      <c r="BIP50" s="248"/>
      <c r="BIQ50" s="248"/>
      <c r="BIR50" s="248"/>
      <c r="BIS50" s="248"/>
      <c r="BIT50" s="248"/>
      <c r="BIU50" s="248"/>
      <c r="BIV50" s="248"/>
      <c r="BIW50" s="248"/>
      <c r="BIX50" s="248"/>
      <c r="BIY50" s="248"/>
      <c r="BIZ50" s="248"/>
      <c r="BJA50" s="248"/>
      <c r="BJB50" s="248"/>
      <c r="BJC50" s="248"/>
      <c r="BJD50" s="248"/>
      <c r="BJE50" s="248"/>
      <c r="BJF50" s="248"/>
      <c r="BJG50" s="248"/>
      <c r="BJH50" s="248"/>
      <c r="BJI50" s="248"/>
      <c r="BJJ50" s="248"/>
      <c r="BJK50" s="248"/>
      <c r="BJL50" s="248"/>
      <c r="BJM50" s="248"/>
      <c r="BJN50" s="248"/>
      <c r="BJO50" s="248"/>
      <c r="BJP50" s="248"/>
      <c r="BJQ50" s="248"/>
      <c r="BJR50" s="248"/>
      <c r="BJS50" s="248"/>
      <c r="BJT50" s="248"/>
      <c r="BJU50" s="248"/>
      <c r="BJV50" s="248"/>
      <c r="BJW50" s="248"/>
      <c r="BJX50" s="248"/>
      <c r="BJY50" s="248"/>
      <c r="BJZ50" s="248"/>
      <c r="BKA50" s="248"/>
      <c r="BKB50" s="248"/>
      <c r="BKC50" s="248"/>
      <c r="BKD50" s="248"/>
      <c r="BKE50" s="248"/>
      <c r="BKF50" s="248"/>
      <c r="BKG50" s="248"/>
      <c r="BKH50" s="248"/>
      <c r="BKI50" s="248"/>
      <c r="BKJ50" s="248"/>
      <c r="BKK50" s="248"/>
      <c r="BKL50" s="248"/>
      <c r="BKM50" s="248"/>
      <c r="BKN50" s="248"/>
      <c r="BKO50" s="248"/>
      <c r="BKP50" s="248"/>
      <c r="BKQ50" s="248"/>
      <c r="BKR50" s="248"/>
      <c r="BKS50" s="248"/>
      <c r="BKT50" s="248"/>
      <c r="BKU50" s="248"/>
      <c r="BKV50" s="248"/>
    </row>
    <row r="51" spans="1:1660" ht="20.100000000000001" customHeight="1" x14ac:dyDescent="0.25">
      <c r="A51" s="78" t="s">
        <v>26</v>
      </c>
      <c r="B51" s="51" t="str">
        <f>IF(LEN(C87)=0,"",C87)</f>
        <v/>
      </c>
      <c r="C51" s="209" t="s">
        <v>131</v>
      </c>
      <c r="D51" s="119" t="str">
        <f t="shared" si="0"/>
        <v>6h 10 min</v>
      </c>
      <c r="E51" s="34">
        <v>74</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73"/>
      <c r="AYA51" s="248"/>
      <c r="AYB51" s="248"/>
      <c r="AYC51" s="248"/>
      <c r="AYD51" s="248"/>
      <c r="AYE51" s="248"/>
      <c r="AYF51" s="248"/>
      <c r="AYG51" s="248"/>
      <c r="AYH51" s="248"/>
      <c r="AYI51" s="248"/>
      <c r="AYJ51" s="248"/>
      <c r="AYK51" s="248"/>
      <c r="AYL51" s="248"/>
      <c r="AYM51" s="248"/>
      <c r="AYN51" s="248"/>
      <c r="AYO51" s="248"/>
      <c r="AYP51" s="248"/>
      <c r="AYQ51" s="248"/>
      <c r="AYR51" s="248"/>
      <c r="AYS51" s="248"/>
      <c r="AYT51" s="248"/>
      <c r="AYU51" s="248"/>
      <c r="AYV51" s="248"/>
      <c r="AYW51" s="248"/>
      <c r="AYX51" s="248"/>
      <c r="AYY51" s="248"/>
      <c r="AYZ51" s="248"/>
      <c r="AZA51" s="248"/>
      <c r="AZB51" s="248"/>
      <c r="AZC51" s="248"/>
      <c r="AZD51" s="248"/>
      <c r="AZE51" s="248"/>
      <c r="AZF51" s="248"/>
      <c r="AZG51" s="248"/>
      <c r="AZH51" s="248"/>
      <c r="AZI51" s="248"/>
      <c r="AZJ51" s="248"/>
      <c r="AZK51" s="248"/>
      <c r="AZL51" s="248"/>
      <c r="AZM51" s="248"/>
      <c r="AZN51" s="248"/>
      <c r="AZO51" s="248"/>
      <c r="AZP51" s="248"/>
      <c r="AZQ51" s="248"/>
      <c r="AZR51" s="248"/>
      <c r="AZS51" s="248"/>
      <c r="AZT51" s="248"/>
      <c r="AZU51" s="248"/>
      <c r="AZV51" s="248"/>
      <c r="AZW51" s="248"/>
      <c r="AZX51" s="248"/>
      <c r="AZY51" s="248"/>
      <c r="AZZ51" s="248"/>
      <c r="BAA51" s="248"/>
      <c r="BAB51" s="248"/>
      <c r="BAC51" s="248"/>
      <c r="BAD51" s="248"/>
      <c r="BAE51" s="248"/>
      <c r="BAF51" s="248"/>
      <c r="BAG51" s="248"/>
      <c r="BAH51" s="248"/>
      <c r="BAI51" s="248"/>
      <c r="BAJ51" s="248"/>
      <c r="BAK51" s="248"/>
      <c r="BAL51" s="248"/>
      <c r="BAM51" s="248"/>
      <c r="BAN51" s="248"/>
      <c r="BAO51" s="248"/>
      <c r="BAP51" s="248"/>
      <c r="BAQ51" s="248"/>
      <c r="BAR51" s="248"/>
      <c r="BAS51" s="248"/>
      <c r="BAT51" s="248"/>
      <c r="BAU51" s="248"/>
      <c r="BAV51" s="248"/>
      <c r="BAW51" s="248"/>
      <c r="BAX51" s="248"/>
      <c r="BAY51" s="248"/>
      <c r="BAZ51" s="248"/>
      <c r="BBA51" s="248"/>
      <c r="BBB51" s="248"/>
      <c r="BBC51" s="248"/>
      <c r="BBD51" s="248"/>
      <c r="BBE51" s="248"/>
      <c r="BBF51" s="248"/>
      <c r="BBG51" s="248"/>
      <c r="BBH51" s="248"/>
      <c r="BBI51" s="248"/>
      <c r="BBJ51" s="248"/>
      <c r="BBK51" s="248"/>
      <c r="BBL51" s="248"/>
      <c r="BBM51" s="248"/>
      <c r="BBN51" s="248"/>
      <c r="BBO51" s="248"/>
      <c r="BBP51" s="248"/>
      <c r="BBQ51" s="248"/>
      <c r="BBR51" s="248"/>
      <c r="BBS51" s="248"/>
      <c r="BBT51" s="248"/>
      <c r="BBU51" s="248"/>
      <c r="BBV51" s="248"/>
      <c r="BBW51" s="248"/>
      <c r="BBX51" s="248"/>
      <c r="BBY51" s="248"/>
      <c r="BBZ51" s="248"/>
      <c r="BCA51" s="248"/>
      <c r="BCB51" s="248"/>
      <c r="BCC51" s="248"/>
      <c r="BCD51" s="248"/>
      <c r="BCE51" s="248"/>
      <c r="BCF51" s="248"/>
      <c r="BCG51" s="248"/>
      <c r="BCH51" s="248"/>
      <c r="BCI51" s="248"/>
      <c r="BCJ51" s="248"/>
      <c r="BCK51" s="248"/>
      <c r="BCL51" s="248"/>
      <c r="BCM51" s="248"/>
      <c r="BCN51" s="248"/>
      <c r="BCO51" s="248"/>
      <c r="BCP51" s="248"/>
      <c r="BCQ51" s="248"/>
      <c r="BCR51" s="248"/>
      <c r="BCS51" s="248"/>
      <c r="BCT51" s="248"/>
      <c r="BCU51" s="248"/>
      <c r="BCV51" s="248"/>
      <c r="BCW51" s="248"/>
      <c r="BCX51" s="248"/>
      <c r="BCY51" s="248"/>
      <c r="BCZ51" s="248"/>
      <c r="BDA51" s="248"/>
      <c r="BDB51" s="248"/>
      <c r="BDC51" s="248"/>
      <c r="BDD51" s="248"/>
      <c r="BDE51" s="248"/>
      <c r="BDF51" s="248"/>
      <c r="BDG51" s="248"/>
      <c r="BDH51" s="248"/>
      <c r="BDI51" s="248"/>
      <c r="BDJ51" s="248"/>
      <c r="BDK51" s="248"/>
      <c r="BDL51" s="248"/>
      <c r="BDM51" s="248"/>
      <c r="BDN51" s="248"/>
      <c r="BDO51" s="248"/>
      <c r="BDP51" s="248"/>
      <c r="BDQ51" s="248"/>
      <c r="BDR51" s="248"/>
      <c r="BDS51" s="248"/>
      <c r="BDT51" s="248"/>
      <c r="BDU51" s="248"/>
      <c r="BDV51" s="248"/>
      <c r="BDW51" s="248"/>
      <c r="BDX51" s="248"/>
      <c r="BDY51" s="248"/>
      <c r="BDZ51" s="248"/>
      <c r="BEA51" s="248"/>
      <c r="BEB51" s="248"/>
      <c r="BEC51" s="248"/>
      <c r="BED51" s="248"/>
      <c r="BEE51" s="248"/>
      <c r="BEF51" s="248"/>
      <c r="BEG51" s="248"/>
      <c r="BEH51" s="248"/>
      <c r="BEI51" s="248"/>
      <c r="BEJ51" s="248"/>
      <c r="BEK51" s="248"/>
      <c r="BEL51" s="248"/>
      <c r="BEM51" s="248"/>
      <c r="BEN51" s="248"/>
      <c r="BEO51" s="248"/>
      <c r="BEP51" s="248"/>
      <c r="BEQ51" s="248"/>
      <c r="BER51" s="248"/>
      <c r="BES51" s="248"/>
      <c r="BET51" s="248"/>
      <c r="BEU51" s="248"/>
      <c r="BEV51" s="248"/>
      <c r="BEW51" s="248"/>
      <c r="BEX51" s="248"/>
      <c r="BEY51" s="248"/>
      <c r="BEZ51" s="248"/>
      <c r="BFA51" s="248"/>
      <c r="BFB51" s="248"/>
      <c r="BFC51" s="248"/>
      <c r="BFD51" s="248"/>
      <c r="BFE51" s="248"/>
      <c r="BFF51" s="248"/>
      <c r="BFG51" s="248"/>
      <c r="BFH51" s="248"/>
      <c r="BFI51" s="248"/>
      <c r="BFJ51" s="248"/>
      <c r="BFK51" s="248"/>
      <c r="BFL51" s="248"/>
      <c r="BFM51" s="248"/>
      <c r="BFN51" s="248"/>
      <c r="BFO51" s="248"/>
      <c r="BFP51" s="248"/>
      <c r="BFQ51" s="248"/>
      <c r="BFR51" s="248"/>
      <c r="BFS51" s="248"/>
      <c r="BFT51" s="248"/>
      <c r="BFU51" s="248"/>
      <c r="BFV51" s="248"/>
      <c r="BFW51" s="248"/>
      <c r="BFX51" s="248"/>
      <c r="BFY51" s="248"/>
      <c r="BFZ51" s="248"/>
      <c r="BGA51" s="248"/>
      <c r="BGB51" s="248"/>
      <c r="BGC51" s="248"/>
      <c r="BGD51" s="248"/>
      <c r="BGE51" s="248"/>
      <c r="BGF51" s="248"/>
      <c r="BGG51" s="248"/>
      <c r="BGH51" s="248"/>
      <c r="BGI51" s="248"/>
      <c r="BGJ51" s="248"/>
      <c r="BGK51" s="248"/>
      <c r="BGL51" s="248"/>
      <c r="BGM51" s="248"/>
      <c r="BGN51" s="248"/>
      <c r="BGO51" s="248"/>
      <c r="BGP51" s="248"/>
      <c r="BGQ51" s="248"/>
      <c r="BGR51" s="248"/>
      <c r="BGS51" s="248"/>
      <c r="BGT51" s="248"/>
      <c r="BGU51" s="248"/>
      <c r="BGV51" s="248"/>
      <c r="BGW51" s="248"/>
      <c r="BGX51" s="248"/>
      <c r="BGY51" s="248"/>
      <c r="BGZ51" s="248"/>
      <c r="BHA51" s="248"/>
      <c r="BHB51" s="248"/>
      <c r="BHC51" s="248"/>
      <c r="BHD51" s="248"/>
      <c r="BHE51" s="248"/>
      <c r="BHF51" s="248"/>
      <c r="BHG51" s="248"/>
      <c r="BHH51" s="248"/>
      <c r="BHI51" s="248"/>
      <c r="BHJ51" s="248"/>
      <c r="BHK51" s="248"/>
      <c r="BHL51" s="248"/>
      <c r="BHM51" s="248"/>
      <c r="BHN51" s="248"/>
      <c r="BHO51" s="248"/>
      <c r="BHP51" s="248"/>
      <c r="BHQ51" s="248"/>
      <c r="BHR51" s="248"/>
      <c r="BHS51" s="248"/>
      <c r="BHT51" s="248"/>
      <c r="BHU51" s="248"/>
      <c r="BHV51" s="248"/>
      <c r="BHW51" s="248"/>
      <c r="BHX51" s="248"/>
      <c r="BHY51" s="248"/>
      <c r="BHZ51" s="248"/>
      <c r="BIA51" s="248"/>
      <c r="BIB51" s="248"/>
      <c r="BIC51" s="248"/>
      <c r="BID51" s="248"/>
      <c r="BIE51" s="248"/>
      <c r="BIF51" s="248"/>
      <c r="BIG51" s="248"/>
      <c r="BIH51" s="248"/>
      <c r="BII51" s="248"/>
      <c r="BIJ51" s="248"/>
      <c r="BIK51" s="248"/>
      <c r="BIL51" s="248"/>
      <c r="BIM51" s="248"/>
      <c r="BIN51" s="248"/>
      <c r="BIO51" s="248"/>
      <c r="BIP51" s="248"/>
      <c r="BIQ51" s="248"/>
      <c r="BIR51" s="248"/>
      <c r="BIS51" s="248"/>
      <c r="BIT51" s="248"/>
      <c r="BIU51" s="248"/>
      <c r="BIV51" s="248"/>
      <c r="BIW51" s="248"/>
      <c r="BIX51" s="248"/>
      <c r="BIY51" s="248"/>
      <c r="BIZ51" s="248"/>
      <c r="BJA51" s="248"/>
      <c r="BJB51" s="248"/>
      <c r="BJC51" s="248"/>
      <c r="BJD51" s="248"/>
      <c r="BJE51" s="248"/>
      <c r="BJF51" s="248"/>
      <c r="BJG51" s="248"/>
      <c r="BJH51" s="248"/>
      <c r="BJI51" s="248"/>
      <c r="BJJ51" s="248"/>
      <c r="BJK51" s="248"/>
      <c r="BJL51" s="248"/>
      <c r="BJM51" s="248"/>
      <c r="BJN51" s="248"/>
    </row>
    <row r="52" spans="1:1660" ht="20.100000000000001" customHeight="1" x14ac:dyDescent="0.25">
      <c r="A52" s="78" t="s">
        <v>28</v>
      </c>
      <c r="B52" s="51" t="str">
        <f>IF(LEN(C89)=0,"",C89)</f>
        <v/>
      </c>
      <c r="C52" s="216"/>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73"/>
      <c r="AYA52" s="248"/>
      <c r="AYB52" s="248"/>
      <c r="AYC52" s="248"/>
      <c r="AYD52" s="248"/>
      <c r="AYE52" s="248"/>
      <c r="AYF52" s="248"/>
      <c r="AYG52" s="248"/>
      <c r="AYH52" s="248"/>
      <c r="AYI52" s="248"/>
      <c r="AYJ52" s="248"/>
      <c r="AYK52" s="248"/>
      <c r="AYL52" s="248"/>
      <c r="AYM52" s="248"/>
      <c r="AYN52" s="248"/>
      <c r="AYO52" s="248"/>
      <c r="AYP52" s="248"/>
      <c r="AYQ52" s="248"/>
      <c r="AYR52" s="248"/>
      <c r="AYS52" s="248"/>
      <c r="AYT52" s="248"/>
      <c r="AYU52" s="248"/>
      <c r="AYV52" s="248"/>
      <c r="AYW52" s="248"/>
      <c r="AYX52" s="248"/>
      <c r="AYY52" s="248"/>
      <c r="AYZ52" s="248"/>
      <c r="AZA52" s="248"/>
      <c r="AZB52" s="248"/>
      <c r="AZC52" s="248"/>
      <c r="AZD52" s="248"/>
      <c r="AZE52" s="248"/>
      <c r="AZF52" s="248"/>
      <c r="AZG52" s="248"/>
      <c r="AZH52" s="248"/>
      <c r="AZI52" s="248"/>
      <c r="AZJ52" s="248"/>
      <c r="AZK52" s="248"/>
      <c r="AZL52" s="248"/>
      <c r="AZM52" s="248"/>
      <c r="AZN52" s="248"/>
      <c r="AZO52" s="248"/>
      <c r="AZP52" s="248"/>
      <c r="AZQ52" s="248"/>
      <c r="AZR52" s="248"/>
      <c r="AZS52" s="248"/>
      <c r="AZT52" s="248"/>
      <c r="AZU52" s="248"/>
      <c r="AZV52" s="248"/>
      <c r="AZW52" s="248"/>
      <c r="AZX52" s="248"/>
      <c r="AZY52" s="248"/>
      <c r="AZZ52" s="248"/>
      <c r="BAA52" s="248"/>
      <c r="BAB52" s="248"/>
      <c r="BAC52" s="248"/>
      <c r="BAD52" s="248"/>
      <c r="BAE52" s="248"/>
      <c r="BAF52" s="248"/>
      <c r="BAG52" s="248"/>
      <c r="BAH52" s="248"/>
      <c r="BAI52" s="248"/>
      <c r="BAJ52" s="248"/>
      <c r="BAK52" s="248"/>
      <c r="BAL52" s="248"/>
      <c r="BAM52" s="248"/>
      <c r="BAN52" s="248"/>
      <c r="BAO52" s="248"/>
      <c r="BAP52" s="248"/>
      <c r="BAQ52" s="248"/>
      <c r="BAR52" s="248"/>
      <c r="BAS52" s="248"/>
      <c r="BAT52" s="248"/>
      <c r="BAU52" s="248"/>
      <c r="BAV52" s="248"/>
      <c r="BAW52" s="248"/>
      <c r="BAX52" s="248"/>
      <c r="BAY52" s="248"/>
      <c r="BAZ52" s="248"/>
      <c r="BBA52" s="248"/>
      <c r="BBB52" s="248"/>
      <c r="BBC52" s="248"/>
      <c r="BBD52" s="248"/>
      <c r="BBE52" s="248"/>
      <c r="BBF52" s="248"/>
      <c r="BBG52" s="248"/>
      <c r="BBH52" s="248"/>
      <c r="BBI52" s="248"/>
      <c r="BBJ52" s="248"/>
      <c r="BBK52" s="248"/>
      <c r="BBL52" s="248"/>
      <c r="BBM52" s="248"/>
      <c r="BBN52" s="248"/>
      <c r="BBO52" s="248"/>
      <c r="BBP52" s="248"/>
      <c r="BBQ52" s="248"/>
      <c r="BBR52" s="248"/>
      <c r="BBS52" s="248"/>
      <c r="BBT52" s="248"/>
      <c r="BBU52" s="248"/>
      <c r="BBV52" s="248"/>
      <c r="BBW52" s="248"/>
      <c r="BBX52" s="248"/>
      <c r="BBY52" s="248"/>
      <c r="BBZ52" s="248"/>
      <c r="BCA52" s="248"/>
      <c r="BCB52" s="248"/>
      <c r="BCC52" s="248"/>
      <c r="BCD52" s="248"/>
      <c r="BCE52" s="248"/>
      <c r="BCF52" s="248"/>
      <c r="BCG52" s="248"/>
      <c r="BCH52" s="248"/>
      <c r="BCI52" s="248"/>
      <c r="BCJ52" s="248"/>
      <c r="BCK52" s="248"/>
      <c r="BCL52" s="248"/>
      <c r="BCM52" s="248"/>
      <c r="BCN52" s="248"/>
      <c r="BCO52" s="248"/>
      <c r="BCP52" s="248"/>
      <c r="BCQ52" s="248"/>
      <c r="BCR52" s="248"/>
      <c r="BCS52" s="248"/>
      <c r="BCT52" s="248"/>
      <c r="BCU52" s="248"/>
      <c r="BCV52" s="248"/>
      <c r="BCW52" s="248"/>
      <c r="BCX52" s="248"/>
      <c r="BCY52" s="248"/>
      <c r="BCZ52" s="248"/>
      <c r="BDA52" s="248"/>
      <c r="BDB52" s="248"/>
      <c r="BDC52" s="248"/>
      <c r="BDD52" s="248"/>
      <c r="BDE52" s="248"/>
      <c r="BDF52" s="248"/>
      <c r="BDG52" s="248"/>
      <c r="BDH52" s="248"/>
      <c r="BDI52" s="248"/>
      <c r="BDJ52" s="248"/>
      <c r="BDK52" s="248"/>
      <c r="BDL52" s="248"/>
      <c r="BDM52" s="248"/>
      <c r="BDN52" s="248"/>
      <c r="BDO52" s="248"/>
      <c r="BDP52" s="248"/>
      <c r="BDQ52" s="248"/>
      <c r="BDR52" s="248"/>
      <c r="BDS52" s="248"/>
      <c r="BDT52" s="248"/>
      <c r="BDU52" s="248"/>
      <c r="BDV52" s="248"/>
      <c r="BDW52" s="248"/>
      <c r="BDX52" s="248"/>
      <c r="BDY52" s="248"/>
      <c r="BDZ52" s="248"/>
      <c r="BEA52" s="248"/>
      <c r="BEB52" s="248"/>
      <c r="BEC52" s="248"/>
      <c r="BED52" s="248"/>
      <c r="BEE52" s="248"/>
      <c r="BEF52" s="248"/>
      <c r="BEG52" s="248"/>
      <c r="BEH52" s="248"/>
      <c r="BEI52" s="248"/>
      <c r="BEJ52" s="248"/>
      <c r="BEK52" s="248"/>
      <c r="BEL52" s="248"/>
      <c r="BEM52" s="248"/>
      <c r="BEN52" s="248"/>
      <c r="BEO52" s="248"/>
      <c r="BEP52" s="248"/>
      <c r="BEQ52" s="248"/>
      <c r="BER52" s="248"/>
      <c r="BES52" s="248"/>
      <c r="BET52" s="248"/>
      <c r="BEU52" s="248"/>
      <c r="BEV52" s="248"/>
      <c r="BEW52" s="248"/>
      <c r="BEX52" s="248"/>
      <c r="BEY52" s="248"/>
      <c r="BEZ52" s="248"/>
      <c r="BFA52" s="248"/>
      <c r="BFB52" s="248"/>
      <c r="BFC52" s="248"/>
      <c r="BFD52" s="248"/>
      <c r="BFE52" s="248"/>
      <c r="BFF52" s="248"/>
      <c r="BFG52" s="248"/>
      <c r="BFH52" s="248"/>
      <c r="BFI52" s="248"/>
      <c r="BFJ52" s="248"/>
      <c r="BFK52" s="248"/>
      <c r="BFL52" s="248"/>
      <c r="BFM52" s="248"/>
      <c r="BFN52" s="248"/>
      <c r="BFO52" s="248"/>
      <c r="BFP52" s="248"/>
      <c r="BFQ52" s="248"/>
      <c r="BFR52" s="248"/>
      <c r="BFS52" s="248"/>
      <c r="BFT52" s="248"/>
      <c r="BFU52" s="248"/>
      <c r="BFV52" s="248"/>
      <c r="BFW52" s="248"/>
      <c r="BFX52" s="248"/>
      <c r="BFY52" s="248"/>
      <c r="BFZ52" s="248"/>
      <c r="BGA52" s="248"/>
      <c r="BGB52" s="248"/>
      <c r="BGC52" s="248"/>
      <c r="BGD52" s="248"/>
      <c r="BGE52" s="248"/>
      <c r="BGF52" s="248"/>
      <c r="BGG52" s="248"/>
      <c r="BGH52" s="248"/>
      <c r="BGI52" s="248"/>
      <c r="BGJ52" s="248"/>
      <c r="BGK52" s="248"/>
      <c r="BGL52" s="248"/>
      <c r="BGM52" s="248"/>
      <c r="BGN52" s="248"/>
      <c r="BGO52" s="248"/>
      <c r="BGP52" s="248"/>
      <c r="BGQ52" s="248"/>
      <c r="BGR52" s="248"/>
      <c r="BGS52" s="248"/>
      <c r="BGT52" s="248"/>
      <c r="BGU52" s="248"/>
      <c r="BGV52" s="248"/>
      <c r="BGW52" s="248"/>
      <c r="BGX52" s="248"/>
      <c r="BGY52" s="248"/>
      <c r="BGZ52" s="248"/>
      <c r="BHA52" s="248"/>
      <c r="BHB52" s="248"/>
      <c r="BHC52" s="248"/>
      <c r="BHD52" s="248"/>
      <c r="BHE52" s="248"/>
      <c r="BHF52" s="248"/>
      <c r="BHG52" s="248"/>
      <c r="BHH52" s="248"/>
      <c r="BHI52" s="248"/>
      <c r="BHJ52" s="248"/>
      <c r="BHK52" s="248"/>
      <c r="BHL52" s="248"/>
      <c r="BHM52" s="248"/>
      <c r="BHN52" s="248"/>
      <c r="BHO52" s="248"/>
      <c r="BHP52" s="248"/>
      <c r="BHQ52" s="248"/>
      <c r="BHR52" s="248"/>
      <c r="BHS52" s="248"/>
      <c r="BHT52" s="248"/>
      <c r="BHU52" s="248"/>
      <c r="BHV52" s="248"/>
      <c r="BHW52" s="248"/>
      <c r="BHX52" s="248"/>
      <c r="BHY52" s="248"/>
      <c r="BHZ52" s="248"/>
      <c r="BIA52" s="248"/>
      <c r="BIB52" s="248"/>
      <c r="BIC52" s="248"/>
      <c r="BID52" s="248"/>
      <c r="BIE52" s="248"/>
      <c r="BIF52" s="248"/>
      <c r="BIG52" s="248"/>
      <c r="BIH52" s="248"/>
      <c r="BII52" s="248"/>
      <c r="BIJ52" s="248"/>
      <c r="BIK52" s="248"/>
      <c r="BIL52" s="248"/>
      <c r="BIM52" s="248"/>
      <c r="BIN52" s="248"/>
      <c r="BIO52" s="248"/>
      <c r="BIP52" s="248"/>
      <c r="BIQ52" s="248"/>
      <c r="BIR52" s="248"/>
      <c r="BIS52" s="248"/>
      <c r="BIT52" s="248"/>
      <c r="BIU52" s="248"/>
      <c r="BIV52" s="248"/>
      <c r="BIW52" s="248"/>
      <c r="BIX52" s="248"/>
      <c r="BIY52" s="248"/>
      <c r="BIZ52" s="248"/>
      <c r="BJA52" s="248"/>
      <c r="BJB52" s="248"/>
      <c r="BJC52" s="248"/>
      <c r="BJD52" s="248"/>
      <c r="BJE52" s="248"/>
      <c r="BJF52" s="248"/>
      <c r="BJG52" s="248"/>
      <c r="BJH52" s="248"/>
      <c r="BJI52" s="248"/>
      <c r="BJJ52" s="248"/>
      <c r="BJK52" s="248"/>
      <c r="BJL52" s="248"/>
      <c r="BJM52" s="248"/>
      <c r="BJN52" s="248"/>
      <c r="BJO52" s="248"/>
      <c r="BJP52" s="248"/>
      <c r="BJQ52" s="248"/>
      <c r="BJR52" s="248"/>
      <c r="BJS52" s="248"/>
      <c r="BJT52" s="248"/>
      <c r="BJU52" s="248"/>
      <c r="BJV52" s="248"/>
      <c r="BJW52" s="248"/>
      <c r="BJX52" s="248"/>
      <c r="BJY52" s="248"/>
      <c r="BJZ52" s="248"/>
      <c r="BKA52" s="248"/>
      <c r="BKB52" s="248"/>
      <c r="BKC52" s="248"/>
      <c r="BKD52" s="248"/>
      <c r="BKE52" s="248"/>
      <c r="BKF52" s="248"/>
      <c r="BKG52" s="248"/>
      <c r="BKH52" s="248"/>
      <c r="BKI52" s="248"/>
      <c r="BKJ52" s="248"/>
      <c r="BKK52" s="248"/>
      <c r="BKL52" s="248"/>
      <c r="BKM52" s="248"/>
      <c r="BKN52" s="248"/>
      <c r="BKO52" s="248"/>
      <c r="BKP52" s="248"/>
      <c r="BKQ52" s="248"/>
      <c r="BKR52" s="248"/>
      <c r="BKS52" s="248"/>
      <c r="BKT52" s="248"/>
      <c r="BKU52" s="248"/>
      <c r="BKV52" s="248"/>
    </row>
    <row r="53" spans="1:1660" ht="20.100000000000001" customHeight="1" x14ac:dyDescent="0.25">
      <c r="A53" s="78" t="s">
        <v>26</v>
      </c>
      <c r="B53" s="51" t="str">
        <f>IF(LEN(C91)=0,"",C91)</f>
        <v/>
      </c>
      <c r="C53" s="209" t="s">
        <v>57</v>
      </c>
      <c r="D53" s="119" t="str">
        <f t="shared" si="0"/>
        <v>10h 50 min</v>
      </c>
      <c r="E53" s="26">
        <v>130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73"/>
      <c r="AYA53" s="248"/>
      <c r="AYB53" s="248"/>
      <c r="AYC53" s="248"/>
      <c r="AYD53" s="248"/>
      <c r="AYE53" s="248"/>
      <c r="AYF53" s="248"/>
      <c r="AYG53" s="248"/>
      <c r="AYH53" s="248"/>
      <c r="AYI53" s="248"/>
      <c r="AYJ53" s="248"/>
      <c r="AYK53" s="248"/>
      <c r="AYL53" s="248"/>
      <c r="AYM53" s="248"/>
      <c r="AYN53" s="248"/>
      <c r="AYO53" s="248"/>
      <c r="AYP53" s="248"/>
      <c r="AYQ53" s="248"/>
      <c r="AYR53" s="248"/>
      <c r="AYS53" s="248"/>
      <c r="AYT53" s="248"/>
      <c r="AYU53" s="248"/>
      <c r="AYV53" s="248"/>
      <c r="AYW53" s="248"/>
      <c r="AYX53" s="248"/>
      <c r="AYY53" s="248"/>
      <c r="AYZ53" s="248"/>
      <c r="AZA53" s="248"/>
      <c r="AZB53" s="248"/>
      <c r="AZC53" s="248"/>
      <c r="AZD53" s="248"/>
      <c r="AZE53" s="248"/>
      <c r="AZF53" s="248"/>
      <c r="AZG53" s="248"/>
      <c r="AZH53" s="248"/>
      <c r="AZI53" s="248"/>
      <c r="AZJ53" s="248"/>
      <c r="AZK53" s="248"/>
      <c r="AZL53" s="248"/>
      <c r="AZM53" s="248"/>
      <c r="AZN53" s="248"/>
      <c r="AZO53" s="248"/>
      <c r="AZP53" s="248"/>
      <c r="AZQ53" s="248"/>
      <c r="AZR53" s="248"/>
      <c r="AZS53" s="248"/>
      <c r="AZT53" s="248"/>
      <c r="AZU53" s="248"/>
      <c r="AZV53" s="248"/>
      <c r="AZW53" s="248"/>
      <c r="AZX53" s="248"/>
      <c r="AZY53" s="248"/>
      <c r="AZZ53" s="248"/>
      <c r="BAA53" s="248"/>
      <c r="BAB53" s="248"/>
      <c r="BAC53" s="248"/>
      <c r="BAD53" s="248"/>
      <c r="BAE53" s="248"/>
      <c r="BAF53" s="248"/>
      <c r="BAG53" s="248"/>
      <c r="BAH53" s="248"/>
      <c r="BAI53" s="248"/>
      <c r="BAJ53" s="248"/>
      <c r="BAK53" s="248"/>
      <c r="BAL53" s="248"/>
      <c r="BAM53" s="248"/>
      <c r="BAN53" s="248"/>
      <c r="BAO53" s="248"/>
      <c r="BAP53" s="248"/>
      <c r="BAQ53" s="248"/>
      <c r="BAR53" s="248"/>
      <c r="BAS53" s="248"/>
      <c r="BAT53" s="248"/>
      <c r="BAU53" s="248"/>
      <c r="BAV53" s="248"/>
      <c r="BAW53" s="248"/>
      <c r="BAX53" s="248"/>
      <c r="BAY53" s="248"/>
      <c r="BAZ53" s="248"/>
      <c r="BBA53" s="248"/>
      <c r="BBB53" s="248"/>
      <c r="BBC53" s="248"/>
      <c r="BBD53" s="248"/>
      <c r="BBE53" s="248"/>
      <c r="BBF53" s="248"/>
      <c r="BBG53" s="248"/>
      <c r="BBH53" s="248"/>
      <c r="BBI53" s="248"/>
      <c r="BBJ53" s="248"/>
      <c r="BBK53" s="248"/>
      <c r="BBL53" s="248"/>
      <c r="BBM53" s="248"/>
      <c r="BBN53" s="248"/>
      <c r="BBO53" s="248"/>
      <c r="BBP53" s="248"/>
      <c r="BBQ53" s="248"/>
      <c r="BBR53" s="248"/>
      <c r="BBS53" s="248"/>
      <c r="BBT53" s="248"/>
      <c r="BBU53" s="248"/>
      <c r="BBV53" s="248"/>
      <c r="BBW53" s="248"/>
      <c r="BBX53" s="248"/>
      <c r="BBY53" s="248"/>
      <c r="BBZ53" s="248"/>
      <c r="BCA53" s="248"/>
      <c r="BCB53" s="248"/>
      <c r="BCC53" s="248"/>
      <c r="BCD53" s="248"/>
      <c r="BCE53" s="248"/>
      <c r="BCF53" s="248"/>
      <c r="BCG53" s="248"/>
      <c r="BCH53" s="248"/>
      <c r="BCI53" s="248"/>
      <c r="BCJ53" s="248"/>
      <c r="BCK53" s="248"/>
      <c r="BCL53" s="248"/>
      <c r="BCM53" s="248"/>
      <c r="BCN53" s="248"/>
      <c r="BCO53" s="248"/>
      <c r="BCP53" s="248"/>
      <c r="BCQ53" s="248"/>
      <c r="BCR53" s="248"/>
      <c r="BCS53" s="248"/>
      <c r="BCT53" s="248"/>
      <c r="BCU53" s="248"/>
      <c r="BCV53" s="248"/>
      <c r="BCW53" s="248"/>
      <c r="BCX53" s="248"/>
      <c r="BCY53" s="248"/>
      <c r="BCZ53" s="248"/>
      <c r="BDA53" s="248"/>
      <c r="BDB53" s="248"/>
      <c r="BDC53" s="248"/>
      <c r="BDD53" s="248"/>
      <c r="BDE53" s="248"/>
      <c r="BDF53" s="248"/>
      <c r="BDG53" s="248"/>
      <c r="BDH53" s="248"/>
      <c r="BDI53" s="248"/>
      <c r="BDJ53" s="248"/>
      <c r="BDK53" s="248"/>
      <c r="BDL53" s="248"/>
      <c r="BDM53" s="248"/>
      <c r="BDN53" s="248"/>
      <c r="BDO53" s="248"/>
      <c r="BDP53" s="249"/>
      <c r="BDQ53" s="249"/>
      <c r="BDR53" s="249"/>
      <c r="BDS53" s="249"/>
      <c r="BDT53" s="249"/>
      <c r="BDU53" s="249"/>
      <c r="BDV53" s="249"/>
      <c r="BDW53" s="249"/>
      <c r="BDX53" s="249"/>
      <c r="BDY53" s="249"/>
      <c r="BDZ53" s="249"/>
      <c r="BEA53" s="249"/>
      <c r="BEB53" s="249"/>
      <c r="BEC53" s="249"/>
      <c r="BED53" s="249"/>
      <c r="BEE53" s="249"/>
      <c r="BEF53" s="248"/>
      <c r="BEG53" s="248"/>
      <c r="BEH53" s="248"/>
      <c r="BEI53" s="248"/>
      <c r="BEJ53" s="248"/>
      <c r="BEK53" s="248"/>
      <c r="BEL53" s="248"/>
      <c r="BEM53" s="248"/>
      <c r="BEN53" s="248"/>
      <c r="BEO53" s="248"/>
      <c r="BEP53" s="248"/>
      <c r="BEQ53" s="248"/>
      <c r="BER53" s="248"/>
      <c r="BES53" s="248"/>
      <c r="BET53" s="248"/>
      <c r="BEU53" s="248"/>
      <c r="BEV53" s="248"/>
      <c r="BEW53" s="248"/>
      <c r="BEX53" s="248"/>
      <c r="BEY53" s="248"/>
      <c r="BEZ53" s="249"/>
      <c r="BFA53" s="249"/>
      <c r="BFB53" s="249"/>
      <c r="BFC53" s="249"/>
      <c r="BFD53" s="249"/>
      <c r="BFE53" s="249"/>
      <c r="BFF53" s="249"/>
      <c r="BFG53" s="249"/>
      <c r="BFH53" s="249"/>
      <c r="BFI53" s="249"/>
      <c r="BFJ53" s="249"/>
      <c r="BFK53" s="249"/>
      <c r="BFL53" s="249"/>
      <c r="BFM53" s="249"/>
      <c r="BFN53" s="249"/>
      <c r="BFO53" s="249"/>
      <c r="BFP53" s="248"/>
      <c r="BFQ53" s="248"/>
      <c r="BFR53" s="248"/>
      <c r="BFS53" s="248"/>
      <c r="BFT53" s="248"/>
      <c r="BFU53" s="248"/>
      <c r="BFV53" s="248"/>
      <c r="BFW53" s="248"/>
      <c r="BFX53" s="248"/>
      <c r="BFY53" s="248"/>
      <c r="BFZ53" s="248"/>
      <c r="BGA53" s="248"/>
      <c r="BGB53" s="248"/>
      <c r="BGC53" s="248"/>
      <c r="BGD53" s="248"/>
      <c r="BGE53" s="248"/>
      <c r="BGF53" s="248"/>
      <c r="BGG53" s="248"/>
      <c r="BGH53" s="248"/>
      <c r="BGI53" s="248"/>
      <c r="BGJ53" s="248"/>
      <c r="BGK53" s="248"/>
      <c r="BGL53" s="248"/>
      <c r="BGM53" s="248"/>
      <c r="BGN53" s="248"/>
      <c r="BGO53" s="248"/>
      <c r="BGP53" s="248"/>
      <c r="BGQ53" s="248"/>
      <c r="BGR53" s="248"/>
      <c r="BGS53" s="248"/>
      <c r="BGT53" s="248"/>
      <c r="BGU53" s="248"/>
      <c r="BGV53" s="248"/>
      <c r="BGW53" s="248"/>
      <c r="BGX53" s="248"/>
      <c r="BGY53" s="248"/>
      <c r="BGZ53" s="248"/>
      <c r="BHA53" s="248"/>
      <c r="BHB53" s="248"/>
      <c r="BHC53" s="248"/>
      <c r="BHD53" s="248"/>
      <c r="BHE53" s="248"/>
      <c r="BHF53" s="248"/>
      <c r="BHG53" s="248"/>
      <c r="BHH53" s="248"/>
      <c r="BHI53" s="248"/>
      <c r="BHJ53" s="248"/>
      <c r="BHK53" s="248"/>
      <c r="BHL53" s="248"/>
      <c r="BHM53" s="248"/>
      <c r="BHN53" s="248"/>
      <c r="BHO53" s="248"/>
      <c r="BHP53" s="248"/>
      <c r="BHQ53" s="248"/>
      <c r="BHR53" s="248"/>
      <c r="BHS53" s="248"/>
      <c r="BHT53" s="248"/>
      <c r="BHU53" s="248"/>
      <c r="BHV53" s="248"/>
      <c r="BHW53" s="248"/>
      <c r="BHX53" s="248"/>
      <c r="BHY53" s="248"/>
      <c r="BHZ53" s="248"/>
      <c r="BIA53" s="248"/>
      <c r="BIB53" s="248"/>
      <c r="BIC53" s="248"/>
      <c r="BID53" s="248"/>
      <c r="BIE53" s="248"/>
      <c r="BIF53" s="248"/>
      <c r="BIG53" s="248"/>
      <c r="BIH53" s="248"/>
      <c r="BII53" s="248"/>
      <c r="BIJ53" s="248"/>
      <c r="BIK53" s="248"/>
      <c r="BIL53" s="248"/>
      <c r="BIM53" s="248"/>
      <c r="BIN53" s="248"/>
      <c r="BIO53" s="248"/>
      <c r="BIP53" s="248"/>
      <c r="BIQ53" s="248"/>
      <c r="BIR53" s="248"/>
      <c r="BIS53" s="248"/>
      <c r="BIT53" s="248"/>
      <c r="BIU53" s="248"/>
      <c r="BIV53" s="248"/>
      <c r="BIW53" s="248"/>
      <c r="BIX53" s="248"/>
      <c r="BIY53" s="248"/>
      <c r="BIZ53" s="248"/>
      <c r="BJA53" s="248"/>
      <c r="BJB53" s="248"/>
      <c r="BJC53" s="248"/>
      <c r="BJD53" s="248"/>
      <c r="BJE53" s="248"/>
      <c r="BJF53" s="248"/>
      <c r="BJG53" s="248"/>
      <c r="BJH53" s="248"/>
      <c r="BJI53" s="248"/>
      <c r="BJJ53" s="248"/>
      <c r="BJK53" s="248"/>
      <c r="BJL53" s="248"/>
      <c r="BJM53" s="248"/>
      <c r="BJN53" s="248"/>
    </row>
    <row r="54" spans="1:1660" ht="20.100000000000001" customHeight="1" x14ac:dyDescent="0.3">
      <c r="A54" s="78" t="s">
        <v>28</v>
      </c>
      <c r="B54" s="51" t="str">
        <f>IF(LEN(C93)=0,"",C93)</f>
        <v/>
      </c>
      <c r="C54" s="210"/>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73"/>
      <c r="AYA54" s="248"/>
      <c r="AYB54" s="248"/>
      <c r="AYC54" s="248"/>
      <c r="AYD54" s="248"/>
      <c r="AYE54" s="248"/>
      <c r="AYF54" s="248"/>
      <c r="AYG54" s="248"/>
      <c r="AYH54" s="248"/>
      <c r="AYI54" s="248"/>
      <c r="AYJ54" s="248"/>
      <c r="AYK54" s="248"/>
      <c r="AYL54" s="248"/>
      <c r="AYM54" s="248"/>
      <c r="AYN54" s="248"/>
      <c r="AYO54" s="248"/>
      <c r="AYP54" s="248"/>
      <c r="AYQ54" s="248"/>
      <c r="AYR54" s="248"/>
      <c r="AYS54" s="248"/>
      <c r="AYT54" s="248"/>
      <c r="AYU54" s="248"/>
      <c r="AYV54" s="248"/>
      <c r="AYW54" s="248"/>
      <c r="AYX54" s="248"/>
      <c r="AYY54" s="248"/>
      <c r="AYZ54" s="248"/>
      <c r="AZA54" s="248"/>
      <c r="AZB54" s="248"/>
      <c r="AZC54" s="248"/>
      <c r="AZD54" s="248"/>
      <c r="AZE54" s="248"/>
      <c r="AZF54" s="248"/>
      <c r="AZG54" s="248"/>
      <c r="AZH54" s="248"/>
      <c r="AZI54" s="248"/>
      <c r="AZJ54" s="248"/>
      <c r="AZK54" s="248"/>
      <c r="AZL54" s="248"/>
      <c r="AZM54" s="248"/>
      <c r="AZN54" s="248"/>
      <c r="AZO54" s="248"/>
      <c r="AZP54" s="248"/>
      <c r="AZQ54" s="248"/>
      <c r="AZR54" s="248"/>
      <c r="AZS54" s="248"/>
      <c r="AZT54" s="248"/>
      <c r="AZU54" s="248"/>
      <c r="AZV54" s="248"/>
      <c r="AZW54" s="248"/>
      <c r="AZX54" s="248"/>
      <c r="AZY54" s="248"/>
      <c r="AZZ54" s="248"/>
      <c r="BAA54" s="248"/>
      <c r="BAB54" s="248"/>
      <c r="BAC54" s="248"/>
      <c r="BAD54" s="248"/>
      <c r="BAE54" s="248"/>
      <c r="BAF54" s="248"/>
      <c r="BAG54" s="248"/>
      <c r="BAH54" s="248"/>
      <c r="BAI54" s="248"/>
      <c r="BAJ54" s="248"/>
      <c r="BAK54" s="248"/>
      <c r="BAL54" s="248"/>
      <c r="BAM54" s="248"/>
      <c r="BAN54" s="248"/>
      <c r="BAO54" s="248"/>
      <c r="BAP54" s="248"/>
      <c r="BAQ54" s="248"/>
      <c r="BAR54" s="248"/>
      <c r="BAS54" s="248"/>
      <c r="BAT54" s="248"/>
      <c r="BAU54" s="248"/>
      <c r="BAV54" s="248"/>
      <c r="BAW54" s="248"/>
      <c r="BAX54" s="248"/>
      <c r="BAY54" s="248"/>
      <c r="BAZ54" s="248"/>
      <c r="BBA54" s="248"/>
      <c r="BBB54" s="248"/>
      <c r="BBC54" s="248"/>
      <c r="BBD54" s="248"/>
      <c r="BBE54" s="248"/>
      <c r="BBF54" s="248"/>
      <c r="BBG54" s="248"/>
      <c r="BBH54" s="248"/>
      <c r="BBI54" s="248"/>
      <c r="BBJ54" s="248"/>
      <c r="BBK54" s="248"/>
      <c r="BBL54" s="248"/>
      <c r="BBM54" s="248"/>
      <c r="BBN54" s="248"/>
      <c r="BBO54" s="248"/>
      <c r="BBP54" s="248"/>
      <c r="BBQ54" s="248"/>
      <c r="BBR54" s="248"/>
      <c r="BBS54" s="248"/>
      <c r="BBT54" s="248"/>
      <c r="BBU54" s="248"/>
      <c r="BBV54" s="248"/>
      <c r="BBW54" s="248"/>
      <c r="BBX54" s="248"/>
      <c r="BBY54" s="248"/>
      <c r="BBZ54" s="248"/>
      <c r="BCA54" s="248"/>
      <c r="BCB54" s="248"/>
      <c r="BCC54" s="248"/>
      <c r="BCD54" s="248"/>
      <c r="BCE54" s="248"/>
      <c r="BCF54" s="248"/>
      <c r="BCG54" s="248"/>
      <c r="BCH54" s="248"/>
      <c r="BCI54" s="248"/>
      <c r="BCJ54" s="248"/>
      <c r="BCK54" s="248"/>
      <c r="BCL54" s="248"/>
      <c r="BCM54" s="248"/>
      <c r="BCN54" s="248"/>
      <c r="BCO54" s="248"/>
      <c r="BCP54" s="248"/>
      <c r="BCQ54" s="248"/>
      <c r="BCR54" s="248"/>
      <c r="BCS54" s="248"/>
      <c r="BCT54" s="248"/>
      <c r="BCU54" s="248"/>
      <c r="BCV54" s="248"/>
      <c r="BCW54" s="248"/>
      <c r="BCX54" s="248"/>
      <c r="BCY54" s="248"/>
      <c r="BCZ54" s="248"/>
      <c r="BDA54" s="248"/>
      <c r="BDB54" s="248"/>
      <c r="BDC54" s="248"/>
      <c r="BDD54" s="248"/>
      <c r="BDE54" s="248"/>
      <c r="BDF54" s="248"/>
      <c r="BDG54" s="248"/>
      <c r="BDH54" s="248"/>
      <c r="BDI54" s="248"/>
      <c r="BDJ54" s="248"/>
      <c r="BDK54" s="248"/>
      <c r="BDL54" s="248"/>
      <c r="BDM54" s="248"/>
      <c r="BDN54" s="248"/>
      <c r="BDO54" s="248"/>
      <c r="BDP54" s="248"/>
      <c r="BDQ54" s="248"/>
      <c r="BDR54" s="248"/>
      <c r="BDS54" s="248"/>
      <c r="BDT54" s="248"/>
      <c r="BDU54" s="248"/>
      <c r="BDV54" s="248"/>
      <c r="BDW54" s="248"/>
      <c r="BDX54" s="248"/>
      <c r="BDY54" s="248"/>
      <c r="BDZ54" s="248"/>
      <c r="BEA54" s="248"/>
      <c r="BEB54" s="248"/>
      <c r="BEC54" s="248"/>
      <c r="BED54" s="248"/>
      <c r="BEE54" s="248"/>
      <c r="BEF54" s="248"/>
      <c r="BEG54" s="248"/>
      <c r="BEH54" s="248"/>
      <c r="BEI54" s="248"/>
      <c r="BEJ54" s="248"/>
      <c r="BEK54" s="248"/>
      <c r="BEL54" s="248"/>
      <c r="BEM54" s="248"/>
      <c r="BEN54" s="248"/>
      <c r="BEO54" s="248"/>
      <c r="BEP54" s="248"/>
      <c r="BEQ54" s="248"/>
      <c r="BER54" s="248"/>
      <c r="BES54" s="248"/>
      <c r="BET54" s="248"/>
      <c r="BEU54" s="248"/>
      <c r="BEV54" s="248"/>
      <c r="BEW54" s="248"/>
      <c r="BEX54" s="248"/>
      <c r="BEY54" s="248"/>
      <c r="BEZ54" s="248"/>
      <c r="BFA54" s="248"/>
      <c r="BFB54" s="248"/>
      <c r="BFC54" s="248"/>
      <c r="BFD54" s="248"/>
      <c r="BFE54" s="248"/>
      <c r="BFF54" s="248"/>
      <c r="BFG54" s="248"/>
      <c r="BFH54" s="248"/>
      <c r="BFI54" s="248"/>
      <c r="BFJ54" s="248"/>
      <c r="BFK54" s="248"/>
      <c r="BFL54" s="248"/>
      <c r="BFM54" s="248"/>
      <c r="BFN54" s="248"/>
      <c r="BFO54" s="248"/>
      <c r="BFP54" s="248"/>
      <c r="BFQ54" s="248"/>
      <c r="BFR54" s="248"/>
      <c r="BFS54" s="248"/>
      <c r="BFT54" s="248"/>
      <c r="BFU54" s="248"/>
      <c r="BFV54" s="248"/>
      <c r="BFW54" s="248"/>
      <c r="BFX54" s="248"/>
      <c r="BFY54" s="248"/>
      <c r="BFZ54" s="248"/>
      <c r="BGA54" s="248"/>
      <c r="BGB54" s="248"/>
      <c r="BGC54" s="248"/>
      <c r="BGD54" s="248"/>
      <c r="BGE54" s="248"/>
      <c r="BGF54" s="248"/>
      <c r="BGG54" s="248"/>
      <c r="BGH54" s="248"/>
      <c r="BGI54" s="248"/>
      <c r="BGJ54" s="248"/>
      <c r="BGK54" s="248"/>
      <c r="BGL54" s="248"/>
      <c r="BGM54" s="248"/>
      <c r="BGN54" s="248"/>
      <c r="BGO54" s="248"/>
      <c r="BGP54" s="248"/>
      <c r="BGQ54" s="248"/>
      <c r="BGR54" s="248"/>
      <c r="BGS54" s="248"/>
      <c r="BGT54" s="248"/>
      <c r="BGU54" s="248"/>
      <c r="BGV54" s="248"/>
      <c r="BGW54" s="248"/>
      <c r="BGX54" s="248"/>
      <c r="BGY54" s="248"/>
      <c r="BGZ54" s="248"/>
      <c r="BHA54" s="248"/>
      <c r="BHB54" s="248"/>
      <c r="BHC54" s="248"/>
      <c r="BHD54" s="248"/>
      <c r="BHE54" s="248"/>
      <c r="BHF54" s="248"/>
      <c r="BHG54" s="248"/>
      <c r="BHH54" s="248"/>
      <c r="BHI54" s="248"/>
      <c r="BHJ54" s="248"/>
      <c r="BHK54" s="248"/>
      <c r="BHL54" s="248"/>
      <c r="BHM54" s="248"/>
      <c r="BHN54" s="248"/>
      <c r="BHO54" s="248"/>
      <c r="BHP54" s="248"/>
      <c r="BHQ54" s="248"/>
      <c r="BHR54" s="248"/>
      <c r="BHS54" s="248"/>
      <c r="BHT54" s="248"/>
      <c r="BHU54" s="248"/>
      <c r="BHV54" s="248"/>
      <c r="BHW54" s="248"/>
      <c r="BHX54" s="248"/>
      <c r="BHY54" s="248"/>
      <c r="BHZ54" s="248"/>
      <c r="BIA54" s="248"/>
      <c r="BIB54" s="248"/>
      <c r="BIC54" s="248"/>
      <c r="BID54" s="248"/>
      <c r="BIE54" s="248"/>
      <c r="BIF54" s="248"/>
      <c r="BIG54" s="248"/>
      <c r="BIH54" s="248"/>
      <c r="BII54" s="248"/>
      <c r="BIJ54" s="248"/>
      <c r="BIK54" s="248"/>
      <c r="BIL54" s="248"/>
      <c r="BIM54" s="248"/>
      <c r="BIN54" s="248"/>
      <c r="BIO54" s="248"/>
      <c r="BIP54" s="248"/>
      <c r="BIQ54" s="248"/>
      <c r="BIR54" s="248"/>
      <c r="BIS54" s="248"/>
      <c r="BIT54" s="248"/>
      <c r="BIU54" s="248"/>
      <c r="BIV54" s="248"/>
      <c r="BIW54" s="248"/>
      <c r="BIX54" s="248"/>
      <c r="BIY54" s="248"/>
      <c r="BIZ54" s="248"/>
      <c r="BJA54" s="248"/>
      <c r="BJB54" s="248"/>
      <c r="BJC54" s="248"/>
      <c r="BJD54" s="248"/>
      <c r="BJE54" s="248"/>
      <c r="BJF54" s="248"/>
      <c r="BJG54" s="248"/>
      <c r="BJH54" s="248"/>
      <c r="BJI54" s="248"/>
      <c r="BJJ54" s="248"/>
      <c r="BJK54" s="248"/>
      <c r="BJL54" s="248"/>
      <c r="BJM54" s="248"/>
      <c r="BJN54" s="248"/>
      <c r="BJO54" s="248"/>
      <c r="BJP54" s="248"/>
      <c r="BJQ54" s="248"/>
      <c r="BJR54" s="248"/>
      <c r="BJS54" s="248"/>
      <c r="BJT54" s="248"/>
      <c r="BJU54" s="248"/>
      <c r="BJV54" s="248"/>
      <c r="BJW54" s="248"/>
      <c r="BJX54" s="248"/>
      <c r="BJY54" s="248"/>
      <c r="BJZ54" s="248"/>
      <c r="BKA54" s="248"/>
      <c r="BKB54" s="248"/>
      <c r="BKC54" s="248"/>
      <c r="BKD54" s="248"/>
      <c r="BKE54" s="248"/>
      <c r="BKF54" s="248"/>
      <c r="BKG54" s="248"/>
      <c r="BKH54" s="248"/>
      <c r="BKI54" s="248"/>
      <c r="BKJ54" s="248"/>
      <c r="BKK54" s="248"/>
      <c r="BKL54" s="248"/>
      <c r="BKM54" s="248"/>
      <c r="BKN54" s="248"/>
      <c r="BKO54" s="248"/>
      <c r="BKP54" s="248"/>
      <c r="BKQ54" s="248"/>
      <c r="BKR54" s="248"/>
      <c r="BKS54" s="248"/>
      <c r="BKT54" s="248"/>
      <c r="BKU54" s="248"/>
      <c r="BKV54" s="248"/>
    </row>
    <row r="55" spans="1:1660" ht="20.100000000000001" customHeight="1" x14ac:dyDescent="0.25">
      <c r="A55" s="78" t="s">
        <v>26</v>
      </c>
      <c r="B55" s="51"/>
      <c r="C55" s="209" t="s">
        <v>58</v>
      </c>
      <c r="D55" s="119" t="str">
        <f t="shared" si="0"/>
        <v>9h 55 min</v>
      </c>
      <c r="E55" s="34">
        <v>119</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73"/>
      <c r="AYA55" s="248"/>
      <c r="AYB55" s="249"/>
      <c r="AYC55" s="249"/>
      <c r="AYD55" s="249"/>
      <c r="AYE55" s="249"/>
      <c r="AYF55" s="249"/>
      <c r="AYG55" s="249"/>
      <c r="AYH55" s="249"/>
      <c r="AYI55" s="249"/>
      <c r="AYJ55" s="249"/>
      <c r="AYK55" s="249"/>
      <c r="AYL55" s="249"/>
      <c r="AYM55" s="249"/>
      <c r="AYN55" s="249"/>
      <c r="AYO55" s="249"/>
      <c r="AYP55" s="249"/>
      <c r="AYQ55" s="249"/>
      <c r="AYR55" s="249"/>
      <c r="AYS55" s="249"/>
      <c r="AYT55" s="249"/>
      <c r="AYU55" s="249"/>
      <c r="AYV55" s="249"/>
      <c r="AYW55" s="249"/>
      <c r="AYX55" s="249"/>
      <c r="AYY55" s="249"/>
      <c r="AYZ55" s="249"/>
      <c r="AZA55" s="249"/>
      <c r="AZB55" s="249"/>
      <c r="AZC55" s="249"/>
      <c r="AZD55" s="249"/>
      <c r="AZE55" s="249"/>
      <c r="AZF55" s="249"/>
      <c r="AZG55" s="249"/>
      <c r="AZH55" s="249"/>
      <c r="AZI55" s="249"/>
      <c r="AZJ55" s="249"/>
      <c r="AZK55" s="249"/>
      <c r="AZL55" s="249"/>
      <c r="AZM55" s="249"/>
      <c r="AZN55" s="249"/>
      <c r="AZO55" s="249"/>
      <c r="AZP55" s="248"/>
      <c r="AZQ55" s="248"/>
      <c r="AZR55" s="248"/>
      <c r="AZS55" s="248"/>
      <c r="AZT55" s="248"/>
      <c r="AZU55" s="248"/>
      <c r="AZV55" s="248"/>
      <c r="AZW55" s="248"/>
      <c r="AZX55" s="248"/>
      <c r="AZY55" s="248"/>
      <c r="AZZ55" s="248"/>
      <c r="BAA55" s="248"/>
      <c r="BAB55" s="248"/>
      <c r="BAC55" s="248"/>
      <c r="BAD55" s="248"/>
      <c r="BAE55" s="248"/>
      <c r="BAF55" s="248"/>
      <c r="BAG55" s="248"/>
      <c r="BAH55" s="248"/>
      <c r="BAI55" s="248"/>
      <c r="BAJ55" s="248"/>
      <c r="BAK55" s="248"/>
      <c r="BAL55" s="248"/>
      <c r="BAM55" s="248"/>
      <c r="BAN55" s="248"/>
      <c r="BAO55" s="248"/>
      <c r="BAP55" s="248"/>
      <c r="BAQ55" s="248"/>
      <c r="BAR55" s="248"/>
      <c r="BAS55" s="248"/>
      <c r="BAT55" s="248"/>
      <c r="BAU55" s="248"/>
      <c r="BAV55" s="248"/>
      <c r="BAW55" s="248"/>
      <c r="BAX55" s="248"/>
      <c r="BAY55" s="248"/>
      <c r="BAZ55" s="248"/>
      <c r="BBA55" s="248"/>
      <c r="BBB55" s="248"/>
      <c r="BBC55" s="248"/>
      <c r="BBD55" s="248"/>
      <c r="BBE55" s="248"/>
      <c r="BBF55" s="248"/>
      <c r="BBG55" s="248"/>
      <c r="BBH55" s="248"/>
      <c r="BBI55" s="248"/>
      <c r="BBJ55" s="248"/>
      <c r="BBK55" s="248"/>
      <c r="BBL55" s="248"/>
      <c r="BBM55" s="248"/>
      <c r="BBN55" s="248"/>
      <c r="BBO55" s="248"/>
      <c r="BBP55" s="248"/>
      <c r="BBQ55" s="248"/>
      <c r="BBR55" s="248"/>
      <c r="BBS55" s="248"/>
      <c r="BBT55" s="248"/>
      <c r="BBU55" s="248"/>
      <c r="BBV55" s="248"/>
      <c r="BBW55" s="248"/>
      <c r="BBX55" s="248"/>
      <c r="BBY55" s="248"/>
      <c r="BBZ55" s="248"/>
      <c r="BCA55" s="248"/>
      <c r="BCB55" s="248"/>
      <c r="BCC55" s="248"/>
      <c r="BCD55" s="248"/>
      <c r="BCE55" s="248"/>
      <c r="BCF55" s="248"/>
      <c r="BCG55" s="248"/>
      <c r="BCH55" s="248"/>
      <c r="BCI55" s="248"/>
      <c r="BCJ55" s="248"/>
      <c r="BCK55" s="248"/>
      <c r="BCL55" s="248"/>
      <c r="BCM55" s="248"/>
      <c r="BCN55" s="248"/>
      <c r="BCO55" s="248"/>
      <c r="BCP55" s="248"/>
      <c r="BCQ55" s="248"/>
      <c r="BCR55" s="248"/>
      <c r="BCS55" s="248"/>
      <c r="BCT55" s="248"/>
      <c r="BCU55" s="248"/>
      <c r="BCV55" s="248"/>
      <c r="BCW55" s="248"/>
      <c r="BCX55" s="248"/>
      <c r="BCY55" s="248"/>
      <c r="BCZ55" s="248"/>
      <c r="BDA55" s="248"/>
      <c r="BDB55" s="248"/>
      <c r="BDC55" s="248"/>
      <c r="BDD55" s="248"/>
      <c r="BDE55" s="248"/>
      <c r="BDF55" s="248"/>
      <c r="BDG55" s="248"/>
      <c r="BDH55" s="248"/>
      <c r="BDI55" s="248"/>
      <c r="BDJ55" s="248"/>
      <c r="BDK55" s="248"/>
      <c r="BDL55" s="248"/>
      <c r="BDM55" s="248"/>
      <c r="BDN55" s="248"/>
      <c r="BDO55" s="248"/>
      <c r="BDP55" s="248"/>
      <c r="BDQ55" s="248"/>
      <c r="BDR55" s="248"/>
      <c r="BDS55" s="248"/>
      <c r="BDT55" s="248"/>
      <c r="BDU55" s="248"/>
      <c r="BDV55" s="248"/>
      <c r="BDW55" s="248"/>
      <c r="BDX55" s="248"/>
      <c r="BDY55" s="248"/>
      <c r="BDZ55" s="248"/>
      <c r="BEA55" s="248"/>
      <c r="BEB55" s="248"/>
      <c r="BEC55" s="248"/>
      <c r="BED55" s="248"/>
      <c r="BEE55" s="248"/>
      <c r="BEF55" s="248"/>
      <c r="BEG55" s="248"/>
      <c r="BEH55" s="248"/>
      <c r="BEI55" s="248"/>
      <c r="BEJ55" s="248"/>
      <c r="BEK55" s="248"/>
      <c r="BEL55" s="248"/>
      <c r="BEM55" s="248"/>
      <c r="BEN55" s="248"/>
      <c r="BEO55" s="248"/>
      <c r="BEP55" s="248"/>
      <c r="BEQ55" s="248"/>
      <c r="BER55" s="248"/>
      <c r="BES55" s="248"/>
      <c r="BET55" s="248"/>
      <c r="BEU55" s="248"/>
      <c r="BEV55" s="248"/>
      <c r="BEW55" s="248"/>
      <c r="BEX55" s="248"/>
      <c r="BEY55" s="248"/>
      <c r="BEZ55" s="248"/>
      <c r="BFA55" s="248"/>
      <c r="BFB55" s="248"/>
      <c r="BFC55" s="248"/>
      <c r="BFD55" s="248"/>
      <c r="BFE55" s="248"/>
      <c r="BFF55" s="248"/>
      <c r="BFG55" s="248"/>
      <c r="BFH55" s="248"/>
      <c r="BFI55" s="248"/>
      <c r="BFJ55" s="248"/>
      <c r="BFK55" s="248"/>
      <c r="BFL55" s="248"/>
      <c r="BFM55" s="248"/>
      <c r="BFN55" s="248"/>
      <c r="BFO55" s="248"/>
      <c r="BFP55" s="248"/>
      <c r="BFQ55" s="248"/>
      <c r="BFR55" s="248"/>
      <c r="BFS55" s="248"/>
      <c r="BFT55" s="248"/>
      <c r="BFU55" s="248"/>
      <c r="BFV55" s="248"/>
      <c r="BFW55" s="248"/>
      <c r="BFX55" s="248"/>
      <c r="BFY55" s="248"/>
      <c r="BFZ55" s="248"/>
      <c r="BGA55" s="248"/>
      <c r="BGB55" s="248"/>
      <c r="BGC55" s="248"/>
      <c r="BGD55" s="248"/>
      <c r="BGE55" s="248"/>
      <c r="BGF55" s="248"/>
      <c r="BGG55" s="248"/>
      <c r="BGH55" s="248"/>
      <c r="BGI55" s="248"/>
      <c r="BGJ55" s="248"/>
      <c r="BGK55" s="248"/>
      <c r="BGL55" s="248"/>
      <c r="BGM55" s="248"/>
      <c r="BGN55" s="248"/>
      <c r="BGO55" s="248"/>
      <c r="BGP55" s="248"/>
      <c r="BGQ55" s="248"/>
      <c r="BGR55" s="248"/>
      <c r="BGS55" s="248"/>
      <c r="BGT55" s="248"/>
      <c r="BGU55" s="248"/>
      <c r="BGV55" s="248"/>
      <c r="BGW55" s="248"/>
      <c r="BGX55" s="248"/>
      <c r="BGY55" s="248"/>
      <c r="BGZ55" s="248"/>
      <c r="BHA55" s="248"/>
      <c r="BHB55" s="248"/>
      <c r="BHC55" s="248"/>
      <c r="BHD55" s="248"/>
      <c r="BHE55" s="248"/>
      <c r="BHF55" s="248"/>
      <c r="BHG55" s="248"/>
      <c r="BHH55" s="248"/>
      <c r="BHI55" s="248"/>
      <c r="BHJ55" s="248"/>
      <c r="BHK55" s="248"/>
      <c r="BHL55" s="248"/>
      <c r="BHM55" s="248"/>
      <c r="BHN55" s="248"/>
      <c r="BHO55" s="248"/>
      <c r="BHP55" s="248"/>
      <c r="BHQ55" s="248"/>
      <c r="BHR55" s="248"/>
      <c r="BHS55" s="248"/>
      <c r="BHT55" s="248"/>
      <c r="BHU55" s="248"/>
      <c r="BHV55" s="248"/>
      <c r="BHW55" s="248"/>
      <c r="BHX55" s="248"/>
      <c r="BHY55" s="248"/>
      <c r="BHZ55" s="248"/>
      <c r="BIA55" s="248"/>
      <c r="BIB55" s="248"/>
      <c r="BIC55" s="248"/>
      <c r="BID55" s="248"/>
      <c r="BIE55" s="248"/>
      <c r="BIF55" s="248"/>
      <c r="BIG55" s="248"/>
      <c r="BIH55" s="248"/>
      <c r="BII55" s="248"/>
      <c r="BIJ55" s="248"/>
      <c r="BIK55" s="248"/>
      <c r="BIL55" s="248"/>
      <c r="BIM55" s="248"/>
      <c r="BIN55" s="248"/>
      <c r="BIO55" s="248"/>
      <c r="BIP55" s="248"/>
      <c r="BIQ55" s="248"/>
      <c r="BIR55" s="248"/>
      <c r="BIS55" s="248"/>
      <c r="BIT55" s="248"/>
      <c r="BIU55" s="248"/>
      <c r="BIV55" s="248"/>
      <c r="BIW55" s="248"/>
      <c r="BIX55" s="248"/>
      <c r="BIY55" s="248"/>
      <c r="BIZ55" s="248"/>
      <c r="BJA55" s="248"/>
      <c r="BJB55" s="248"/>
      <c r="BJC55" s="248"/>
      <c r="BJD55" s="248"/>
      <c r="BJE55" s="248"/>
      <c r="BJF55" s="248"/>
      <c r="BJG55" s="248"/>
      <c r="BJH55" s="248"/>
      <c r="BJI55" s="248"/>
      <c r="BJJ55" s="248"/>
      <c r="BJK55" s="248"/>
      <c r="BJL55" s="248"/>
      <c r="BJM55" s="248"/>
      <c r="BJN55" s="248"/>
    </row>
    <row r="56" spans="1:1660" ht="20.100000000000001" customHeight="1" x14ac:dyDescent="0.25">
      <c r="A56" s="78" t="s">
        <v>28</v>
      </c>
      <c r="B56" s="51"/>
      <c r="C56" s="21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73"/>
      <c r="AYA56" s="248"/>
      <c r="AYB56" s="248"/>
      <c r="AYC56" s="248"/>
      <c r="AYD56" s="248"/>
      <c r="AYE56" s="248"/>
      <c r="AYF56" s="248"/>
      <c r="AYG56" s="248"/>
      <c r="AYH56" s="248"/>
      <c r="AYI56" s="248"/>
      <c r="AYJ56" s="248"/>
      <c r="AYK56" s="248"/>
      <c r="AYL56" s="248"/>
      <c r="AYM56" s="248"/>
      <c r="AYN56" s="248"/>
      <c r="AYO56" s="248"/>
      <c r="AYP56" s="248"/>
      <c r="AYQ56" s="248"/>
      <c r="AYR56" s="248"/>
      <c r="AYS56" s="248"/>
      <c r="AYT56" s="248"/>
      <c r="AYU56" s="248"/>
      <c r="AYV56" s="248"/>
      <c r="AYW56" s="248"/>
      <c r="AYX56" s="248"/>
      <c r="AYY56" s="248"/>
      <c r="AYZ56" s="248"/>
      <c r="AZA56" s="248"/>
      <c r="AZB56" s="248"/>
      <c r="AZC56" s="248"/>
      <c r="AZD56" s="248"/>
      <c r="AZE56" s="248"/>
      <c r="AZF56" s="248"/>
      <c r="AZG56" s="248"/>
      <c r="AZH56" s="248"/>
      <c r="AZI56" s="248"/>
      <c r="AZJ56" s="248"/>
      <c r="AZK56" s="248"/>
      <c r="AZL56" s="248"/>
      <c r="AZM56" s="248"/>
      <c r="AZN56" s="248"/>
      <c r="AZO56" s="248"/>
      <c r="AZP56" s="248"/>
      <c r="AZQ56" s="248"/>
      <c r="AZR56" s="248"/>
      <c r="AZS56" s="248"/>
      <c r="AZT56" s="248"/>
      <c r="AZU56" s="248"/>
      <c r="AZV56" s="248"/>
      <c r="AZW56" s="248"/>
      <c r="AZX56" s="248"/>
      <c r="AZY56" s="248"/>
      <c r="AZZ56" s="248"/>
      <c r="BAA56" s="248"/>
      <c r="BAB56" s="248"/>
      <c r="BAC56" s="248"/>
      <c r="BAD56" s="248"/>
      <c r="BAE56" s="248"/>
      <c r="BAF56" s="248"/>
      <c r="BAG56" s="248"/>
      <c r="BAH56" s="248"/>
      <c r="BAI56" s="248"/>
      <c r="BAJ56" s="248"/>
      <c r="BAK56" s="248"/>
      <c r="BAL56" s="248"/>
      <c r="BAM56" s="248"/>
      <c r="BAN56" s="248"/>
      <c r="BAO56" s="248"/>
      <c r="BAP56" s="248"/>
      <c r="BAQ56" s="248"/>
      <c r="BAR56" s="248"/>
      <c r="BAS56" s="248"/>
      <c r="BAT56" s="248"/>
      <c r="BAU56" s="248"/>
      <c r="BAV56" s="248"/>
      <c r="BAW56" s="248"/>
      <c r="BAX56" s="248"/>
      <c r="BAY56" s="248"/>
      <c r="BAZ56" s="248"/>
      <c r="BBA56" s="248"/>
      <c r="BBB56" s="248"/>
      <c r="BBC56" s="248"/>
      <c r="BBD56" s="248"/>
      <c r="BBE56" s="248"/>
      <c r="BBF56" s="248"/>
      <c r="BBG56" s="248"/>
      <c r="BBH56" s="248"/>
      <c r="BBI56" s="248"/>
      <c r="BBJ56" s="248"/>
      <c r="BBK56" s="248"/>
      <c r="BBL56" s="248"/>
      <c r="BBM56" s="248"/>
      <c r="BBN56" s="248"/>
      <c r="BBO56" s="248"/>
      <c r="BBP56" s="248"/>
      <c r="BBQ56" s="248"/>
      <c r="BBR56" s="248"/>
      <c r="BBS56" s="248"/>
      <c r="BBT56" s="248"/>
      <c r="BBU56" s="248"/>
      <c r="BBV56" s="248"/>
      <c r="BBW56" s="248"/>
      <c r="BBX56" s="248"/>
      <c r="BBY56" s="248"/>
      <c r="BBZ56" s="248"/>
      <c r="BCA56" s="248"/>
      <c r="BCB56" s="248"/>
      <c r="BCC56" s="248"/>
      <c r="BCD56" s="248"/>
      <c r="BCE56" s="248"/>
      <c r="BCF56" s="248"/>
      <c r="BCG56" s="248"/>
      <c r="BCH56" s="248"/>
      <c r="BCI56" s="248"/>
      <c r="BCJ56" s="248"/>
      <c r="BCK56" s="248"/>
      <c r="BCL56" s="248"/>
      <c r="BCM56" s="248"/>
      <c r="BCN56" s="248"/>
      <c r="BCO56" s="248"/>
      <c r="BCP56" s="248"/>
      <c r="BCQ56" s="248"/>
      <c r="BCR56" s="248"/>
      <c r="BCS56" s="248"/>
      <c r="BCT56" s="248"/>
      <c r="BCU56" s="248"/>
      <c r="BCV56" s="248"/>
      <c r="BCW56" s="248"/>
      <c r="BCX56" s="248"/>
      <c r="BCY56" s="248"/>
      <c r="BCZ56" s="248"/>
      <c r="BDA56" s="248"/>
      <c r="BDB56" s="248"/>
      <c r="BDC56" s="248"/>
      <c r="BDD56" s="248"/>
      <c r="BDE56" s="248"/>
      <c r="BDF56" s="248"/>
      <c r="BDG56" s="248"/>
      <c r="BDH56" s="248"/>
      <c r="BDI56" s="248"/>
      <c r="BDJ56" s="248"/>
      <c r="BDK56" s="248"/>
      <c r="BDL56" s="248"/>
      <c r="BDM56" s="248"/>
      <c r="BDN56" s="248"/>
      <c r="BDO56" s="248"/>
      <c r="BDP56" s="248"/>
      <c r="BDQ56" s="248"/>
      <c r="BDR56" s="248"/>
      <c r="BDS56" s="248"/>
      <c r="BDT56" s="248"/>
      <c r="BDU56" s="248"/>
      <c r="BDV56" s="248"/>
      <c r="BDW56" s="248"/>
      <c r="BDX56" s="248"/>
      <c r="BDY56" s="248"/>
      <c r="BDZ56" s="248"/>
      <c r="BEA56" s="248"/>
      <c r="BEB56" s="248"/>
      <c r="BEC56" s="248"/>
      <c r="BED56" s="248"/>
      <c r="BEE56" s="248"/>
      <c r="BEF56" s="248"/>
      <c r="BEG56" s="248"/>
      <c r="BEH56" s="248"/>
      <c r="BEI56" s="248"/>
      <c r="BEJ56" s="248"/>
      <c r="BEK56" s="248"/>
      <c r="BEL56" s="248"/>
      <c r="BEM56" s="248"/>
      <c r="BEN56" s="248"/>
      <c r="BEO56" s="248"/>
      <c r="BEP56" s="248"/>
      <c r="BEQ56" s="248"/>
      <c r="BER56" s="248"/>
      <c r="BES56" s="248"/>
      <c r="BET56" s="248"/>
      <c r="BEU56" s="248"/>
      <c r="BEV56" s="248"/>
      <c r="BEW56" s="248"/>
      <c r="BEX56" s="248"/>
      <c r="BEY56" s="248"/>
      <c r="BEZ56" s="248"/>
      <c r="BFA56" s="248"/>
      <c r="BFB56" s="248"/>
      <c r="BFC56" s="248"/>
      <c r="BFD56" s="248"/>
      <c r="BFE56" s="248"/>
      <c r="BFF56" s="248"/>
      <c r="BFG56" s="248"/>
      <c r="BFH56" s="248"/>
      <c r="BFI56" s="248"/>
      <c r="BFJ56" s="248"/>
      <c r="BFK56" s="248"/>
      <c r="BFL56" s="248"/>
      <c r="BFM56" s="248"/>
      <c r="BFN56" s="248"/>
      <c r="BFO56" s="248"/>
      <c r="BFP56" s="248"/>
      <c r="BFQ56" s="248"/>
      <c r="BFR56" s="248"/>
      <c r="BFS56" s="248"/>
      <c r="BFT56" s="248"/>
      <c r="BFU56" s="248"/>
      <c r="BFV56" s="248"/>
      <c r="BFW56" s="248"/>
      <c r="BFX56" s="248"/>
      <c r="BFY56" s="248"/>
      <c r="BFZ56" s="248"/>
      <c r="BGA56" s="248"/>
      <c r="BGB56" s="248"/>
      <c r="BGC56" s="248"/>
      <c r="BGD56" s="248"/>
      <c r="BGE56" s="248"/>
      <c r="BGF56" s="248"/>
      <c r="BGG56" s="248"/>
      <c r="BGH56" s="248"/>
      <c r="BGI56" s="248"/>
      <c r="BGJ56" s="248"/>
      <c r="BGK56" s="248"/>
      <c r="BGL56" s="248"/>
      <c r="BGM56" s="248"/>
      <c r="BGN56" s="248"/>
      <c r="BGO56" s="248"/>
      <c r="BGP56" s="248"/>
      <c r="BGQ56" s="248"/>
      <c r="BGR56" s="248"/>
      <c r="BGS56" s="248"/>
      <c r="BGT56" s="248"/>
      <c r="BGU56" s="248"/>
      <c r="BGV56" s="248"/>
      <c r="BGW56" s="248"/>
      <c r="BGX56" s="248"/>
      <c r="BGY56" s="248"/>
      <c r="BGZ56" s="248"/>
      <c r="BHA56" s="248"/>
      <c r="BHB56" s="248"/>
      <c r="BHC56" s="248"/>
      <c r="BHD56" s="248"/>
      <c r="BHE56" s="248"/>
      <c r="BHF56" s="248"/>
      <c r="BHG56" s="248"/>
      <c r="BHH56" s="248"/>
      <c r="BHI56" s="248"/>
      <c r="BHJ56" s="248"/>
      <c r="BHK56" s="248"/>
      <c r="BHL56" s="248"/>
      <c r="BHM56" s="248"/>
      <c r="BHN56" s="248"/>
      <c r="BHO56" s="248"/>
      <c r="BHP56" s="248"/>
      <c r="BHQ56" s="248"/>
      <c r="BHR56" s="248"/>
      <c r="BHS56" s="248"/>
      <c r="BHT56" s="248"/>
      <c r="BHU56" s="248"/>
      <c r="BHV56" s="248"/>
      <c r="BHW56" s="248"/>
      <c r="BHX56" s="248"/>
      <c r="BHY56" s="248"/>
      <c r="BHZ56" s="248"/>
      <c r="BIA56" s="248"/>
      <c r="BIB56" s="248"/>
      <c r="BIC56" s="248"/>
      <c r="BID56" s="248"/>
      <c r="BIE56" s="248"/>
      <c r="BIF56" s="248"/>
      <c r="BIG56" s="248"/>
      <c r="BIH56" s="248"/>
      <c r="BII56" s="248"/>
      <c r="BIJ56" s="248"/>
      <c r="BIK56" s="248"/>
      <c r="BIL56" s="248"/>
      <c r="BIM56" s="248"/>
      <c r="BIN56" s="248"/>
      <c r="BIO56" s="248"/>
      <c r="BIP56" s="248"/>
      <c r="BIQ56" s="248"/>
      <c r="BIR56" s="248"/>
      <c r="BIS56" s="248"/>
      <c r="BIT56" s="248"/>
      <c r="BIU56" s="248"/>
      <c r="BIV56" s="248"/>
      <c r="BIW56" s="248"/>
      <c r="BIX56" s="248"/>
      <c r="BIY56" s="248"/>
      <c r="BIZ56" s="248"/>
      <c r="BJA56" s="248"/>
      <c r="BJB56" s="248"/>
      <c r="BJC56" s="248"/>
      <c r="BJD56" s="248"/>
      <c r="BJE56" s="248"/>
      <c r="BJF56" s="248"/>
      <c r="BJG56" s="248"/>
      <c r="BJH56" s="248"/>
      <c r="BJI56" s="248"/>
      <c r="BJJ56" s="248"/>
      <c r="BJK56" s="248"/>
      <c r="BJL56" s="248"/>
      <c r="BJM56" s="248"/>
      <c r="BJN56" s="248"/>
      <c r="BJO56" s="248"/>
      <c r="BJP56" s="248"/>
      <c r="BJQ56" s="248"/>
      <c r="BJR56" s="248"/>
      <c r="BJS56" s="248"/>
      <c r="BJT56" s="248"/>
      <c r="BJU56" s="248"/>
      <c r="BJV56" s="248"/>
      <c r="BJW56" s="248"/>
      <c r="BJX56" s="248"/>
      <c r="BJY56" s="248"/>
      <c r="BJZ56" s="248"/>
      <c r="BKA56" s="248"/>
      <c r="BKB56" s="248"/>
      <c r="BKC56" s="248"/>
      <c r="BKD56" s="248"/>
      <c r="BKE56" s="248"/>
      <c r="BKF56" s="248"/>
      <c r="BKG56" s="248"/>
      <c r="BKH56" s="248"/>
      <c r="BKI56" s="248"/>
      <c r="BKJ56" s="248"/>
      <c r="BKK56" s="248"/>
      <c r="BKL56" s="248"/>
      <c r="BKM56" s="248"/>
      <c r="BKN56" s="248"/>
      <c r="BKO56" s="248"/>
      <c r="BKP56" s="248"/>
      <c r="BKQ56" s="248"/>
      <c r="BKR56" s="248"/>
      <c r="BKS56" s="248"/>
      <c r="BKT56" s="248"/>
      <c r="BKU56" s="248"/>
      <c r="BKV56" s="248"/>
    </row>
    <row r="57" spans="1:1660" ht="20.100000000000001" customHeight="1" x14ac:dyDescent="0.25">
      <c r="A57" s="78" t="s">
        <v>26</v>
      </c>
      <c r="B57" s="51"/>
      <c r="C57" s="209" t="s">
        <v>33</v>
      </c>
      <c r="D57" s="119" t="str">
        <f t="shared" si="0"/>
        <v>4h 30 min</v>
      </c>
      <c r="E57" s="26">
        <v>54</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73"/>
      <c r="AYA57" s="248"/>
      <c r="AYB57" s="248"/>
      <c r="AYC57" s="248"/>
      <c r="AYD57" s="248"/>
      <c r="AYE57" s="248"/>
      <c r="AYF57" s="248"/>
      <c r="AYG57" s="248"/>
      <c r="AYH57" s="248"/>
      <c r="AYI57" s="248"/>
      <c r="AYJ57" s="248"/>
      <c r="AYK57" s="248"/>
      <c r="AYL57" s="248"/>
      <c r="AYM57" s="248"/>
      <c r="AYN57" s="248"/>
      <c r="AYO57" s="248"/>
      <c r="AYP57" s="248"/>
      <c r="AYQ57" s="248"/>
      <c r="AYR57" s="248"/>
      <c r="AYS57" s="248"/>
      <c r="AYT57" s="248"/>
      <c r="AYU57" s="248"/>
      <c r="AYV57" s="248"/>
      <c r="AYW57" s="248"/>
      <c r="AYX57" s="248"/>
      <c r="AYY57" s="248"/>
      <c r="AYZ57" s="248"/>
      <c r="AZA57" s="248"/>
      <c r="AZB57" s="248"/>
      <c r="AZC57" s="248"/>
      <c r="AZD57" s="248"/>
      <c r="AZE57" s="248"/>
      <c r="AZF57" s="248"/>
      <c r="AZG57" s="248"/>
      <c r="AZH57" s="248"/>
      <c r="AZI57" s="248"/>
      <c r="AZJ57" s="248"/>
      <c r="AZK57" s="248"/>
      <c r="AZL57" s="248"/>
      <c r="AZM57" s="248"/>
      <c r="AZN57" s="248"/>
      <c r="AZO57" s="248"/>
      <c r="AZP57" s="248"/>
      <c r="AZQ57" s="248"/>
      <c r="AZR57" s="248"/>
      <c r="AZS57" s="248"/>
      <c r="AZT57" s="248"/>
      <c r="AZU57" s="248"/>
      <c r="AZV57" s="248"/>
      <c r="AZW57" s="248"/>
      <c r="AZX57" s="248"/>
      <c r="AZY57" s="248"/>
      <c r="AZZ57" s="248"/>
      <c r="BAA57" s="248"/>
      <c r="BAB57" s="248"/>
      <c r="BAC57" s="248"/>
      <c r="BAD57" s="248"/>
      <c r="BAE57" s="248"/>
      <c r="BAF57" s="248"/>
      <c r="BAG57" s="248"/>
      <c r="BAH57" s="248"/>
      <c r="BAI57" s="248"/>
      <c r="BAJ57" s="248"/>
      <c r="BAK57" s="248"/>
      <c r="BAL57" s="248"/>
      <c r="BAM57" s="248"/>
      <c r="BAN57" s="248"/>
      <c r="BAO57" s="248"/>
      <c r="BAP57" s="248"/>
      <c r="BAQ57" s="248"/>
      <c r="BAR57" s="248"/>
      <c r="BAS57" s="248"/>
      <c r="BAT57" s="248"/>
      <c r="BAU57" s="248"/>
      <c r="BAV57" s="248"/>
      <c r="BAW57" s="248"/>
      <c r="BAX57" s="248"/>
      <c r="BAY57" s="248"/>
      <c r="BAZ57" s="248"/>
      <c r="BBA57" s="248"/>
      <c r="BBB57" s="248"/>
      <c r="BBC57" s="248"/>
      <c r="BBD57" s="248"/>
      <c r="BBE57" s="248"/>
      <c r="BBF57" s="248"/>
      <c r="BBG57" s="248"/>
      <c r="BBH57" s="248"/>
      <c r="BBI57" s="248"/>
      <c r="BBJ57" s="248"/>
      <c r="BBK57" s="248"/>
      <c r="BBL57" s="248"/>
      <c r="BBM57" s="248"/>
      <c r="BBN57" s="248"/>
      <c r="BBO57" s="248"/>
      <c r="BBP57" s="248"/>
      <c r="BBQ57" s="248"/>
      <c r="BBR57" s="248"/>
      <c r="BBS57" s="248"/>
      <c r="BBT57" s="248"/>
      <c r="BBU57" s="248"/>
      <c r="BBV57" s="248"/>
      <c r="BBW57" s="248"/>
      <c r="BBX57" s="248"/>
      <c r="BBY57" s="248"/>
      <c r="BBZ57" s="248"/>
      <c r="BCA57" s="248"/>
      <c r="BCB57" s="248"/>
      <c r="BCC57" s="248"/>
      <c r="BCD57" s="248"/>
      <c r="BCE57" s="248"/>
      <c r="BCF57" s="248"/>
      <c r="BCG57" s="248"/>
      <c r="BCH57" s="248"/>
      <c r="BCI57" s="248"/>
      <c r="BCJ57" s="248"/>
      <c r="BCK57" s="248"/>
      <c r="BCL57" s="248"/>
      <c r="BCM57" s="248"/>
      <c r="BCN57" s="248"/>
      <c r="BCO57" s="248"/>
      <c r="BCP57" s="248"/>
      <c r="BCQ57" s="248"/>
      <c r="BCR57" s="248"/>
      <c r="BCS57" s="248"/>
      <c r="BCT57" s="248"/>
      <c r="BCU57" s="248"/>
      <c r="BCV57" s="248"/>
      <c r="BCW57" s="248"/>
      <c r="BCX57" s="248"/>
      <c r="BCY57" s="248"/>
      <c r="BCZ57" s="248"/>
      <c r="BDA57" s="248"/>
      <c r="BDB57" s="248"/>
      <c r="BDC57" s="248"/>
      <c r="BDD57" s="248"/>
      <c r="BDE57" s="248"/>
      <c r="BDF57" s="248"/>
      <c r="BDG57" s="248"/>
      <c r="BDH57" s="248"/>
      <c r="BDI57" s="248"/>
      <c r="BDJ57" s="248"/>
      <c r="BDK57" s="248"/>
      <c r="BDL57" s="248"/>
      <c r="BDM57" s="248"/>
      <c r="BDN57" s="248"/>
      <c r="BDO57" s="248"/>
      <c r="BDP57" s="248"/>
      <c r="BDQ57" s="248"/>
      <c r="BDR57" s="248"/>
      <c r="BDS57" s="248"/>
      <c r="BDT57" s="248"/>
      <c r="BDU57" s="248"/>
      <c r="BDV57" s="248"/>
      <c r="BDW57" s="248"/>
      <c r="BDX57" s="248"/>
      <c r="BDY57" s="248"/>
      <c r="BDZ57" s="248"/>
      <c r="BEA57" s="248"/>
      <c r="BEB57" s="248"/>
      <c r="BEC57" s="248"/>
      <c r="BED57" s="248"/>
      <c r="BEE57" s="248"/>
      <c r="BEF57" s="248"/>
      <c r="BEG57" s="248"/>
      <c r="BEH57" s="248"/>
      <c r="BEI57" s="248"/>
      <c r="BEJ57" s="248"/>
      <c r="BEK57" s="248"/>
      <c r="BEL57" s="248"/>
      <c r="BEM57" s="248"/>
      <c r="BEN57" s="248"/>
      <c r="BEO57" s="248"/>
      <c r="BEP57" s="248"/>
      <c r="BEQ57" s="248"/>
      <c r="BER57" s="248"/>
      <c r="BES57" s="248"/>
      <c r="BET57" s="248"/>
      <c r="BEU57" s="248"/>
      <c r="BEV57" s="248"/>
      <c r="BEW57" s="248"/>
      <c r="BEX57" s="248"/>
      <c r="BEY57" s="248"/>
      <c r="BEZ57" s="248"/>
      <c r="BFA57" s="248"/>
      <c r="BFB57" s="248"/>
      <c r="BFC57" s="248"/>
      <c r="BFD57" s="248"/>
      <c r="BFE57" s="248"/>
      <c r="BFF57" s="248"/>
      <c r="BFG57" s="248"/>
      <c r="BFH57" s="248"/>
      <c r="BFI57" s="248"/>
      <c r="BFJ57" s="248"/>
      <c r="BFK57" s="248"/>
      <c r="BFL57" s="248"/>
      <c r="BFM57" s="248"/>
      <c r="BFN57" s="248"/>
      <c r="BFO57" s="248"/>
      <c r="BFP57" s="248"/>
      <c r="BFQ57" s="248"/>
      <c r="BFR57" s="248"/>
      <c r="BFS57" s="248"/>
      <c r="BFT57" s="248"/>
      <c r="BFU57" s="248"/>
      <c r="BFV57" s="248"/>
      <c r="BFW57" s="248"/>
      <c r="BFX57" s="248"/>
      <c r="BFY57" s="248"/>
      <c r="BFZ57" s="248"/>
      <c r="BGA57" s="248"/>
      <c r="BGB57" s="248"/>
      <c r="BGC57" s="248"/>
      <c r="BGD57" s="248"/>
      <c r="BGE57" s="248"/>
      <c r="BGF57" s="248"/>
      <c r="BGG57" s="248"/>
      <c r="BGH57" s="248"/>
      <c r="BGI57" s="248"/>
      <c r="BGJ57" s="248"/>
      <c r="BGK57" s="248"/>
      <c r="BGL57" s="248"/>
      <c r="BGM57" s="248"/>
      <c r="BGN57" s="248"/>
      <c r="BGO57" s="248"/>
      <c r="BGP57" s="248"/>
      <c r="BGQ57" s="248"/>
      <c r="BGR57" s="248"/>
      <c r="BGS57" s="248"/>
      <c r="BGT57" s="248"/>
      <c r="BGU57" s="248"/>
      <c r="BGV57" s="248"/>
      <c r="BGW57" s="248"/>
      <c r="BGX57" s="248"/>
      <c r="BGY57" s="248"/>
      <c r="BGZ57" s="248"/>
      <c r="BHA57" s="248"/>
      <c r="BHB57" s="248"/>
      <c r="BHC57" s="248"/>
      <c r="BHD57" s="248"/>
      <c r="BHE57" s="248"/>
      <c r="BHF57" s="248"/>
      <c r="BHG57" s="248"/>
      <c r="BHH57" s="248"/>
      <c r="BHI57" s="248"/>
      <c r="BHJ57" s="248"/>
      <c r="BHK57" s="248"/>
      <c r="BHL57" s="248"/>
      <c r="BHM57" s="248"/>
      <c r="BHN57" s="248"/>
      <c r="BHO57" s="248"/>
      <c r="BHP57" s="248"/>
      <c r="BHQ57" s="248"/>
      <c r="BHR57" s="248"/>
      <c r="BHS57" s="248"/>
      <c r="BHT57" s="248"/>
      <c r="BHU57" s="248"/>
      <c r="BHV57" s="248"/>
      <c r="BHW57" s="248"/>
      <c r="BHX57" s="248"/>
      <c r="BHY57" s="248"/>
      <c r="BHZ57" s="248"/>
      <c r="BIA57" s="248"/>
      <c r="BIB57" s="249"/>
      <c r="BIC57" s="249"/>
      <c r="BID57" s="249"/>
      <c r="BIE57" s="249"/>
      <c r="BIF57" s="249"/>
      <c r="BIG57" s="249"/>
      <c r="BIH57" s="249"/>
      <c r="BII57" s="249"/>
      <c r="BIJ57" s="249"/>
      <c r="BIK57" s="249"/>
      <c r="BIL57" s="249"/>
      <c r="BIM57" s="249"/>
      <c r="BIN57" s="249"/>
      <c r="BIO57" s="249"/>
      <c r="BIP57" s="249"/>
      <c r="BIQ57" s="249"/>
      <c r="BIR57" s="249"/>
      <c r="BIS57" s="249"/>
      <c r="BIT57" s="249"/>
      <c r="BIU57" s="249"/>
      <c r="BIV57" s="248"/>
      <c r="BIW57" s="248"/>
      <c r="BIX57" s="248"/>
      <c r="BIY57" s="248"/>
      <c r="BIZ57" s="248"/>
      <c r="BJA57" s="248"/>
      <c r="BJB57" s="248"/>
      <c r="BJC57" s="248"/>
      <c r="BJD57" s="248"/>
      <c r="BJE57" s="248"/>
      <c r="BJF57" s="248"/>
      <c r="BJG57" s="248"/>
      <c r="BJH57" s="248"/>
      <c r="BJI57" s="248"/>
      <c r="BJJ57" s="248"/>
      <c r="BJK57" s="248"/>
      <c r="BJL57" s="248"/>
      <c r="BJM57" s="248"/>
      <c r="BJN57" s="248"/>
      <c r="BJP57" s="249"/>
      <c r="BJQ57" s="249"/>
      <c r="BJR57" s="249"/>
      <c r="BJS57" s="249"/>
      <c r="BJT57" s="249"/>
      <c r="BJU57" s="249"/>
      <c r="BJV57" s="249"/>
      <c r="BJW57" s="249"/>
      <c r="BJX57" s="249"/>
      <c r="BJY57" s="249"/>
      <c r="BJZ57" s="249"/>
      <c r="BKA57" s="249"/>
      <c r="BKB57" s="249"/>
      <c r="BKC57" s="249"/>
      <c r="BKD57" s="249"/>
      <c r="BKE57" s="249"/>
      <c r="BKF57" s="249"/>
      <c r="BKG57" s="249"/>
    </row>
    <row r="58" spans="1:1660" ht="20.100000000000001" customHeight="1" x14ac:dyDescent="0.3">
      <c r="A58" s="78" t="s">
        <v>28</v>
      </c>
      <c r="B58" s="51"/>
      <c r="C58" s="216"/>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73"/>
      <c r="AYA58" s="248"/>
      <c r="AYB58" s="248"/>
      <c r="AYC58" s="248"/>
      <c r="AYD58" s="248"/>
      <c r="AYE58" s="248"/>
      <c r="AYF58" s="248"/>
      <c r="AYG58" s="248"/>
      <c r="AYH58" s="248"/>
      <c r="AYI58" s="248"/>
      <c r="AYJ58" s="248"/>
      <c r="AYK58" s="248"/>
      <c r="AYL58" s="248"/>
      <c r="AYM58" s="248"/>
      <c r="AYN58" s="248"/>
      <c r="AYO58" s="248"/>
      <c r="AYP58" s="248"/>
      <c r="AYQ58" s="248"/>
      <c r="AYR58" s="248"/>
      <c r="AYS58" s="248"/>
      <c r="AYT58" s="248"/>
      <c r="AYU58" s="248"/>
      <c r="AYV58" s="248"/>
      <c r="AYW58" s="248"/>
      <c r="AYX58" s="248"/>
      <c r="AYY58" s="248"/>
      <c r="AYZ58" s="248"/>
      <c r="AZA58" s="248"/>
      <c r="AZB58" s="248"/>
      <c r="AZC58" s="248"/>
      <c r="AZD58" s="248"/>
      <c r="AZE58" s="248"/>
      <c r="AZF58" s="248"/>
      <c r="AZG58" s="248"/>
      <c r="AZH58" s="248"/>
      <c r="AZI58" s="248"/>
      <c r="AZJ58" s="248"/>
      <c r="AZK58" s="248"/>
      <c r="AZL58" s="248"/>
      <c r="AZM58" s="248"/>
      <c r="AZN58" s="248"/>
      <c r="AZO58" s="248"/>
      <c r="AZP58" s="248"/>
      <c r="AZQ58" s="248"/>
      <c r="AZR58" s="248"/>
      <c r="AZS58" s="248"/>
      <c r="AZT58" s="248"/>
      <c r="AZU58" s="248"/>
      <c r="AZV58" s="248"/>
      <c r="AZW58" s="248"/>
      <c r="AZX58" s="248"/>
      <c r="AZY58" s="248"/>
      <c r="AZZ58" s="248"/>
      <c r="BAA58" s="248"/>
      <c r="BAB58" s="248"/>
      <c r="BAC58" s="248"/>
      <c r="BAD58" s="248"/>
      <c r="BAE58" s="248"/>
      <c r="BAF58" s="248"/>
      <c r="BAG58" s="248"/>
      <c r="BAH58" s="248"/>
      <c r="BAI58" s="248"/>
      <c r="BAJ58" s="248"/>
      <c r="BAK58" s="248"/>
      <c r="BAL58" s="248"/>
      <c r="BAM58" s="248"/>
      <c r="BAN58" s="248"/>
      <c r="BAO58" s="248"/>
      <c r="BAP58" s="248"/>
      <c r="BAQ58" s="248"/>
      <c r="BAR58" s="248"/>
      <c r="BAS58" s="248"/>
      <c r="BAT58" s="248"/>
      <c r="BAU58" s="248"/>
      <c r="BAV58" s="248"/>
      <c r="BAW58" s="248"/>
      <c r="BAX58" s="248"/>
      <c r="BAY58" s="248"/>
      <c r="BAZ58" s="248"/>
      <c r="BBA58" s="248"/>
      <c r="BBB58" s="248"/>
      <c r="BBC58" s="248"/>
      <c r="BBD58" s="248"/>
      <c r="BBE58" s="248"/>
      <c r="BBF58" s="248"/>
      <c r="BBG58" s="248"/>
      <c r="BBH58" s="248"/>
      <c r="BBI58" s="248"/>
      <c r="BBJ58" s="248"/>
      <c r="BBK58" s="248"/>
      <c r="BBL58" s="248"/>
      <c r="BBM58" s="248"/>
      <c r="BBN58" s="248"/>
      <c r="BBO58" s="248"/>
      <c r="BBP58" s="248"/>
      <c r="BBQ58" s="248"/>
      <c r="BBR58" s="248"/>
      <c r="BBS58" s="248"/>
      <c r="BBT58" s="248"/>
      <c r="BBU58" s="248"/>
      <c r="BBV58" s="248"/>
      <c r="BBW58" s="248"/>
      <c r="BBX58" s="248"/>
      <c r="BBY58" s="248"/>
      <c r="BBZ58" s="248"/>
      <c r="BCA58" s="248"/>
      <c r="BCB58" s="248"/>
      <c r="BCC58" s="248"/>
      <c r="BCD58" s="248"/>
      <c r="BCE58" s="248"/>
      <c r="BCF58" s="248"/>
      <c r="BCG58" s="248"/>
      <c r="BCH58" s="248"/>
      <c r="BCI58" s="248"/>
      <c r="BCJ58" s="248"/>
      <c r="BCK58" s="248"/>
      <c r="BCL58" s="248"/>
      <c r="BCM58" s="248"/>
      <c r="BCN58" s="248"/>
      <c r="BCO58" s="248"/>
      <c r="BCP58" s="248"/>
      <c r="BCQ58" s="248"/>
      <c r="BCR58" s="248"/>
      <c r="BCS58" s="248"/>
      <c r="BCT58" s="248"/>
      <c r="BCU58" s="248"/>
      <c r="BCV58" s="248"/>
      <c r="BCW58" s="248"/>
      <c r="BCX58" s="248"/>
      <c r="BCY58" s="248"/>
      <c r="BCZ58" s="248"/>
      <c r="BDA58" s="248"/>
      <c r="BDB58" s="248"/>
      <c r="BDC58" s="248"/>
      <c r="BDD58" s="248"/>
      <c r="BDE58" s="248"/>
      <c r="BDF58" s="248"/>
      <c r="BDG58" s="248"/>
      <c r="BDH58" s="248"/>
      <c r="BDI58" s="248"/>
      <c r="BDJ58" s="248"/>
      <c r="BDK58" s="248"/>
      <c r="BDL58" s="248"/>
      <c r="BDM58" s="248"/>
      <c r="BDN58" s="248"/>
      <c r="BDO58" s="248"/>
      <c r="BDP58" s="248"/>
      <c r="BDQ58" s="248"/>
      <c r="BDR58" s="248"/>
      <c r="BDS58" s="248"/>
      <c r="BDT58" s="248"/>
      <c r="BDU58" s="248"/>
      <c r="BDV58" s="248"/>
      <c r="BDW58" s="248"/>
      <c r="BDX58" s="248"/>
      <c r="BDY58" s="248"/>
      <c r="BDZ58" s="248"/>
      <c r="BEA58" s="248"/>
      <c r="BEB58" s="248"/>
      <c r="BEC58" s="248"/>
      <c r="BED58" s="248"/>
      <c r="BEE58" s="248"/>
      <c r="BEF58" s="248"/>
      <c r="BEG58" s="248"/>
      <c r="BEH58" s="248"/>
      <c r="BEI58" s="248"/>
      <c r="BEJ58" s="248"/>
      <c r="BEK58" s="248"/>
      <c r="BEL58" s="248"/>
      <c r="BEM58" s="248"/>
      <c r="BEN58" s="248"/>
      <c r="BEO58" s="248"/>
      <c r="BEP58" s="248"/>
      <c r="BEQ58" s="248"/>
      <c r="BER58" s="248"/>
      <c r="BES58" s="248"/>
      <c r="BET58" s="248"/>
      <c r="BEU58" s="248"/>
      <c r="BEV58" s="248"/>
      <c r="BEW58" s="248"/>
      <c r="BEX58" s="248"/>
      <c r="BEY58" s="248"/>
      <c r="BEZ58" s="248"/>
      <c r="BFA58" s="248"/>
      <c r="BFB58" s="248"/>
      <c r="BFC58" s="248"/>
      <c r="BFD58" s="248"/>
      <c r="BFE58" s="248"/>
      <c r="BFF58" s="248"/>
      <c r="BFG58" s="248"/>
      <c r="BFH58" s="248"/>
      <c r="BFI58" s="248"/>
      <c r="BFJ58" s="248"/>
      <c r="BFK58" s="248"/>
      <c r="BFL58" s="248"/>
      <c r="BFM58" s="248"/>
      <c r="BFN58" s="248"/>
      <c r="BFO58" s="248"/>
      <c r="BFP58" s="248"/>
      <c r="BFQ58" s="248"/>
      <c r="BFR58" s="248"/>
      <c r="BFS58" s="248"/>
      <c r="BFT58" s="248"/>
      <c r="BFU58" s="248"/>
      <c r="BFV58" s="248"/>
      <c r="BFW58" s="248"/>
      <c r="BFX58" s="248"/>
      <c r="BFY58" s="248"/>
      <c r="BFZ58" s="248"/>
      <c r="BGA58" s="248"/>
      <c r="BGB58" s="248"/>
      <c r="BGC58" s="248"/>
      <c r="BGD58" s="248"/>
      <c r="BGE58" s="248"/>
      <c r="BGF58" s="248"/>
      <c r="BGG58" s="248"/>
      <c r="BGH58" s="248"/>
      <c r="BGI58" s="248"/>
      <c r="BGJ58" s="248"/>
      <c r="BGK58" s="248"/>
      <c r="BGL58" s="248"/>
      <c r="BGM58" s="248"/>
      <c r="BGN58" s="248"/>
      <c r="BGO58" s="248"/>
      <c r="BGP58" s="248"/>
      <c r="BGQ58" s="248"/>
      <c r="BGR58" s="248"/>
      <c r="BGS58" s="248"/>
      <c r="BGT58" s="248"/>
      <c r="BGU58" s="248"/>
      <c r="BGV58" s="248"/>
      <c r="BGW58" s="248"/>
      <c r="BGX58" s="248"/>
      <c r="BGY58" s="248"/>
      <c r="BGZ58" s="248"/>
      <c r="BHA58" s="248"/>
      <c r="BHB58" s="248"/>
      <c r="BHC58" s="248"/>
      <c r="BHD58" s="248"/>
      <c r="BHE58" s="248"/>
      <c r="BHF58" s="248"/>
      <c r="BHG58" s="248"/>
      <c r="BHH58" s="248"/>
      <c r="BHI58" s="248"/>
      <c r="BHJ58" s="248"/>
      <c r="BHK58" s="248"/>
      <c r="BHL58" s="248"/>
      <c r="BHM58" s="248"/>
      <c r="BHN58" s="248"/>
      <c r="BHO58" s="248"/>
      <c r="BHP58" s="248"/>
      <c r="BHQ58" s="248"/>
      <c r="BHR58" s="248"/>
      <c r="BHS58" s="248"/>
      <c r="BHT58" s="248"/>
      <c r="BHU58" s="248"/>
      <c r="BHV58" s="248"/>
      <c r="BHW58" s="248"/>
      <c r="BHX58" s="248"/>
      <c r="BHY58" s="248"/>
      <c r="BHZ58" s="248"/>
      <c r="BIA58" s="248"/>
      <c r="BIB58" s="248"/>
      <c r="BIC58" s="248"/>
      <c r="BID58" s="248"/>
      <c r="BIE58" s="248"/>
      <c r="BIF58" s="248"/>
      <c r="BIG58" s="248"/>
      <c r="BIH58" s="248"/>
      <c r="BII58" s="248"/>
      <c r="BIJ58" s="248"/>
      <c r="BIK58" s="248"/>
      <c r="BIL58" s="248"/>
      <c r="BIM58" s="248"/>
      <c r="BIN58" s="248"/>
      <c r="BIO58" s="248"/>
      <c r="BIP58" s="248"/>
      <c r="BIQ58" s="248"/>
      <c r="BIR58" s="248"/>
      <c r="BIS58" s="248"/>
      <c r="BIT58" s="248"/>
      <c r="BIU58" s="248"/>
      <c r="BIV58" s="248"/>
      <c r="BIW58" s="248"/>
      <c r="BIX58" s="248"/>
      <c r="BIY58" s="248"/>
      <c r="BIZ58" s="248"/>
      <c r="BJA58" s="248"/>
      <c r="BJB58" s="248"/>
      <c r="BJC58" s="248"/>
      <c r="BJD58" s="248"/>
      <c r="BJE58" s="248"/>
      <c r="BJF58" s="248"/>
      <c r="BJG58" s="248"/>
      <c r="BJH58" s="248"/>
      <c r="BJI58" s="248"/>
      <c r="BJJ58" s="248"/>
      <c r="BJK58" s="248"/>
      <c r="BJL58" s="248"/>
      <c r="BJM58" s="248"/>
      <c r="BJN58" s="248"/>
      <c r="BJO58" s="248"/>
      <c r="BJP58" s="248"/>
      <c r="BJQ58" s="248"/>
      <c r="BJR58" s="248"/>
      <c r="BJS58" s="248"/>
      <c r="BJT58" s="248"/>
      <c r="BJU58" s="248"/>
      <c r="BJV58" s="248"/>
      <c r="BJW58" s="248"/>
      <c r="BJX58" s="248"/>
      <c r="BJY58" s="248"/>
      <c r="BJZ58" s="248"/>
      <c r="BKA58" s="248"/>
      <c r="BKB58" s="248"/>
      <c r="BKC58" s="248"/>
      <c r="BKD58" s="248"/>
      <c r="BKE58" s="248"/>
      <c r="BKF58" s="248"/>
      <c r="BKG58" s="248"/>
      <c r="BKH58" s="248"/>
      <c r="BKI58" s="248"/>
      <c r="BKJ58" s="248"/>
      <c r="BKK58" s="248"/>
      <c r="BKL58" s="248"/>
      <c r="BKM58" s="248"/>
      <c r="BKN58" s="248"/>
      <c r="BKO58" s="248"/>
      <c r="BKP58" s="248"/>
      <c r="BKQ58" s="248"/>
      <c r="BKR58" s="248"/>
      <c r="BKS58" s="248"/>
      <c r="BKT58" s="248"/>
      <c r="BKU58" s="248"/>
      <c r="BKV58" s="248"/>
    </row>
    <row r="59" spans="1:1660" ht="20.100000000000001" customHeight="1" x14ac:dyDescent="0.25">
      <c r="A59" s="78" t="s">
        <v>26</v>
      </c>
      <c r="B59" s="51"/>
      <c r="C59" s="209"/>
      <c r="D59" s="119" t="str">
        <f t="shared" si="0"/>
        <v>2h 50 min</v>
      </c>
      <c r="E59" s="26">
        <v>34</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73"/>
      <c r="AYA59" s="248"/>
      <c r="AYB59" s="248"/>
      <c r="AYC59" s="248"/>
      <c r="AYD59" s="248"/>
      <c r="AYE59" s="248"/>
      <c r="AYF59" s="248"/>
      <c r="AYG59" s="248"/>
      <c r="AYH59" s="248"/>
      <c r="AYI59" s="248"/>
      <c r="AYJ59" s="248"/>
      <c r="AYK59" s="248"/>
      <c r="AYL59" s="248"/>
      <c r="AYM59" s="248"/>
      <c r="AYN59" s="248"/>
      <c r="AYO59" s="248"/>
      <c r="AYP59" s="248"/>
      <c r="AYQ59" s="248"/>
      <c r="AYR59" s="248"/>
      <c r="AYS59" s="248"/>
      <c r="AYT59" s="248"/>
      <c r="AYU59" s="248"/>
      <c r="AYV59" s="248"/>
      <c r="AYW59" s="248"/>
      <c r="AYX59" s="248"/>
      <c r="AYY59" s="248"/>
      <c r="AYZ59" s="248"/>
      <c r="AZA59" s="248"/>
      <c r="AZB59" s="248"/>
      <c r="AZC59" s="248"/>
      <c r="AZD59" s="248"/>
      <c r="AZE59" s="248"/>
      <c r="AZF59" s="248"/>
      <c r="AZG59" s="248"/>
      <c r="AZH59" s="248"/>
      <c r="AZI59" s="248"/>
      <c r="AZJ59" s="248"/>
      <c r="AZK59" s="248"/>
      <c r="AZL59" s="248"/>
      <c r="AZM59" s="248"/>
      <c r="AZN59" s="248"/>
      <c r="AZO59" s="248"/>
      <c r="AZP59" s="248"/>
      <c r="AZQ59" s="248"/>
      <c r="AZR59" s="248"/>
      <c r="AZS59" s="248"/>
      <c r="AZT59" s="248"/>
      <c r="AZU59" s="248"/>
      <c r="AZV59" s="248"/>
      <c r="AZW59" s="248"/>
      <c r="AZX59" s="248"/>
      <c r="AZY59" s="248"/>
      <c r="AZZ59" s="248"/>
      <c r="BAA59" s="248"/>
      <c r="BAB59" s="248"/>
      <c r="BAC59" s="248"/>
      <c r="BAD59" s="248"/>
      <c r="BAE59" s="248"/>
      <c r="BAF59" s="248"/>
      <c r="BAG59" s="248"/>
      <c r="BAH59" s="248"/>
      <c r="BAI59" s="248"/>
      <c r="BAJ59" s="248"/>
      <c r="BAK59" s="248"/>
      <c r="BAL59" s="248"/>
      <c r="BAM59" s="248"/>
      <c r="BAN59" s="248"/>
      <c r="BAO59" s="248"/>
      <c r="BAP59" s="248"/>
      <c r="BAQ59" s="248"/>
      <c r="BAR59" s="248"/>
      <c r="BAS59" s="248"/>
      <c r="BAT59" s="248"/>
      <c r="BAU59" s="248"/>
      <c r="BAV59" s="248"/>
      <c r="BAW59" s="248"/>
      <c r="BAX59" s="248"/>
      <c r="BAY59" s="248"/>
      <c r="BAZ59" s="248"/>
      <c r="BBA59" s="248"/>
      <c r="BBB59" s="248"/>
      <c r="BBC59" s="248"/>
      <c r="BBD59" s="248"/>
      <c r="BBE59" s="248"/>
      <c r="BBF59" s="248"/>
      <c r="BBG59" s="248"/>
      <c r="BBH59" s="248"/>
      <c r="BBI59" s="248"/>
      <c r="BBJ59" s="248"/>
      <c r="BBK59" s="248"/>
      <c r="BBL59" s="248"/>
      <c r="BBM59" s="248"/>
      <c r="BBN59" s="248"/>
      <c r="BBO59" s="248"/>
      <c r="BBP59" s="248"/>
      <c r="BBQ59" s="248"/>
      <c r="BBR59" s="248"/>
      <c r="BBS59" s="248"/>
      <c r="BBT59" s="248"/>
      <c r="BBU59" s="248"/>
      <c r="BBV59" s="248"/>
      <c r="BBW59" s="248"/>
      <c r="BBX59" s="248"/>
      <c r="BBY59" s="248"/>
      <c r="BBZ59" s="248"/>
      <c r="BCA59" s="248"/>
      <c r="BCB59" s="248"/>
      <c r="BCC59" s="248"/>
      <c r="BCD59" s="248"/>
      <c r="BCE59" s="248"/>
      <c r="BCF59" s="248"/>
      <c r="BCG59" s="248"/>
      <c r="BCH59" s="248"/>
      <c r="BCI59" s="248"/>
      <c r="BCJ59" s="248"/>
      <c r="BCK59" s="248"/>
      <c r="BCL59" s="248"/>
      <c r="BCM59" s="248"/>
      <c r="BCN59" s="248"/>
      <c r="BCO59" s="248"/>
      <c r="BCP59" s="248"/>
      <c r="BCQ59" s="248"/>
      <c r="BCR59" s="248"/>
      <c r="BCS59" s="248"/>
      <c r="BCT59" s="248"/>
      <c r="BCU59" s="248"/>
      <c r="BCV59" s="248"/>
      <c r="BCW59" s="248"/>
      <c r="BCX59" s="248"/>
      <c r="BCY59" s="248"/>
      <c r="BCZ59" s="248"/>
      <c r="BDA59" s="248"/>
      <c r="BDB59" s="248"/>
      <c r="BDC59" s="248"/>
      <c r="BDD59" s="248"/>
      <c r="BDE59" s="248"/>
      <c r="BDF59" s="248"/>
      <c r="BDG59" s="248"/>
      <c r="BDH59" s="248"/>
      <c r="BDI59" s="248"/>
      <c r="BDJ59" s="248"/>
      <c r="BDK59" s="248"/>
      <c r="BDL59" s="248"/>
      <c r="BDM59" s="248"/>
      <c r="BDN59" s="248"/>
      <c r="BDO59" s="248"/>
      <c r="BDP59" s="248"/>
      <c r="BDQ59" s="248"/>
      <c r="BDR59" s="248"/>
      <c r="BDS59" s="248"/>
      <c r="BDT59" s="248"/>
      <c r="BDU59" s="248"/>
      <c r="BDV59" s="248"/>
      <c r="BDW59" s="248"/>
      <c r="BDX59" s="248"/>
      <c r="BDY59" s="248"/>
      <c r="BDZ59" s="248"/>
      <c r="BEA59" s="248"/>
      <c r="BEB59" s="248"/>
      <c r="BEC59" s="248"/>
      <c r="BED59" s="248"/>
      <c r="BEE59" s="248"/>
      <c r="BEF59" s="248"/>
      <c r="BEG59" s="248"/>
      <c r="BEH59" s="248"/>
      <c r="BEI59" s="248"/>
      <c r="BEJ59" s="248"/>
      <c r="BEK59" s="248"/>
      <c r="BEL59" s="248"/>
      <c r="BEM59" s="248"/>
      <c r="BEN59" s="248"/>
      <c r="BEO59" s="248"/>
      <c r="BEP59" s="248"/>
      <c r="BEQ59" s="248"/>
      <c r="BER59" s="248"/>
      <c r="BES59" s="248"/>
      <c r="BET59" s="248"/>
      <c r="BEU59" s="248"/>
      <c r="BEV59" s="248"/>
      <c r="BEW59" s="248"/>
      <c r="BEX59" s="248"/>
      <c r="BEY59" s="248"/>
      <c r="BEZ59" s="248"/>
      <c r="BFA59" s="248"/>
      <c r="BFB59" s="248"/>
      <c r="BFC59" s="248"/>
      <c r="BFD59" s="248"/>
      <c r="BFE59" s="248"/>
      <c r="BFF59" s="248"/>
      <c r="BFG59" s="248"/>
      <c r="BFH59" s="248"/>
      <c r="BFI59" s="248"/>
      <c r="BFJ59" s="248"/>
      <c r="BFK59" s="248"/>
      <c r="BFL59" s="248"/>
      <c r="BFM59" s="248"/>
      <c r="BFN59" s="248"/>
      <c r="BFO59" s="248"/>
      <c r="BFP59" s="248"/>
      <c r="BFQ59" s="248"/>
      <c r="BFR59" s="248"/>
      <c r="BFS59" s="248"/>
      <c r="BFT59" s="248"/>
      <c r="BFU59" s="248"/>
      <c r="BFV59" s="248"/>
      <c r="BFW59" s="248"/>
      <c r="BFX59" s="248"/>
      <c r="BFY59" s="248"/>
      <c r="BFZ59" s="248"/>
      <c r="BGA59" s="248"/>
      <c r="BGB59" s="248"/>
      <c r="BGC59" s="248"/>
      <c r="BGD59" s="248"/>
      <c r="BGE59" s="248"/>
      <c r="BGF59" s="248"/>
      <c r="BGG59" s="248"/>
      <c r="BGH59" s="248"/>
      <c r="BGI59" s="248"/>
      <c r="BGJ59" s="248"/>
      <c r="BGK59" s="248"/>
      <c r="BGL59" s="248"/>
      <c r="BGM59" s="248"/>
      <c r="BGN59" s="248"/>
      <c r="BGO59" s="248"/>
      <c r="BGP59" s="248"/>
      <c r="BGQ59" s="248"/>
      <c r="BGR59" s="248"/>
      <c r="BGS59" s="248"/>
      <c r="BGT59" s="248"/>
      <c r="BGU59" s="248"/>
      <c r="BGV59" s="248"/>
      <c r="BGW59" s="248"/>
      <c r="BGX59" s="248"/>
      <c r="BGY59" s="248"/>
      <c r="BGZ59" s="248"/>
      <c r="BHA59" s="248"/>
      <c r="BHB59" s="248"/>
      <c r="BHC59" s="248"/>
      <c r="BHD59" s="248"/>
      <c r="BHE59" s="248"/>
      <c r="BHF59" s="248"/>
      <c r="BHG59" s="248"/>
      <c r="BHH59" s="248"/>
      <c r="BHI59" s="248"/>
      <c r="BHJ59" s="248"/>
      <c r="BHK59" s="248"/>
      <c r="BHL59" s="248"/>
      <c r="BHM59" s="248"/>
      <c r="BHN59" s="248"/>
      <c r="BHO59" s="248"/>
      <c r="BHP59" s="248"/>
      <c r="BHQ59" s="248"/>
      <c r="BHR59" s="248"/>
      <c r="BHS59" s="248"/>
      <c r="BHT59" s="248"/>
      <c r="BHU59" s="248"/>
      <c r="BHV59" s="248"/>
      <c r="BHW59" s="248"/>
      <c r="BHX59" s="248"/>
      <c r="BHY59" s="248"/>
      <c r="BHZ59" s="248"/>
      <c r="BIA59" s="248"/>
      <c r="BIB59" s="248"/>
      <c r="BIC59" s="248"/>
      <c r="BID59" s="248"/>
      <c r="BIE59" s="248"/>
      <c r="BIF59" s="248"/>
      <c r="BIG59" s="248"/>
      <c r="BIH59" s="248"/>
      <c r="BII59" s="248"/>
      <c r="BIJ59" s="248"/>
      <c r="BIK59" s="248"/>
      <c r="BIL59" s="248"/>
      <c r="BIM59" s="248"/>
      <c r="BIN59" s="248"/>
      <c r="BIO59" s="248"/>
      <c r="BIP59" s="248"/>
      <c r="BIQ59" s="248"/>
      <c r="BIR59" s="248"/>
      <c r="BIS59" s="248"/>
      <c r="BIT59" s="248"/>
      <c r="BIU59" s="248"/>
      <c r="BIV59" s="248"/>
      <c r="BIW59" s="248"/>
      <c r="BIX59" s="248"/>
      <c r="BIY59" s="248"/>
      <c r="BIZ59" s="248"/>
      <c r="BJA59" s="248"/>
      <c r="BJB59" s="248"/>
      <c r="BJC59" s="248"/>
      <c r="BJD59" s="248"/>
      <c r="BJE59" s="248"/>
      <c r="BJF59" s="248"/>
      <c r="BJG59" s="248"/>
      <c r="BJH59" s="248"/>
      <c r="BJI59" s="248"/>
      <c r="BJJ59" s="248"/>
      <c r="BJK59" s="248"/>
      <c r="BJL59" s="248"/>
      <c r="BJM59" s="248"/>
      <c r="BJN59" s="248"/>
    </row>
    <row r="60" spans="1:1660" ht="20.100000000000001" customHeight="1" x14ac:dyDescent="0.3">
      <c r="A60" s="78" t="s">
        <v>28</v>
      </c>
      <c r="B60" s="51"/>
      <c r="C60" s="215"/>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73"/>
      <c r="AYA60" s="248"/>
      <c r="AYB60" s="248"/>
      <c r="AYC60" s="248"/>
      <c r="AYD60" s="248"/>
      <c r="AYE60" s="248"/>
      <c r="AYF60" s="248"/>
      <c r="AYG60" s="248"/>
      <c r="AYH60" s="248"/>
      <c r="AYI60" s="248"/>
      <c r="AYJ60" s="248"/>
      <c r="AYK60" s="248"/>
      <c r="AYL60" s="248"/>
      <c r="AYM60" s="248"/>
      <c r="AYN60" s="248"/>
      <c r="AYO60" s="248"/>
      <c r="AYP60" s="248"/>
      <c r="AYQ60" s="248"/>
      <c r="AYR60" s="248"/>
      <c r="AYS60" s="248"/>
      <c r="AYT60" s="248"/>
      <c r="AYU60" s="248"/>
      <c r="AYV60" s="248"/>
      <c r="AYW60" s="248"/>
      <c r="AYX60" s="248"/>
      <c r="AYY60" s="248"/>
      <c r="AYZ60" s="248"/>
      <c r="AZA60" s="248"/>
      <c r="AZB60" s="248"/>
      <c r="AZC60" s="248"/>
      <c r="AZD60" s="248"/>
      <c r="AZE60" s="248"/>
      <c r="AZF60" s="248"/>
      <c r="AZG60" s="248"/>
      <c r="AZH60" s="248"/>
      <c r="AZI60" s="248"/>
      <c r="AZJ60" s="248"/>
      <c r="AZK60" s="248"/>
      <c r="AZL60" s="248"/>
      <c r="AZM60" s="248"/>
      <c r="AZN60" s="248"/>
      <c r="AZO60" s="248"/>
      <c r="AZP60" s="248"/>
      <c r="AZQ60" s="248"/>
      <c r="AZR60" s="248"/>
      <c r="AZS60" s="248"/>
      <c r="AZT60" s="248"/>
      <c r="AZU60" s="248"/>
      <c r="AZV60" s="248"/>
      <c r="AZW60" s="248"/>
      <c r="AZX60" s="248"/>
      <c r="AZY60" s="248"/>
      <c r="AZZ60" s="248"/>
      <c r="BAA60" s="248"/>
      <c r="BAB60" s="248"/>
      <c r="BAC60" s="248"/>
      <c r="BAD60" s="248"/>
      <c r="BAE60" s="248"/>
      <c r="BAF60" s="248"/>
      <c r="BAG60" s="248"/>
      <c r="BAH60" s="248"/>
      <c r="BAI60" s="248"/>
      <c r="BAJ60" s="248"/>
      <c r="BAK60" s="248"/>
      <c r="BAL60" s="248"/>
      <c r="BAM60" s="248"/>
      <c r="BAN60" s="248"/>
      <c r="BAO60" s="248"/>
      <c r="BAP60" s="248"/>
      <c r="BAQ60" s="248"/>
      <c r="BAR60" s="248"/>
      <c r="BAS60" s="248"/>
      <c r="BAT60" s="248"/>
      <c r="BAU60" s="248"/>
      <c r="BAV60" s="248"/>
      <c r="BAW60" s="248"/>
      <c r="BAX60" s="248"/>
      <c r="BAY60" s="248"/>
      <c r="BAZ60" s="248"/>
      <c r="BBA60" s="248"/>
      <c r="BBB60" s="248"/>
      <c r="BBC60" s="248"/>
      <c r="BBD60" s="248"/>
      <c r="BBE60" s="248"/>
      <c r="BBF60" s="248"/>
      <c r="BBG60" s="248"/>
      <c r="BBH60" s="248"/>
      <c r="BBI60" s="248"/>
      <c r="BBJ60" s="248"/>
      <c r="BBK60" s="248"/>
      <c r="BBL60" s="248"/>
      <c r="BBM60" s="248"/>
      <c r="BBN60" s="248"/>
      <c r="BBO60" s="248"/>
      <c r="BBP60" s="248"/>
      <c r="BBQ60" s="248"/>
      <c r="BBR60" s="248"/>
      <c r="BBS60" s="248"/>
      <c r="BBT60" s="248"/>
      <c r="BBU60" s="248"/>
      <c r="BBV60" s="248"/>
      <c r="BBW60" s="248"/>
      <c r="BBX60" s="248"/>
      <c r="BBY60" s="248"/>
      <c r="BBZ60" s="248"/>
      <c r="BCA60" s="248"/>
      <c r="BCB60" s="248"/>
      <c r="BCC60" s="248"/>
      <c r="BCD60" s="248"/>
      <c r="BCE60" s="248"/>
      <c r="BCF60" s="248"/>
      <c r="BCG60" s="248"/>
      <c r="BCH60" s="248"/>
      <c r="BCI60" s="248"/>
      <c r="BCJ60" s="248"/>
      <c r="BCK60" s="248"/>
      <c r="BCL60" s="248"/>
      <c r="BCM60" s="248"/>
      <c r="BCN60" s="248"/>
      <c r="BCO60" s="248"/>
      <c r="BCP60" s="248"/>
      <c r="BCQ60" s="248"/>
      <c r="BCR60" s="248"/>
      <c r="BCS60" s="248"/>
      <c r="BCT60" s="248"/>
      <c r="BCU60" s="248"/>
      <c r="BCV60" s="248"/>
      <c r="BCW60" s="248"/>
      <c r="BCX60" s="248"/>
      <c r="BCY60" s="248"/>
      <c r="BCZ60" s="248"/>
      <c r="BDA60" s="248"/>
      <c r="BDB60" s="248"/>
      <c r="BDC60" s="248"/>
      <c r="BDD60" s="248"/>
      <c r="BDE60" s="248"/>
      <c r="BDF60" s="248"/>
      <c r="BDG60" s="248"/>
      <c r="BDH60" s="248"/>
      <c r="BDI60" s="248"/>
      <c r="BDJ60" s="248"/>
      <c r="BDK60" s="248"/>
      <c r="BDL60" s="248"/>
      <c r="BDM60" s="248"/>
      <c r="BDN60" s="248"/>
      <c r="BDO60" s="248"/>
      <c r="BDP60" s="248"/>
      <c r="BDQ60" s="248"/>
      <c r="BDR60" s="248"/>
      <c r="BDS60" s="248"/>
      <c r="BDT60" s="248"/>
      <c r="BDU60" s="248"/>
      <c r="BDV60" s="248"/>
      <c r="BDW60" s="248"/>
      <c r="BDX60" s="248"/>
      <c r="BDY60" s="248"/>
      <c r="BDZ60" s="248"/>
      <c r="BEA60" s="248"/>
      <c r="BEB60" s="248"/>
      <c r="BEC60" s="248"/>
      <c r="BED60" s="248"/>
      <c r="BEE60" s="248"/>
      <c r="BEF60" s="248"/>
      <c r="BEG60" s="248"/>
      <c r="BEH60" s="248"/>
      <c r="BEI60" s="248"/>
      <c r="BEJ60" s="248"/>
      <c r="BEK60" s="248"/>
      <c r="BEL60" s="248"/>
      <c r="BEM60" s="248"/>
      <c r="BEN60" s="248"/>
      <c r="BEO60" s="248"/>
      <c r="BEP60" s="248"/>
      <c r="BEQ60" s="248"/>
      <c r="BER60" s="248"/>
      <c r="BES60" s="248"/>
      <c r="BET60" s="248"/>
      <c r="BEU60" s="248"/>
      <c r="BEV60" s="248"/>
      <c r="BEW60" s="248"/>
      <c r="BEX60" s="248"/>
      <c r="BEY60" s="248"/>
      <c r="BEZ60" s="248"/>
      <c r="BFA60" s="248"/>
      <c r="BFB60" s="248"/>
      <c r="BFC60" s="248"/>
      <c r="BFD60" s="248"/>
      <c r="BFE60" s="248"/>
      <c r="BFF60" s="248"/>
      <c r="BFG60" s="248"/>
      <c r="BFH60" s="248"/>
      <c r="BFI60" s="248"/>
      <c r="BFJ60" s="248"/>
      <c r="BFK60" s="248"/>
      <c r="BFL60" s="248"/>
      <c r="BFM60" s="248"/>
      <c r="BFN60" s="248"/>
      <c r="BFO60" s="248"/>
      <c r="BFP60" s="248"/>
      <c r="BFQ60" s="248"/>
      <c r="BFR60" s="248"/>
      <c r="BFS60" s="248"/>
      <c r="BFT60" s="248"/>
      <c r="BFU60" s="248"/>
      <c r="BFV60" s="248"/>
      <c r="BFW60" s="248"/>
      <c r="BFX60" s="248"/>
      <c r="BFY60" s="248"/>
      <c r="BFZ60" s="248"/>
      <c r="BGA60" s="248"/>
      <c r="BGB60" s="248"/>
      <c r="BGC60" s="248"/>
      <c r="BGD60" s="248"/>
      <c r="BGE60" s="248"/>
      <c r="BGF60" s="248"/>
      <c r="BGG60" s="248"/>
      <c r="BGH60" s="248"/>
      <c r="BGI60" s="248"/>
      <c r="BGJ60" s="248"/>
      <c r="BGK60" s="248"/>
      <c r="BGL60" s="248"/>
      <c r="BGM60" s="248"/>
      <c r="BGN60" s="248"/>
      <c r="BGO60" s="248"/>
      <c r="BGP60" s="248"/>
      <c r="BGQ60" s="248"/>
      <c r="BGR60" s="248"/>
      <c r="BGS60" s="248"/>
      <c r="BGT60" s="248"/>
      <c r="BGU60" s="248"/>
      <c r="BGV60" s="248"/>
      <c r="BGW60" s="248"/>
      <c r="BGX60" s="248"/>
      <c r="BGY60" s="248"/>
      <c r="BGZ60" s="248"/>
      <c r="BHA60" s="248"/>
      <c r="BHB60" s="248"/>
      <c r="BHC60" s="248"/>
      <c r="BHD60" s="248"/>
      <c r="BHE60" s="248"/>
      <c r="BHF60" s="248"/>
      <c r="BHG60" s="248"/>
      <c r="BHH60" s="248"/>
      <c r="BHI60" s="248"/>
      <c r="BHJ60" s="248"/>
      <c r="BHK60" s="248"/>
      <c r="BHL60" s="248"/>
      <c r="BHM60" s="248"/>
      <c r="BHN60" s="248"/>
      <c r="BHO60" s="248"/>
      <c r="BHP60" s="248"/>
      <c r="BHQ60" s="248"/>
      <c r="BHR60" s="248"/>
      <c r="BHS60" s="248"/>
      <c r="BHT60" s="248"/>
      <c r="BHU60" s="248"/>
      <c r="BHV60" s="248"/>
      <c r="BHW60" s="248"/>
      <c r="BHX60" s="248"/>
      <c r="BHY60" s="248"/>
      <c r="BHZ60" s="248"/>
      <c r="BIA60" s="248"/>
      <c r="BIB60" s="248"/>
      <c r="BIC60" s="248"/>
      <c r="BID60" s="248"/>
      <c r="BIE60" s="248"/>
      <c r="BIF60" s="248"/>
      <c r="BIG60" s="248"/>
      <c r="BIH60" s="248"/>
      <c r="BII60" s="248"/>
      <c r="BIJ60" s="248"/>
      <c r="BIK60" s="248"/>
      <c r="BIL60" s="248"/>
      <c r="BIM60" s="248"/>
      <c r="BIN60" s="248"/>
      <c r="BIO60" s="248"/>
      <c r="BIP60" s="248"/>
      <c r="BIQ60" s="248"/>
      <c r="BIR60" s="248"/>
      <c r="BIS60" s="248"/>
      <c r="BIT60" s="248"/>
      <c r="BIU60" s="248"/>
      <c r="BIV60" s="248"/>
      <c r="BIW60" s="248"/>
      <c r="BIX60" s="248"/>
      <c r="BIY60" s="248"/>
      <c r="BIZ60" s="248"/>
      <c r="BJA60" s="248"/>
      <c r="BJB60" s="248"/>
      <c r="BJC60" s="248"/>
      <c r="BJD60" s="248"/>
      <c r="BJE60" s="248"/>
      <c r="BJF60" s="248"/>
      <c r="BJG60" s="248"/>
      <c r="BJH60" s="248"/>
      <c r="BJI60" s="248"/>
      <c r="BJJ60" s="248"/>
      <c r="BJK60" s="248"/>
      <c r="BJL60" s="248"/>
      <c r="BJM60" s="248"/>
      <c r="BJN60" s="248"/>
      <c r="BJO60" s="248"/>
      <c r="BJP60" s="248"/>
      <c r="BJQ60" s="248"/>
      <c r="BJR60" s="248"/>
      <c r="BJS60" s="248"/>
      <c r="BJT60" s="248"/>
      <c r="BJU60" s="248"/>
      <c r="BJV60" s="248"/>
      <c r="BJW60" s="248"/>
      <c r="BJX60" s="248"/>
      <c r="BJY60" s="248"/>
      <c r="BJZ60" s="248"/>
      <c r="BKA60" s="248"/>
      <c r="BKB60" s="248"/>
      <c r="BKC60" s="248"/>
      <c r="BKD60" s="248"/>
      <c r="BKE60" s="248"/>
      <c r="BKF60" s="248"/>
      <c r="BKG60" s="248"/>
      <c r="BKH60" s="248"/>
      <c r="BKI60" s="248"/>
      <c r="BKJ60" s="248"/>
      <c r="BKK60" s="248"/>
      <c r="BKL60" s="248"/>
      <c r="BKM60" s="248"/>
      <c r="BKN60" s="248"/>
      <c r="BKO60" s="248"/>
      <c r="BKP60" s="248"/>
      <c r="BKQ60" s="248"/>
      <c r="BKR60" s="248"/>
      <c r="BKS60" s="248"/>
      <c r="BKT60" s="248"/>
      <c r="BKU60" s="248"/>
      <c r="BKV60" s="248"/>
    </row>
    <row r="61" spans="1:1660" ht="20.100000000000001" customHeight="1" x14ac:dyDescent="0.25">
      <c r="A61" s="78" t="s">
        <v>26</v>
      </c>
      <c r="B61" s="51"/>
      <c r="C61" s="209"/>
      <c r="D61" s="119" t="str">
        <f t="shared" si="0"/>
        <v>2h 50 min</v>
      </c>
      <c r="E61" s="34">
        <v>34</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73"/>
      <c r="AYA61" s="248"/>
      <c r="AYB61" s="248"/>
      <c r="AYC61" s="248"/>
      <c r="AYD61" s="248"/>
      <c r="AYE61" s="248"/>
      <c r="AYF61" s="248"/>
      <c r="AYG61" s="248"/>
      <c r="AYH61" s="248"/>
      <c r="AYI61" s="248"/>
      <c r="AYJ61" s="248"/>
      <c r="AYK61" s="248"/>
      <c r="AYL61" s="248"/>
      <c r="AYM61" s="248"/>
      <c r="AYN61" s="248"/>
      <c r="AYO61" s="248"/>
      <c r="AYP61" s="248"/>
      <c r="AYQ61" s="248"/>
      <c r="AYR61" s="248"/>
      <c r="AYS61" s="248"/>
      <c r="AYT61" s="248"/>
      <c r="AYU61" s="248"/>
      <c r="AYV61" s="248"/>
      <c r="AYW61" s="248"/>
      <c r="AYX61" s="248"/>
      <c r="AYY61" s="248"/>
      <c r="AYZ61" s="248"/>
      <c r="AZA61" s="248"/>
      <c r="AZB61" s="248"/>
      <c r="AZC61" s="248"/>
      <c r="AZD61" s="248"/>
      <c r="AZE61" s="248"/>
      <c r="AZF61" s="248"/>
      <c r="AZG61" s="248"/>
      <c r="AZH61" s="248"/>
      <c r="AZI61" s="248"/>
      <c r="AZJ61" s="248"/>
      <c r="AZK61" s="248"/>
      <c r="AZL61" s="248"/>
      <c r="AZM61" s="248"/>
      <c r="AZN61" s="248"/>
      <c r="AZO61" s="248"/>
      <c r="AZP61" s="248"/>
      <c r="AZQ61" s="248"/>
      <c r="AZR61" s="248"/>
      <c r="AZS61" s="248"/>
      <c r="AZT61" s="248"/>
      <c r="AZU61" s="248"/>
      <c r="AZV61" s="248"/>
      <c r="AZW61" s="248"/>
      <c r="AZX61" s="248"/>
      <c r="AZY61" s="248"/>
      <c r="AZZ61" s="248"/>
      <c r="BAA61" s="248"/>
      <c r="BAB61" s="248"/>
      <c r="BAC61" s="248"/>
      <c r="BAD61" s="248"/>
      <c r="BAE61" s="248"/>
      <c r="BAF61" s="248"/>
      <c r="BAG61" s="248"/>
      <c r="BAH61" s="248"/>
      <c r="BAI61" s="248"/>
      <c r="BAJ61" s="248"/>
      <c r="BAK61" s="248"/>
      <c r="BAL61" s="248"/>
      <c r="BAM61" s="248"/>
      <c r="BAN61" s="248"/>
      <c r="BAO61" s="248"/>
      <c r="BAP61" s="248"/>
      <c r="BAQ61" s="248"/>
      <c r="BAR61" s="248"/>
      <c r="BAS61" s="248"/>
      <c r="BAT61" s="248"/>
      <c r="BAU61" s="248"/>
      <c r="BAV61" s="248"/>
      <c r="BAW61" s="248"/>
      <c r="BAX61" s="248"/>
      <c r="BAY61" s="248"/>
      <c r="BAZ61" s="248"/>
      <c r="BBA61" s="248"/>
      <c r="BBB61" s="248"/>
      <c r="BBC61" s="248"/>
      <c r="BBD61" s="248"/>
      <c r="BBE61" s="248"/>
      <c r="BBF61" s="248"/>
      <c r="BBG61" s="248"/>
      <c r="BBH61" s="248"/>
      <c r="BBI61" s="248"/>
      <c r="BBJ61" s="248"/>
      <c r="BBK61" s="248"/>
      <c r="BBL61" s="248"/>
      <c r="BBM61" s="248"/>
      <c r="BBN61" s="248"/>
      <c r="BBO61" s="248"/>
      <c r="BBP61" s="248"/>
      <c r="BBQ61" s="248"/>
      <c r="BBR61" s="248"/>
      <c r="BBS61" s="248"/>
      <c r="BBT61" s="248"/>
      <c r="BBU61" s="248"/>
      <c r="BBV61" s="248"/>
      <c r="BBW61" s="248"/>
      <c r="BBX61" s="248"/>
      <c r="BBY61" s="248"/>
      <c r="BBZ61" s="248"/>
      <c r="BCA61" s="248"/>
      <c r="BCB61" s="248"/>
      <c r="BCC61" s="248"/>
      <c r="BCD61" s="248"/>
      <c r="BCE61" s="248"/>
      <c r="BCF61" s="248"/>
      <c r="BCG61" s="248"/>
      <c r="BCH61" s="248"/>
      <c r="BCI61" s="248"/>
      <c r="BCJ61" s="248"/>
      <c r="BCK61" s="248"/>
      <c r="BCL61" s="248"/>
      <c r="BCM61" s="248"/>
      <c r="BCN61" s="248"/>
      <c r="BCO61" s="248"/>
      <c r="BCP61" s="248"/>
      <c r="BCQ61" s="248"/>
      <c r="BCR61" s="248"/>
      <c r="BCS61" s="248"/>
      <c r="BCT61" s="248"/>
      <c r="BCU61" s="248"/>
      <c r="BCV61" s="248"/>
      <c r="BCW61" s="248"/>
      <c r="BCX61" s="248"/>
      <c r="BCY61" s="248"/>
      <c r="BCZ61" s="248"/>
      <c r="BDA61" s="248"/>
      <c r="BDB61" s="248"/>
      <c r="BDC61" s="248"/>
      <c r="BDD61" s="248"/>
      <c r="BDE61" s="248"/>
      <c r="BDF61" s="248"/>
      <c r="BDG61" s="248"/>
      <c r="BDH61" s="248"/>
      <c r="BDI61" s="248"/>
      <c r="BDJ61" s="248"/>
      <c r="BDK61" s="248"/>
      <c r="BDL61" s="248"/>
      <c r="BDM61" s="248"/>
      <c r="BDN61" s="248"/>
      <c r="BDO61" s="248"/>
      <c r="BDP61" s="248"/>
      <c r="BDQ61" s="248"/>
      <c r="BDR61" s="248"/>
      <c r="BDS61" s="248"/>
      <c r="BDT61" s="248"/>
      <c r="BDU61" s="248"/>
      <c r="BDV61" s="248"/>
      <c r="BDW61" s="248"/>
      <c r="BDX61" s="248"/>
      <c r="BDY61" s="248"/>
      <c r="BDZ61" s="248"/>
      <c r="BEA61" s="248"/>
      <c r="BEB61" s="248"/>
      <c r="BEC61" s="248"/>
      <c r="BED61" s="248"/>
      <c r="BEE61" s="248"/>
      <c r="BEF61" s="248"/>
      <c r="BEG61" s="248"/>
      <c r="BEH61" s="248"/>
      <c r="BEI61" s="248"/>
      <c r="BEJ61" s="248"/>
      <c r="BEK61" s="248"/>
      <c r="BEL61" s="248"/>
      <c r="BEM61" s="248"/>
      <c r="BEN61" s="248"/>
      <c r="BEO61" s="248"/>
      <c r="BEP61" s="248"/>
      <c r="BEQ61" s="248"/>
      <c r="BER61" s="248"/>
      <c r="BES61" s="248"/>
      <c r="BET61" s="248"/>
      <c r="BEU61" s="248"/>
      <c r="BEV61" s="248"/>
      <c r="BEW61" s="248"/>
      <c r="BEX61" s="248"/>
      <c r="BEY61" s="248"/>
      <c r="BEZ61" s="248"/>
      <c r="BFA61" s="248"/>
      <c r="BFB61" s="248"/>
      <c r="BFC61" s="248"/>
      <c r="BFD61" s="248"/>
      <c r="BFE61" s="248"/>
      <c r="BFF61" s="248"/>
      <c r="BFG61" s="248"/>
      <c r="BFH61" s="248"/>
      <c r="BFI61" s="248"/>
      <c r="BFJ61" s="248"/>
      <c r="BFK61" s="248"/>
      <c r="BFL61" s="248"/>
      <c r="BFM61" s="248"/>
      <c r="BFN61" s="248"/>
      <c r="BFO61" s="248"/>
      <c r="BFP61" s="248"/>
      <c r="BFQ61" s="248"/>
      <c r="BFR61" s="248"/>
      <c r="BFS61" s="248"/>
      <c r="BFT61" s="248"/>
      <c r="BFU61" s="248"/>
      <c r="BFV61" s="248"/>
      <c r="BFW61" s="248"/>
      <c r="BFX61" s="248"/>
      <c r="BFY61" s="248"/>
      <c r="BFZ61" s="248"/>
      <c r="BGA61" s="248"/>
      <c r="BGB61" s="248"/>
      <c r="BGC61" s="248"/>
      <c r="BGD61" s="248"/>
      <c r="BGE61" s="248"/>
      <c r="BGF61" s="248"/>
      <c r="BGG61" s="248"/>
      <c r="BGH61" s="248"/>
      <c r="BGI61" s="248"/>
      <c r="BGJ61" s="248"/>
      <c r="BGK61" s="248"/>
      <c r="BGL61" s="248"/>
      <c r="BGM61" s="248"/>
      <c r="BGN61" s="248"/>
      <c r="BGO61" s="248"/>
      <c r="BGP61" s="248"/>
      <c r="BGQ61" s="248"/>
      <c r="BGR61" s="248"/>
      <c r="BGS61" s="248"/>
      <c r="BGT61" s="248"/>
      <c r="BGU61" s="248"/>
      <c r="BGV61" s="248"/>
      <c r="BGW61" s="248"/>
      <c r="BGX61" s="248"/>
      <c r="BGY61" s="248"/>
      <c r="BGZ61" s="248"/>
      <c r="BHA61" s="248"/>
      <c r="BHB61" s="248"/>
      <c r="BHC61" s="248"/>
      <c r="BHD61" s="248"/>
      <c r="BHE61" s="248"/>
      <c r="BHF61" s="248"/>
      <c r="BHG61" s="248"/>
      <c r="BHH61" s="248"/>
      <c r="BHI61" s="248"/>
      <c r="BHJ61" s="248"/>
      <c r="BHK61" s="248"/>
      <c r="BHL61" s="248"/>
      <c r="BHM61" s="248"/>
      <c r="BHN61" s="248"/>
      <c r="BHO61" s="248"/>
      <c r="BHP61" s="248"/>
      <c r="BHQ61" s="248"/>
      <c r="BHR61" s="248"/>
      <c r="BHS61" s="248"/>
      <c r="BHT61" s="248"/>
      <c r="BHU61" s="248"/>
      <c r="BHV61" s="248"/>
      <c r="BHW61" s="248"/>
      <c r="BHX61" s="248"/>
      <c r="BHY61" s="248"/>
      <c r="BHZ61" s="248"/>
      <c r="BIA61" s="248"/>
      <c r="BIB61" s="248"/>
      <c r="BIC61" s="248"/>
      <c r="BID61" s="248"/>
      <c r="BIE61" s="248"/>
      <c r="BIF61" s="248"/>
      <c r="BIG61" s="248"/>
      <c r="BIH61" s="248"/>
      <c r="BII61" s="248"/>
      <c r="BIJ61" s="248"/>
      <c r="BIK61" s="248"/>
      <c r="BIL61" s="248"/>
      <c r="BIM61" s="248"/>
      <c r="BIN61" s="248"/>
      <c r="BIO61" s="248"/>
      <c r="BIP61" s="248"/>
      <c r="BIQ61" s="248"/>
      <c r="BIR61" s="248"/>
      <c r="BIS61" s="248"/>
      <c r="BIT61" s="248"/>
      <c r="BIU61" s="248"/>
      <c r="BIV61" s="248"/>
      <c r="BIW61" s="248"/>
      <c r="BIX61" s="248"/>
      <c r="BIY61" s="248"/>
      <c r="BIZ61" s="248"/>
      <c r="BJA61" s="248"/>
      <c r="BJB61" s="248"/>
      <c r="BJC61" s="248"/>
      <c r="BJD61" s="248"/>
      <c r="BJE61" s="248"/>
      <c r="BJF61" s="248"/>
      <c r="BJG61" s="248"/>
      <c r="BJH61" s="248"/>
      <c r="BJI61" s="248"/>
      <c r="BJJ61" s="248"/>
      <c r="BJK61" s="248"/>
      <c r="BJL61" s="248"/>
      <c r="BJM61" s="248"/>
      <c r="BJN61" s="248"/>
    </row>
    <row r="62" spans="1:1660" ht="20.100000000000001" customHeight="1" x14ac:dyDescent="0.25">
      <c r="A62" s="78" t="s">
        <v>28</v>
      </c>
      <c r="B62" s="51"/>
      <c r="C62" s="216"/>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73"/>
      <c r="AYA62" s="248"/>
      <c r="AYB62" s="248"/>
      <c r="AYC62" s="248"/>
      <c r="AYD62" s="248"/>
      <c r="AYE62" s="248"/>
      <c r="AYF62" s="248"/>
      <c r="AYG62" s="248"/>
      <c r="AYH62" s="248"/>
      <c r="AYI62" s="248"/>
      <c r="AYJ62" s="248"/>
      <c r="AYK62" s="248"/>
      <c r="AYL62" s="248"/>
      <c r="AYM62" s="248"/>
      <c r="AYN62" s="248"/>
      <c r="AYO62" s="248"/>
      <c r="AYP62" s="248"/>
      <c r="AYQ62" s="248"/>
      <c r="AYR62" s="248"/>
      <c r="AYS62" s="248"/>
      <c r="AYT62" s="248"/>
      <c r="AYU62" s="248"/>
      <c r="AYV62" s="248"/>
      <c r="AYW62" s="248"/>
      <c r="AYX62" s="248"/>
      <c r="AYY62" s="248"/>
      <c r="AYZ62" s="248"/>
      <c r="AZA62" s="248"/>
      <c r="AZB62" s="248"/>
      <c r="AZC62" s="248"/>
      <c r="AZD62" s="248"/>
      <c r="AZE62" s="248"/>
      <c r="AZF62" s="248"/>
      <c r="AZG62" s="248"/>
      <c r="AZH62" s="248"/>
      <c r="AZI62" s="248"/>
      <c r="AZJ62" s="248"/>
      <c r="AZK62" s="248"/>
      <c r="AZL62" s="248"/>
      <c r="AZM62" s="248"/>
      <c r="AZN62" s="248"/>
      <c r="AZO62" s="248"/>
      <c r="AZP62" s="248"/>
      <c r="AZQ62" s="248"/>
      <c r="AZR62" s="248"/>
      <c r="AZS62" s="248"/>
      <c r="AZT62" s="248"/>
      <c r="AZU62" s="248"/>
      <c r="AZV62" s="248"/>
      <c r="AZW62" s="248"/>
      <c r="AZX62" s="248"/>
      <c r="AZY62" s="248"/>
      <c r="AZZ62" s="248"/>
      <c r="BAA62" s="248"/>
      <c r="BAB62" s="248"/>
      <c r="BAC62" s="248"/>
      <c r="BAD62" s="248"/>
      <c r="BAE62" s="248"/>
      <c r="BAF62" s="248"/>
      <c r="BAG62" s="248"/>
      <c r="BAH62" s="248"/>
      <c r="BAI62" s="248"/>
      <c r="BAJ62" s="248"/>
      <c r="BAK62" s="248"/>
      <c r="BAL62" s="248"/>
      <c r="BAM62" s="248"/>
      <c r="BAN62" s="248"/>
      <c r="BAO62" s="248"/>
      <c r="BAP62" s="248"/>
      <c r="BAQ62" s="248"/>
      <c r="BAR62" s="248"/>
      <c r="BAS62" s="248"/>
      <c r="BAT62" s="248"/>
      <c r="BAU62" s="248"/>
      <c r="BAV62" s="248"/>
      <c r="BAW62" s="248"/>
      <c r="BAX62" s="248"/>
      <c r="BAY62" s="248"/>
      <c r="BAZ62" s="248"/>
      <c r="BBA62" s="248"/>
      <c r="BBB62" s="248"/>
      <c r="BBC62" s="248"/>
      <c r="BBD62" s="248"/>
      <c r="BBE62" s="248"/>
      <c r="BBF62" s="248"/>
      <c r="BBG62" s="248"/>
      <c r="BBH62" s="248"/>
      <c r="BBI62" s="248"/>
      <c r="BBJ62" s="248"/>
      <c r="BBK62" s="248"/>
      <c r="BBL62" s="248"/>
      <c r="BBM62" s="248"/>
      <c r="BBN62" s="248"/>
      <c r="BBO62" s="248"/>
      <c r="BBP62" s="248"/>
      <c r="BBQ62" s="248"/>
      <c r="BBR62" s="248"/>
      <c r="BBS62" s="248"/>
      <c r="BBT62" s="248"/>
      <c r="BBU62" s="248"/>
      <c r="BBV62" s="248"/>
      <c r="BBW62" s="248"/>
      <c r="BBX62" s="248"/>
      <c r="BBY62" s="248"/>
      <c r="BBZ62" s="248"/>
      <c r="BCA62" s="248"/>
      <c r="BCB62" s="248"/>
      <c r="BCC62" s="248"/>
      <c r="BCD62" s="248"/>
      <c r="BCE62" s="248"/>
      <c r="BCF62" s="248"/>
      <c r="BCG62" s="248"/>
      <c r="BCH62" s="248"/>
      <c r="BCI62" s="248"/>
      <c r="BCJ62" s="248"/>
      <c r="BCK62" s="248"/>
      <c r="BCL62" s="248"/>
      <c r="BCM62" s="248"/>
      <c r="BCN62" s="248"/>
      <c r="BCO62" s="248"/>
      <c r="BCP62" s="248"/>
      <c r="BCQ62" s="248"/>
      <c r="BCR62" s="248"/>
      <c r="BCS62" s="248"/>
      <c r="BCT62" s="248"/>
      <c r="BCU62" s="248"/>
      <c r="BCV62" s="248"/>
      <c r="BCW62" s="248"/>
      <c r="BCX62" s="248"/>
      <c r="BCY62" s="248"/>
      <c r="BCZ62" s="248"/>
      <c r="BDA62" s="248"/>
      <c r="BDB62" s="248"/>
      <c r="BDC62" s="248"/>
      <c r="BDD62" s="248"/>
      <c r="BDE62" s="248"/>
      <c r="BDF62" s="248"/>
      <c r="BDG62" s="248"/>
      <c r="BDH62" s="248"/>
      <c r="BDI62" s="248"/>
      <c r="BDJ62" s="248"/>
      <c r="BDK62" s="248"/>
      <c r="BDL62" s="248"/>
      <c r="BDM62" s="248"/>
      <c r="BDN62" s="248"/>
      <c r="BDO62" s="248"/>
      <c r="BDP62" s="248"/>
      <c r="BDQ62" s="248"/>
      <c r="BDR62" s="248"/>
      <c r="BDS62" s="248"/>
      <c r="BDT62" s="248"/>
      <c r="BDU62" s="248"/>
      <c r="BDV62" s="248"/>
      <c r="BDW62" s="248"/>
      <c r="BDX62" s="248"/>
      <c r="BDY62" s="248"/>
      <c r="BDZ62" s="248"/>
      <c r="BEA62" s="248"/>
      <c r="BEB62" s="248"/>
      <c r="BEC62" s="248"/>
      <c r="BED62" s="248"/>
      <c r="BEE62" s="248"/>
      <c r="BEF62" s="248"/>
      <c r="BEG62" s="248"/>
      <c r="BEH62" s="248"/>
      <c r="BEI62" s="248"/>
      <c r="BEJ62" s="248"/>
      <c r="BEK62" s="248"/>
      <c r="BEL62" s="248"/>
      <c r="BEM62" s="248"/>
      <c r="BEN62" s="248"/>
      <c r="BEO62" s="248"/>
      <c r="BEP62" s="248"/>
      <c r="BEQ62" s="248"/>
      <c r="BER62" s="248"/>
      <c r="BES62" s="248"/>
      <c r="BET62" s="248"/>
      <c r="BEU62" s="248"/>
      <c r="BEV62" s="248"/>
      <c r="BEW62" s="248"/>
      <c r="BEX62" s="248"/>
      <c r="BEY62" s="248"/>
      <c r="BEZ62" s="248"/>
      <c r="BFA62" s="248"/>
      <c r="BFB62" s="248"/>
      <c r="BFC62" s="248"/>
      <c r="BFD62" s="248"/>
      <c r="BFE62" s="248"/>
      <c r="BFF62" s="248"/>
      <c r="BFG62" s="248"/>
      <c r="BFH62" s="248"/>
      <c r="BFI62" s="248"/>
      <c r="BFJ62" s="248"/>
      <c r="BFK62" s="248"/>
      <c r="BFL62" s="248"/>
      <c r="BFM62" s="248"/>
      <c r="BFN62" s="248"/>
      <c r="BFO62" s="248"/>
      <c r="BFP62" s="248"/>
      <c r="BFQ62" s="248"/>
      <c r="BFR62" s="248"/>
      <c r="BFS62" s="248"/>
      <c r="BFT62" s="248"/>
      <c r="BFU62" s="248"/>
      <c r="BFV62" s="248"/>
      <c r="BFW62" s="248"/>
      <c r="BFX62" s="248"/>
      <c r="BFY62" s="248"/>
      <c r="BFZ62" s="248"/>
      <c r="BGA62" s="248"/>
      <c r="BGB62" s="248"/>
      <c r="BGC62" s="248"/>
      <c r="BGD62" s="248"/>
      <c r="BGE62" s="248"/>
      <c r="BGF62" s="248"/>
      <c r="BGG62" s="248"/>
      <c r="BGH62" s="248"/>
      <c r="BGI62" s="248"/>
      <c r="BGJ62" s="248"/>
      <c r="BGK62" s="248"/>
      <c r="BGL62" s="248"/>
      <c r="BGM62" s="248"/>
      <c r="BGN62" s="248"/>
      <c r="BGO62" s="248"/>
      <c r="BGP62" s="248"/>
      <c r="BGQ62" s="248"/>
      <c r="BGR62" s="248"/>
      <c r="BGS62" s="248"/>
      <c r="BGT62" s="248"/>
      <c r="BGU62" s="248"/>
      <c r="BGV62" s="248"/>
      <c r="BGW62" s="248"/>
      <c r="BGX62" s="248"/>
      <c r="BGY62" s="248"/>
      <c r="BGZ62" s="248"/>
      <c r="BHA62" s="248"/>
      <c r="BHB62" s="248"/>
      <c r="BHC62" s="248"/>
      <c r="BHD62" s="248"/>
      <c r="BHE62" s="248"/>
      <c r="BHF62" s="248"/>
      <c r="BHG62" s="248"/>
      <c r="BHH62" s="248"/>
      <c r="BHI62" s="248"/>
      <c r="BHJ62" s="248"/>
      <c r="BHK62" s="248"/>
      <c r="BHL62" s="248"/>
      <c r="BHM62" s="248"/>
      <c r="BHN62" s="248"/>
      <c r="BHO62" s="248"/>
      <c r="BHP62" s="248"/>
      <c r="BHQ62" s="248"/>
      <c r="BHR62" s="248"/>
      <c r="BHS62" s="248"/>
      <c r="BHT62" s="248"/>
      <c r="BHU62" s="248"/>
      <c r="BHV62" s="248"/>
      <c r="BHW62" s="248"/>
      <c r="BHX62" s="248"/>
      <c r="BHY62" s="248"/>
      <c r="BHZ62" s="248"/>
      <c r="BIA62" s="248"/>
      <c r="BIB62" s="248"/>
      <c r="BIC62" s="248"/>
      <c r="BID62" s="248"/>
      <c r="BIE62" s="248"/>
      <c r="BIF62" s="248"/>
      <c r="BIG62" s="248"/>
      <c r="BIH62" s="248"/>
      <c r="BII62" s="248"/>
      <c r="BIJ62" s="248"/>
      <c r="BIK62" s="248"/>
      <c r="BIL62" s="248"/>
      <c r="BIM62" s="248"/>
      <c r="BIN62" s="248"/>
      <c r="BIO62" s="248"/>
      <c r="BIP62" s="248"/>
      <c r="BIQ62" s="248"/>
      <c r="BIR62" s="248"/>
      <c r="BIS62" s="248"/>
      <c r="BIT62" s="248"/>
      <c r="BIU62" s="248"/>
      <c r="BIV62" s="248"/>
      <c r="BIW62" s="248"/>
      <c r="BIX62" s="248"/>
      <c r="BIY62" s="248"/>
      <c r="BIZ62" s="248"/>
      <c r="BJA62" s="248"/>
      <c r="BJB62" s="248"/>
      <c r="BJC62" s="248"/>
      <c r="BJD62" s="248"/>
      <c r="BJE62" s="248"/>
      <c r="BJF62" s="248"/>
      <c r="BJG62" s="248"/>
      <c r="BJH62" s="248"/>
      <c r="BJI62" s="248"/>
      <c r="BJJ62" s="248"/>
      <c r="BJK62" s="248"/>
      <c r="BJL62" s="248"/>
      <c r="BJM62" s="248"/>
      <c r="BJN62" s="248"/>
      <c r="BJO62" s="248"/>
      <c r="BJP62" s="248"/>
      <c r="BJQ62" s="248"/>
      <c r="BJR62" s="248"/>
      <c r="BJS62" s="248"/>
      <c r="BJT62" s="248"/>
      <c r="BJU62" s="248"/>
      <c r="BJV62" s="248"/>
      <c r="BJW62" s="248"/>
      <c r="BJX62" s="248"/>
      <c r="BJY62" s="248"/>
      <c r="BJZ62" s="248"/>
      <c r="BKA62" s="248"/>
      <c r="BKB62" s="248"/>
      <c r="BKC62" s="248"/>
      <c r="BKD62" s="248"/>
      <c r="BKE62" s="248"/>
      <c r="BKF62" s="248"/>
      <c r="BKG62" s="248"/>
      <c r="BKH62" s="248"/>
      <c r="BKI62" s="248"/>
      <c r="BKJ62" s="248"/>
      <c r="BKK62" s="248"/>
      <c r="BKL62" s="248"/>
      <c r="BKM62" s="248"/>
      <c r="BKN62" s="248"/>
      <c r="BKO62" s="248"/>
      <c r="BKP62" s="248"/>
      <c r="BKQ62" s="248"/>
      <c r="BKR62" s="248"/>
      <c r="BKS62" s="248"/>
      <c r="BKT62" s="248"/>
      <c r="BKU62" s="248"/>
      <c r="BKV62" s="248"/>
    </row>
    <row r="63" spans="1:1660" ht="20.100000000000001" customHeight="1" x14ac:dyDescent="0.25">
      <c r="A63" s="78" t="s">
        <v>26</v>
      </c>
      <c r="B63" s="51"/>
      <c r="C63" s="209"/>
      <c r="D63" s="119" t="str">
        <f t="shared" si="0"/>
        <v>2h 50 min</v>
      </c>
      <c r="E63" s="34">
        <v>34</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73"/>
      <c r="AYA63" s="248"/>
      <c r="AYB63" s="248"/>
      <c r="AYC63" s="248"/>
      <c r="AYD63" s="248"/>
      <c r="AYE63" s="248"/>
      <c r="AYF63" s="248"/>
      <c r="AYG63" s="248"/>
      <c r="AYH63" s="248"/>
      <c r="AYI63" s="248"/>
      <c r="AYJ63" s="248"/>
      <c r="AYK63" s="248"/>
      <c r="AYL63" s="248"/>
      <c r="AYM63" s="248"/>
      <c r="AYN63" s="248"/>
      <c r="AYO63" s="248"/>
      <c r="AYP63" s="248"/>
      <c r="AYQ63" s="248"/>
      <c r="AYR63" s="248"/>
      <c r="AYS63" s="248"/>
      <c r="AYT63" s="248"/>
      <c r="AYU63" s="248"/>
      <c r="AYV63" s="248"/>
      <c r="AYW63" s="248"/>
      <c r="AYX63" s="248"/>
      <c r="AYY63" s="248"/>
      <c r="AYZ63" s="248"/>
      <c r="AZA63" s="248"/>
      <c r="AZB63" s="248"/>
      <c r="AZC63" s="248"/>
      <c r="AZD63" s="248"/>
      <c r="AZE63" s="248"/>
      <c r="AZF63" s="248"/>
      <c r="AZG63" s="248"/>
      <c r="AZH63" s="248"/>
      <c r="AZI63" s="248"/>
      <c r="AZJ63" s="248"/>
      <c r="AZK63" s="248"/>
      <c r="AZL63" s="248"/>
      <c r="AZM63" s="248"/>
      <c r="AZN63" s="248"/>
      <c r="AZO63" s="248"/>
      <c r="AZP63" s="248"/>
      <c r="AZQ63" s="248"/>
      <c r="AZR63" s="248"/>
      <c r="AZS63" s="248"/>
      <c r="AZT63" s="248"/>
      <c r="AZU63" s="248"/>
      <c r="AZV63" s="248"/>
      <c r="AZW63" s="248"/>
      <c r="AZX63" s="248"/>
      <c r="AZY63" s="248"/>
      <c r="AZZ63" s="248"/>
      <c r="BAA63" s="248"/>
      <c r="BAB63" s="248"/>
      <c r="BAC63" s="248"/>
      <c r="BAD63" s="248"/>
      <c r="BAE63" s="248"/>
      <c r="BAF63" s="248"/>
      <c r="BAG63" s="248"/>
      <c r="BAH63" s="248"/>
      <c r="BAI63" s="248"/>
      <c r="BAJ63" s="248"/>
      <c r="BAK63" s="248"/>
      <c r="BAL63" s="248"/>
      <c r="BAM63" s="248"/>
      <c r="BAN63" s="248"/>
      <c r="BAO63" s="248"/>
      <c r="BAP63" s="248"/>
      <c r="BAQ63" s="248"/>
      <c r="BAR63" s="248"/>
      <c r="BAS63" s="248"/>
      <c r="BAT63" s="248"/>
      <c r="BAU63" s="248"/>
      <c r="BAV63" s="248"/>
      <c r="BAW63" s="248"/>
      <c r="BAX63" s="248"/>
      <c r="BAY63" s="248"/>
      <c r="BAZ63" s="248"/>
      <c r="BBA63" s="248"/>
      <c r="BBB63" s="248"/>
      <c r="BBC63" s="248"/>
      <c r="BBD63" s="248"/>
      <c r="BBE63" s="248"/>
      <c r="BBF63" s="248"/>
      <c r="BBG63" s="248"/>
      <c r="BBH63" s="248"/>
      <c r="BBI63" s="248"/>
      <c r="BBJ63" s="248"/>
      <c r="BBK63" s="248"/>
      <c r="BBL63" s="248"/>
      <c r="BBM63" s="248"/>
      <c r="BBN63" s="248"/>
      <c r="BBO63" s="248"/>
      <c r="BBP63" s="248"/>
      <c r="BBQ63" s="248"/>
      <c r="BBR63" s="248"/>
      <c r="BBS63" s="248"/>
      <c r="BBT63" s="248"/>
      <c r="BBU63" s="248"/>
      <c r="BBV63" s="248"/>
      <c r="BBW63" s="248"/>
      <c r="BBX63" s="248"/>
      <c r="BBY63" s="248"/>
      <c r="BBZ63" s="248"/>
      <c r="BCA63" s="248"/>
      <c r="BCB63" s="248"/>
      <c r="BCC63" s="248"/>
      <c r="BCD63" s="248"/>
      <c r="BCE63" s="248"/>
      <c r="BCF63" s="248"/>
      <c r="BCG63" s="248"/>
      <c r="BCH63" s="248"/>
      <c r="BCI63" s="248"/>
      <c r="BCJ63" s="248"/>
      <c r="BCK63" s="248"/>
      <c r="BCL63" s="248"/>
      <c r="BCM63" s="248"/>
      <c r="BCN63" s="248"/>
      <c r="BCO63" s="248"/>
      <c r="BCP63" s="248"/>
      <c r="BCQ63" s="248"/>
      <c r="BCR63" s="248"/>
      <c r="BCS63" s="248"/>
      <c r="BCT63" s="248"/>
      <c r="BCU63" s="248"/>
      <c r="BCV63" s="248"/>
      <c r="BCW63" s="248"/>
      <c r="BCX63" s="248"/>
      <c r="BCY63" s="248"/>
      <c r="BCZ63" s="248"/>
      <c r="BDA63" s="248"/>
      <c r="BDB63" s="248"/>
      <c r="BDC63" s="248"/>
      <c r="BDD63" s="248"/>
      <c r="BDE63" s="248"/>
      <c r="BDF63" s="248"/>
      <c r="BDG63" s="248"/>
      <c r="BDH63" s="248"/>
      <c r="BDI63" s="248"/>
      <c r="BDJ63" s="248"/>
      <c r="BDK63" s="248"/>
      <c r="BDL63" s="248"/>
      <c r="BDM63" s="248"/>
      <c r="BDN63" s="248"/>
      <c r="BDO63" s="248"/>
      <c r="BDP63" s="248"/>
      <c r="BDQ63" s="248"/>
      <c r="BDR63" s="248"/>
      <c r="BDS63" s="248"/>
      <c r="BDT63" s="248"/>
      <c r="BDU63" s="248"/>
      <c r="BDV63" s="248"/>
      <c r="BDW63" s="248"/>
      <c r="BDX63" s="248"/>
      <c r="BDY63" s="248"/>
      <c r="BDZ63" s="248"/>
      <c r="BEA63" s="248"/>
      <c r="BEB63" s="248"/>
      <c r="BEC63" s="248"/>
      <c r="BED63" s="248"/>
      <c r="BEE63" s="248"/>
      <c r="BEF63" s="248"/>
      <c r="BEG63" s="248"/>
      <c r="BEH63" s="248"/>
      <c r="BEI63" s="248"/>
      <c r="BEJ63" s="248"/>
      <c r="BEK63" s="248"/>
      <c r="BEL63" s="248"/>
      <c r="BEM63" s="248"/>
      <c r="BEN63" s="248"/>
      <c r="BEO63" s="248"/>
      <c r="BEP63" s="248"/>
      <c r="BEQ63" s="248"/>
      <c r="BER63" s="248"/>
      <c r="BES63" s="248"/>
      <c r="BET63" s="248"/>
      <c r="BEU63" s="248"/>
      <c r="BEV63" s="248"/>
      <c r="BEW63" s="248"/>
      <c r="BEX63" s="248"/>
      <c r="BEY63" s="248"/>
      <c r="BEZ63" s="248"/>
      <c r="BFA63" s="248"/>
      <c r="BFB63" s="248"/>
      <c r="BFC63" s="248"/>
      <c r="BFD63" s="248"/>
      <c r="BFE63" s="248"/>
      <c r="BFF63" s="248"/>
      <c r="BFG63" s="248"/>
      <c r="BFH63" s="248"/>
      <c r="BFI63" s="248"/>
      <c r="BFJ63" s="248"/>
      <c r="BFK63" s="248"/>
      <c r="BFL63" s="248"/>
      <c r="BFM63" s="248"/>
      <c r="BFN63" s="248"/>
      <c r="BFO63" s="248"/>
      <c r="BFP63" s="248"/>
      <c r="BFQ63" s="248"/>
      <c r="BFR63" s="248"/>
      <c r="BFS63" s="248"/>
      <c r="BFT63" s="248"/>
      <c r="BFU63" s="248"/>
      <c r="BFV63" s="248"/>
      <c r="BFW63" s="248"/>
      <c r="BFX63" s="248"/>
      <c r="BFY63" s="248"/>
      <c r="BFZ63" s="248"/>
      <c r="BGA63" s="248"/>
      <c r="BGB63" s="248"/>
      <c r="BGC63" s="248"/>
      <c r="BGD63" s="248"/>
      <c r="BGE63" s="248"/>
      <c r="BGF63" s="248"/>
      <c r="BGG63" s="248"/>
      <c r="BGH63" s="248"/>
      <c r="BGI63" s="248"/>
      <c r="BGJ63" s="248"/>
      <c r="BGK63" s="248"/>
      <c r="BGL63" s="248"/>
      <c r="BGM63" s="248"/>
      <c r="BGN63" s="248"/>
      <c r="BGO63" s="248"/>
      <c r="BGP63" s="248"/>
      <c r="BGQ63" s="248"/>
      <c r="BGR63" s="248"/>
      <c r="BGS63" s="248"/>
      <c r="BGT63" s="248"/>
      <c r="BGU63" s="248"/>
      <c r="BGV63" s="248"/>
      <c r="BGW63" s="248"/>
      <c r="BGX63" s="248"/>
      <c r="BGY63" s="248"/>
      <c r="BGZ63" s="248"/>
      <c r="BHA63" s="248"/>
      <c r="BHB63" s="248"/>
      <c r="BHC63" s="248"/>
      <c r="BHD63" s="248"/>
      <c r="BHE63" s="248"/>
      <c r="BHF63" s="248"/>
      <c r="BHG63" s="248"/>
      <c r="BHH63" s="248"/>
      <c r="BHI63" s="248"/>
      <c r="BHJ63" s="248"/>
      <c r="BHK63" s="248"/>
      <c r="BHL63" s="248"/>
      <c r="BHM63" s="248"/>
      <c r="BHN63" s="248"/>
      <c r="BHO63" s="248"/>
      <c r="BHP63" s="248"/>
      <c r="BHQ63" s="248"/>
      <c r="BHR63" s="248"/>
      <c r="BHS63" s="248"/>
      <c r="BHT63" s="248"/>
      <c r="BHU63" s="248"/>
      <c r="BHV63" s="248"/>
      <c r="BHW63" s="248"/>
      <c r="BHX63" s="248"/>
      <c r="BHY63" s="248"/>
      <c r="BHZ63" s="248"/>
      <c r="BIA63" s="248"/>
      <c r="BIB63" s="248"/>
      <c r="BIC63" s="248"/>
      <c r="BID63" s="248"/>
      <c r="BIE63" s="248"/>
      <c r="BIF63" s="248"/>
      <c r="BIG63" s="248"/>
      <c r="BIH63" s="248"/>
      <c r="BII63" s="248"/>
      <c r="BIJ63" s="248"/>
      <c r="BIK63" s="248"/>
      <c r="BIL63" s="248"/>
      <c r="BIM63" s="248"/>
      <c r="BIN63" s="248"/>
      <c r="BIO63" s="248"/>
      <c r="BIP63" s="248"/>
      <c r="BIQ63" s="248"/>
      <c r="BIR63" s="248"/>
      <c r="BIS63" s="248"/>
      <c r="BIT63" s="248"/>
      <c r="BIU63" s="248"/>
      <c r="BIV63" s="248"/>
      <c r="BIW63" s="248"/>
      <c r="BIX63" s="248"/>
      <c r="BIY63" s="248"/>
      <c r="BIZ63" s="248"/>
      <c r="BJA63" s="248"/>
      <c r="BJB63" s="248"/>
      <c r="BJC63" s="248"/>
      <c r="BJD63" s="248"/>
      <c r="BJE63" s="248"/>
      <c r="BJF63" s="248"/>
      <c r="BJG63" s="248"/>
      <c r="BJH63" s="248"/>
      <c r="BJI63" s="248"/>
      <c r="BJJ63" s="248"/>
      <c r="BJK63" s="248"/>
      <c r="BJL63" s="248"/>
      <c r="BJM63" s="248"/>
      <c r="BJN63" s="248"/>
    </row>
    <row r="64" spans="1:1660" ht="20.100000000000001" customHeight="1" x14ac:dyDescent="0.3">
      <c r="A64" s="78" t="s">
        <v>28</v>
      </c>
      <c r="B64" s="51"/>
      <c r="C64" s="21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73"/>
      <c r="AYA64" s="248"/>
      <c r="AYB64" s="248"/>
      <c r="AYC64" s="248"/>
      <c r="AYD64" s="248"/>
      <c r="AYE64" s="248"/>
      <c r="AYF64" s="248"/>
      <c r="AYG64" s="248"/>
      <c r="AYH64" s="248"/>
      <c r="AYI64" s="248"/>
      <c r="AYJ64" s="248"/>
      <c r="AYK64" s="248"/>
      <c r="AYL64" s="248"/>
      <c r="AYM64" s="248"/>
      <c r="AYN64" s="248"/>
      <c r="AYO64" s="248"/>
      <c r="AYP64" s="248"/>
      <c r="AYQ64" s="248"/>
      <c r="AYR64" s="248"/>
      <c r="AYS64" s="248"/>
      <c r="AYT64" s="248"/>
      <c r="AYU64" s="248"/>
      <c r="AYV64" s="248"/>
      <c r="AYW64" s="248"/>
      <c r="AYX64" s="248"/>
      <c r="AYY64" s="248"/>
      <c r="AYZ64" s="248"/>
      <c r="AZA64" s="248"/>
      <c r="AZB64" s="248"/>
      <c r="AZC64" s="248"/>
      <c r="AZD64" s="248"/>
      <c r="AZE64" s="248"/>
      <c r="AZF64" s="248"/>
      <c r="AZG64" s="248"/>
      <c r="AZH64" s="248"/>
      <c r="AZI64" s="248"/>
      <c r="AZJ64" s="248"/>
      <c r="AZK64" s="248"/>
      <c r="AZL64" s="248"/>
      <c r="AZM64" s="248"/>
      <c r="AZN64" s="248"/>
      <c r="AZO64" s="248"/>
      <c r="AZP64" s="248"/>
      <c r="AZQ64" s="248"/>
      <c r="AZR64" s="248"/>
      <c r="AZS64" s="248"/>
      <c r="AZT64" s="248"/>
      <c r="AZU64" s="248"/>
      <c r="AZV64" s="248"/>
      <c r="AZW64" s="248"/>
      <c r="AZX64" s="248"/>
      <c r="AZY64" s="248"/>
      <c r="AZZ64" s="248"/>
      <c r="BAA64" s="248"/>
      <c r="BAB64" s="248"/>
      <c r="BAC64" s="248"/>
      <c r="BAD64" s="248"/>
      <c r="BAE64" s="248"/>
      <c r="BAF64" s="248"/>
      <c r="BAG64" s="248"/>
      <c r="BAH64" s="248"/>
      <c r="BAI64" s="248"/>
      <c r="BAJ64" s="248"/>
      <c r="BAK64" s="248"/>
      <c r="BAL64" s="248"/>
      <c r="BAM64" s="248"/>
      <c r="BAN64" s="248"/>
      <c r="BAO64" s="248"/>
      <c r="BAP64" s="248"/>
      <c r="BAQ64" s="248"/>
      <c r="BAR64" s="248"/>
      <c r="BAS64" s="248"/>
      <c r="BAT64" s="248"/>
      <c r="BAU64" s="248"/>
      <c r="BAV64" s="248"/>
      <c r="BAW64" s="248"/>
      <c r="BAX64" s="248"/>
      <c r="BAY64" s="248"/>
      <c r="BAZ64" s="248"/>
      <c r="BBA64" s="248"/>
      <c r="BBB64" s="248"/>
      <c r="BBC64" s="248"/>
      <c r="BBD64" s="248"/>
      <c r="BBE64" s="248"/>
      <c r="BBF64" s="248"/>
      <c r="BBG64" s="248"/>
      <c r="BBH64" s="248"/>
      <c r="BBI64" s="248"/>
      <c r="BBJ64" s="248"/>
      <c r="BBK64" s="248"/>
      <c r="BBL64" s="248"/>
      <c r="BBM64" s="248"/>
      <c r="BBN64" s="248"/>
      <c r="BBO64" s="248"/>
      <c r="BBP64" s="248"/>
      <c r="BBQ64" s="248"/>
      <c r="BBR64" s="248"/>
      <c r="BBS64" s="248"/>
      <c r="BBT64" s="248"/>
      <c r="BBU64" s="248"/>
      <c r="BBV64" s="248"/>
      <c r="BBW64" s="248"/>
      <c r="BBX64" s="248"/>
      <c r="BBY64" s="248"/>
      <c r="BBZ64" s="248"/>
      <c r="BCA64" s="248"/>
      <c r="BCB64" s="248"/>
      <c r="BCC64" s="248"/>
      <c r="BCD64" s="248"/>
      <c r="BCE64" s="248"/>
      <c r="BCF64" s="248"/>
      <c r="BCG64" s="248"/>
      <c r="BCH64" s="248"/>
      <c r="BCI64" s="248"/>
      <c r="BCJ64" s="248"/>
      <c r="BCK64" s="248"/>
      <c r="BCL64" s="248"/>
      <c r="BCM64" s="248"/>
      <c r="BCN64" s="248"/>
      <c r="BCO64" s="248"/>
      <c r="BCP64" s="248"/>
      <c r="BCQ64" s="248"/>
      <c r="BCR64" s="248"/>
      <c r="BCS64" s="248"/>
      <c r="BCT64" s="248"/>
      <c r="BCU64" s="248"/>
      <c r="BCV64" s="248"/>
      <c r="BCW64" s="248"/>
      <c r="BCX64" s="248"/>
      <c r="BCY64" s="248"/>
      <c r="BCZ64" s="248"/>
      <c r="BDA64" s="248"/>
      <c r="BDB64" s="248"/>
      <c r="BDC64" s="248"/>
      <c r="BDD64" s="248"/>
      <c r="BDE64" s="248"/>
      <c r="BDF64" s="248"/>
      <c r="BDG64" s="248"/>
      <c r="BDH64" s="248"/>
      <c r="BDI64" s="248"/>
      <c r="BDJ64" s="248"/>
      <c r="BDK64" s="248"/>
      <c r="BDL64" s="248"/>
      <c r="BDM64" s="248"/>
      <c r="BDN64" s="248"/>
      <c r="BDO64" s="248"/>
      <c r="BDP64" s="248"/>
      <c r="BDQ64" s="248"/>
      <c r="BDR64" s="248"/>
      <c r="BDS64" s="248"/>
      <c r="BDT64" s="248"/>
      <c r="BDU64" s="248"/>
      <c r="BDV64" s="248"/>
      <c r="BDW64" s="248"/>
      <c r="BDX64" s="248"/>
      <c r="BDY64" s="248"/>
      <c r="BDZ64" s="248"/>
      <c r="BEA64" s="248"/>
      <c r="BEB64" s="248"/>
      <c r="BEC64" s="248"/>
      <c r="BED64" s="248"/>
      <c r="BEE64" s="248"/>
      <c r="BEF64" s="248"/>
      <c r="BEG64" s="248"/>
      <c r="BEH64" s="248"/>
      <c r="BEI64" s="248"/>
      <c r="BEJ64" s="248"/>
      <c r="BEK64" s="248"/>
      <c r="BEL64" s="248"/>
      <c r="BEM64" s="248"/>
      <c r="BEN64" s="248"/>
      <c r="BEO64" s="248"/>
      <c r="BEP64" s="248"/>
      <c r="BEQ64" s="248"/>
      <c r="BER64" s="248"/>
      <c r="BES64" s="248"/>
      <c r="BET64" s="248"/>
      <c r="BEU64" s="248"/>
      <c r="BEV64" s="248"/>
      <c r="BEW64" s="248"/>
      <c r="BEX64" s="248"/>
      <c r="BEY64" s="248"/>
      <c r="BEZ64" s="248"/>
      <c r="BFA64" s="248"/>
      <c r="BFB64" s="248"/>
      <c r="BFC64" s="248"/>
      <c r="BFD64" s="248"/>
      <c r="BFE64" s="248"/>
      <c r="BFF64" s="248"/>
      <c r="BFG64" s="248"/>
      <c r="BFH64" s="248"/>
      <c r="BFI64" s="248"/>
      <c r="BFJ64" s="248"/>
      <c r="BFK64" s="248"/>
      <c r="BFL64" s="248"/>
      <c r="BFM64" s="248"/>
      <c r="BFN64" s="248"/>
      <c r="BFO64" s="248"/>
      <c r="BFP64" s="248"/>
      <c r="BFQ64" s="248"/>
      <c r="BFR64" s="248"/>
      <c r="BFS64" s="248"/>
      <c r="BFT64" s="248"/>
      <c r="BFU64" s="248"/>
      <c r="BFV64" s="248"/>
      <c r="BFW64" s="248"/>
      <c r="BFX64" s="248"/>
      <c r="BFY64" s="248"/>
      <c r="BFZ64" s="248"/>
      <c r="BGA64" s="248"/>
      <c r="BGB64" s="248"/>
      <c r="BGC64" s="248"/>
      <c r="BGD64" s="248"/>
      <c r="BGE64" s="248"/>
      <c r="BGF64" s="248"/>
      <c r="BGG64" s="248"/>
      <c r="BGH64" s="248"/>
      <c r="BGI64" s="248"/>
      <c r="BGJ64" s="248"/>
      <c r="BGK64" s="248"/>
      <c r="BGL64" s="248"/>
      <c r="BGM64" s="248"/>
      <c r="BGN64" s="248"/>
      <c r="BGO64" s="248"/>
      <c r="BGP64" s="248"/>
      <c r="BGQ64" s="248"/>
      <c r="BGR64" s="248"/>
      <c r="BGS64" s="248"/>
      <c r="BGT64" s="248"/>
      <c r="BGU64" s="248"/>
      <c r="BGV64" s="248"/>
      <c r="BGW64" s="248"/>
      <c r="BGX64" s="248"/>
      <c r="BGY64" s="248"/>
      <c r="BGZ64" s="248"/>
      <c r="BHA64" s="248"/>
      <c r="BHB64" s="248"/>
      <c r="BHC64" s="248"/>
      <c r="BHD64" s="248"/>
      <c r="BHE64" s="248"/>
      <c r="BHF64" s="248"/>
      <c r="BHG64" s="248"/>
      <c r="BHH64" s="248"/>
      <c r="BHI64" s="248"/>
      <c r="BHJ64" s="248"/>
      <c r="BHK64" s="248"/>
      <c r="BHL64" s="248"/>
      <c r="BHM64" s="248"/>
      <c r="BHN64" s="248"/>
      <c r="BHO64" s="248"/>
      <c r="BHP64" s="248"/>
      <c r="BHQ64" s="248"/>
      <c r="BHR64" s="248"/>
      <c r="BHS64" s="248"/>
      <c r="BHT64" s="248"/>
      <c r="BHU64" s="248"/>
      <c r="BHV64" s="248"/>
      <c r="BHW64" s="248"/>
      <c r="BHX64" s="248"/>
      <c r="BHY64" s="248"/>
      <c r="BHZ64" s="248"/>
      <c r="BIA64" s="248"/>
      <c r="BIB64" s="248"/>
      <c r="BIC64" s="248"/>
      <c r="BID64" s="248"/>
      <c r="BIE64" s="248"/>
      <c r="BIF64" s="248"/>
      <c r="BIG64" s="248"/>
      <c r="BIH64" s="248"/>
      <c r="BII64" s="248"/>
      <c r="BIJ64" s="248"/>
      <c r="BIK64" s="248"/>
      <c r="BIL64" s="248"/>
      <c r="BIM64" s="248"/>
      <c r="BIN64" s="248"/>
      <c r="BIO64" s="248"/>
      <c r="BIP64" s="248"/>
      <c r="BIQ64" s="248"/>
      <c r="BIR64" s="248"/>
      <c r="BIS64" s="248"/>
      <c r="BIT64" s="248"/>
      <c r="BIU64" s="248"/>
      <c r="BIV64" s="248"/>
      <c r="BIW64" s="248"/>
      <c r="BIX64" s="248"/>
      <c r="BIY64" s="248"/>
      <c r="BIZ64" s="248"/>
      <c r="BJA64" s="248"/>
      <c r="BJB64" s="248"/>
      <c r="BJC64" s="248"/>
      <c r="BJD64" s="248"/>
      <c r="BJE64" s="248"/>
      <c r="BJF64" s="248"/>
      <c r="BJG64" s="248"/>
      <c r="BJH64" s="248"/>
      <c r="BJI64" s="248"/>
      <c r="BJJ64" s="248"/>
      <c r="BJK64" s="248"/>
      <c r="BJL64" s="248"/>
      <c r="BJM64" s="248"/>
      <c r="BJN64" s="248"/>
      <c r="BJO64" s="248"/>
      <c r="BJP64" s="248"/>
      <c r="BJQ64" s="248"/>
      <c r="BJR64" s="248"/>
      <c r="BJS64" s="248"/>
      <c r="BJT64" s="248"/>
      <c r="BJU64" s="248"/>
      <c r="BJV64" s="248"/>
      <c r="BJW64" s="248"/>
      <c r="BJX64" s="248"/>
      <c r="BJY64" s="248"/>
      <c r="BJZ64" s="248"/>
      <c r="BKA64" s="248"/>
      <c r="BKB64" s="248"/>
      <c r="BKC64" s="248"/>
      <c r="BKD64" s="248"/>
      <c r="BKE64" s="248"/>
      <c r="BKF64" s="248"/>
      <c r="BKG64" s="248"/>
      <c r="BKH64" s="248"/>
      <c r="BKI64" s="248"/>
      <c r="BKJ64" s="248"/>
      <c r="BKK64" s="248"/>
      <c r="BKL64" s="248"/>
      <c r="BKM64" s="248"/>
      <c r="BKN64" s="248"/>
      <c r="BKO64" s="248"/>
      <c r="BKP64" s="248"/>
      <c r="BKQ64" s="248"/>
      <c r="BKR64" s="248"/>
      <c r="BKS64" s="248"/>
      <c r="BKT64" s="248"/>
      <c r="BKU64" s="248"/>
      <c r="BKV64" s="248"/>
    </row>
    <row r="65" spans="1:1660" ht="20.100000000000001" customHeight="1" x14ac:dyDescent="0.25">
      <c r="A65" s="78" t="s">
        <v>26</v>
      </c>
      <c r="B65" s="51"/>
      <c r="C65" s="209"/>
      <c r="D65" s="119" t="str">
        <f t="shared" si="0"/>
        <v>2h 50 min</v>
      </c>
      <c r="E65" s="26">
        <v>34</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73"/>
      <c r="AYA65" s="248"/>
      <c r="AYB65" s="248"/>
      <c r="AYC65" s="248"/>
      <c r="AYD65" s="248"/>
      <c r="AYE65" s="248"/>
      <c r="AYF65" s="248"/>
      <c r="AYG65" s="248"/>
      <c r="AYH65" s="248"/>
      <c r="AYI65" s="248"/>
      <c r="AYJ65" s="248"/>
      <c r="AYK65" s="248"/>
      <c r="AYL65" s="248"/>
      <c r="AYM65" s="248"/>
      <c r="AYN65" s="248"/>
      <c r="AYO65" s="248"/>
      <c r="AYP65" s="248"/>
      <c r="AYQ65" s="248"/>
      <c r="AYR65" s="248"/>
      <c r="AYS65" s="248"/>
      <c r="AYT65" s="248"/>
      <c r="AYU65" s="248"/>
      <c r="AYV65" s="248"/>
      <c r="AYW65" s="248"/>
      <c r="AYX65" s="248"/>
      <c r="AYY65" s="248"/>
      <c r="AYZ65" s="248"/>
      <c r="AZA65" s="248"/>
      <c r="AZB65" s="248"/>
      <c r="AZC65" s="248"/>
      <c r="AZD65" s="248"/>
      <c r="AZE65" s="248"/>
      <c r="AZF65" s="248"/>
      <c r="AZG65" s="248"/>
      <c r="AZH65" s="248"/>
      <c r="AZI65" s="248"/>
      <c r="AZJ65" s="248"/>
      <c r="AZK65" s="248"/>
      <c r="AZL65" s="248"/>
      <c r="AZM65" s="248"/>
      <c r="AZN65" s="248"/>
      <c r="AZO65" s="248"/>
      <c r="AZP65" s="248"/>
      <c r="AZQ65" s="248"/>
      <c r="AZR65" s="248"/>
      <c r="AZS65" s="248"/>
      <c r="AZT65" s="248"/>
      <c r="AZU65" s="248"/>
      <c r="AZV65" s="248"/>
      <c r="AZW65" s="248"/>
      <c r="AZX65" s="248"/>
      <c r="AZY65" s="248"/>
      <c r="AZZ65" s="248"/>
      <c r="BAA65" s="248"/>
      <c r="BAB65" s="248"/>
      <c r="BAC65" s="248"/>
      <c r="BAD65" s="248"/>
      <c r="BAE65" s="248"/>
      <c r="BAF65" s="248"/>
      <c r="BAG65" s="248"/>
      <c r="BAH65" s="248"/>
      <c r="BAI65" s="248"/>
      <c r="BAJ65" s="248"/>
      <c r="BAK65" s="248"/>
      <c r="BAL65" s="248"/>
      <c r="BAM65" s="248"/>
      <c r="BAN65" s="248"/>
      <c r="BAO65" s="248"/>
      <c r="BAP65" s="248"/>
      <c r="BAQ65" s="248"/>
      <c r="BAR65" s="248"/>
      <c r="BAS65" s="248"/>
      <c r="BAT65" s="248"/>
      <c r="BAU65" s="248"/>
      <c r="BAV65" s="248"/>
      <c r="BAW65" s="248"/>
      <c r="BAX65" s="248"/>
      <c r="BAY65" s="248"/>
      <c r="BAZ65" s="248"/>
      <c r="BBA65" s="248"/>
      <c r="BBB65" s="248"/>
      <c r="BBC65" s="248"/>
      <c r="BBD65" s="248"/>
      <c r="BBE65" s="248"/>
      <c r="BBF65" s="248"/>
      <c r="BBG65" s="248"/>
      <c r="BBH65" s="248"/>
      <c r="BBI65" s="248"/>
      <c r="BBJ65" s="248"/>
      <c r="BBK65" s="248"/>
      <c r="BBL65" s="248"/>
      <c r="BBM65" s="248"/>
      <c r="BBN65" s="248"/>
      <c r="BBO65" s="248"/>
      <c r="BBP65" s="248"/>
      <c r="BBQ65" s="248"/>
      <c r="BBR65" s="248"/>
      <c r="BBS65" s="248"/>
      <c r="BBT65" s="248"/>
      <c r="BBU65" s="248"/>
      <c r="BBV65" s="248"/>
      <c r="BBW65" s="248"/>
      <c r="BBX65" s="248"/>
      <c r="BBY65" s="248"/>
      <c r="BBZ65" s="248"/>
      <c r="BCA65" s="248"/>
      <c r="BCB65" s="248"/>
      <c r="BCC65" s="248"/>
      <c r="BCD65" s="248"/>
      <c r="BCE65" s="248"/>
      <c r="BCF65" s="248"/>
      <c r="BCG65" s="248"/>
      <c r="BCH65" s="248"/>
      <c r="BCI65" s="248"/>
      <c r="BCJ65" s="248"/>
      <c r="BCK65" s="248"/>
      <c r="BCL65" s="248"/>
      <c r="BCM65" s="248"/>
      <c r="BCN65" s="248"/>
      <c r="BCO65" s="248"/>
      <c r="BCP65" s="248"/>
      <c r="BCQ65" s="248"/>
      <c r="BCR65" s="248"/>
      <c r="BCS65" s="248"/>
      <c r="BCT65" s="248"/>
      <c r="BCU65" s="248"/>
      <c r="BCV65" s="248"/>
      <c r="BCW65" s="248"/>
      <c r="BCX65" s="248"/>
      <c r="BCY65" s="248"/>
      <c r="BCZ65" s="248"/>
      <c r="BDA65" s="248"/>
      <c r="BDB65" s="248"/>
      <c r="BDC65" s="248"/>
      <c r="BDD65" s="248"/>
      <c r="BDE65" s="248"/>
      <c r="BDF65" s="248"/>
      <c r="BDG65" s="248"/>
      <c r="BDH65" s="248"/>
      <c r="BDI65" s="248"/>
      <c r="BDJ65" s="248"/>
      <c r="BDK65" s="248"/>
      <c r="BDL65" s="248"/>
      <c r="BDM65" s="248"/>
      <c r="BDN65" s="248"/>
      <c r="BDO65" s="248"/>
      <c r="BDP65" s="248"/>
      <c r="BDQ65" s="248"/>
      <c r="BDR65" s="248"/>
      <c r="BDS65" s="248"/>
      <c r="BDT65" s="248"/>
      <c r="BDU65" s="248"/>
      <c r="BDV65" s="248"/>
      <c r="BDW65" s="248"/>
      <c r="BDX65" s="248"/>
      <c r="BDY65" s="248"/>
      <c r="BDZ65" s="248"/>
      <c r="BEA65" s="248"/>
      <c r="BEB65" s="248"/>
      <c r="BEC65" s="248"/>
      <c r="BED65" s="248"/>
      <c r="BEE65" s="248"/>
      <c r="BEF65" s="248"/>
      <c r="BEG65" s="248"/>
      <c r="BEH65" s="248"/>
      <c r="BEI65" s="248"/>
      <c r="BEJ65" s="248"/>
      <c r="BEK65" s="248"/>
      <c r="BEL65" s="248"/>
      <c r="BEM65" s="248"/>
      <c r="BEN65" s="248"/>
      <c r="BEO65" s="248"/>
      <c r="BEP65" s="248"/>
      <c r="BEQ65" s="248"/>
      <c r="BER65" s="248"/>
      <c r="BES65" s="248"/>
      <c r="BET65" s="248"/>
      <c r="BEU65" s="248"/>
      <c r="BEV65" s="248"/>
      <c r="BEW65" s="248"/>
      <c r="BEX65" s="248"/>
      <c r="BEY65" s="248"/>
      <c r="BEZ65" s="248"/>
      <c r="BFA65" s="248"/>
      <c r="BFB65" s="248"/>
      <c r="BFC65" s="248"/>
      <c r="BFD65" s="248"/>
      <c r="BFE65" s="248"/>
      <c r="BFF65" s="248"/>
      <c r="BFG65" s="248"/>
      <c r="BFH65" s="248"/>
      <c r="BFI65" s="248"/>
      <c r="BFJ65" s="248"/>
      <c r="BFK65" s="248"/>
      <c r="BFL65" s="248"/>
      <c r="BFM65" s="248"/>
      <c r="BFN65" s="248"/>
      <c r="BFO65" s="248"/>
      <c r="BFP65" s="248"/>
      <c r="BFQ65" s="248"/>
      <c r="BFR65" s="248"/>
      <c r="BFS65" s="248"/>
      <c r="BFT65" s="248"/>
      <c r="BFU65" s="248"/>
      <c r="BFV65" s="248"/>
      <c r="BFW65" s="248"/>
      <c r="BFX65" s="248"/>
      <c r="BFY65" s="248"/>
      <c r="BFZ65" s="248"/>
      <c r="BGA65" s="248"/>
      <c r="BGB65" s="248"/>
      <c r="BGC65" s="248"/>
      <c r="BGD65" s="248"/>
      <c r="BGE65" s="248"/>
      <c r="BGF65" s="248"/>
      <c r="BGG65" s="248"/>
      <c r="BGH65" s="248"/>
      <c r="BGI65" s="248"/>
      <c r="BGJ65" s="248"/>
      <c r="BGK65" s="248"/>
      <c r="BGL65" s="248"/>
      <c r="BGM65" s="248"/>
      <c r="BGN65" s="248"/>
      <c r="BGO65" s="248"/>
      <c r="BGP65" s="248"/>
      <c r="BGQ65" s="248"/>
      <c r="BGR65" s="248"/>
      <c r="BGS65" s="248"/>
      <c r="BGT65" s="248"/>
      <c r="BGU65" s="248"/>
      <c r="BGV65" s="248"/>
      <c r="BGW65" s="248"/>
      <c r="BGX65" s="248"/>
      <c r="BGY65" s="248"/>
      <c r="BGZ65" s="248"/>
      <c r="BHA65" s="248"/>
      <c r="BHB65" s="248"/>
      <c r="BHC65" s="248"/>
      <c r="BHD65" s="248"/>
      <c r="BHE65" s="248"/>
      <c r="BHF65" s="248"/>
      <c r="BHG65" s="248"/>
      <c r="BHH65" s="248"/>
      <c r="BHI65" s="248"/>
      <c r="BHJ65" s="248"/>
      <c r="BHK65" s="248"/>
      <c r="BHL65" s="248"/>
      <c r="BHM65" s="248"/>
      <c r="BHN65" s="248"/>
      <c r="BHO65" s="248"/>
      <c r="BHP65" s="248"/>
      <c r="BHQ65" s="248"/>
      <c r="BHR65" s="248"/>
      <c r="BHS65" s="248"/>
      <c r="BHT65" s="248"/>
      <c r="BHU65" s="248"/>
      <c r="BHV65" s="248"/>
      <c r="BHW65" s="248"/>
      <c r="BHX65" s="248"/>
      <c r="BHY65" s="248"/>
      <c r="BHZ65" s="248"/>
      <c r="BIA65" s="248"/>
      <c r="BIB65" s="248"/>
      <c r="BIC65" s="248"/>
      <c r="BID65" s="248"/>
      <c r="BIE65" s="248"/>
      <c r="BIF65" s="248"/>
      <c r="BIG65" s="248"/>
      <c r="BIH65" s="248"/>
      <c r="BII65" s="248"/>
      <c r="BIJ65" s="248"/>
      <c r="BIK65" s="248"/>
      <c r="BIL65" s="248"/>
      <c r="BIM65" s="248"/>
      <c r="BIN65" s="248"/>
      <c r="BIO65" s="248"/>
      <c r="BIP65" s="248"/>
      <c r="BIQ65" s="248"/>
      <c r="BIR65" s="248"/>
      <c r="BIS65" s="248"/>
      <c r="BIT65" s="248"/>
      <c r="BIU65" s="248"/>
      <c r="BIV65" s="248"/>
      <c r="BIW65" s="248"/>
      <c r="BIX65" s="248"/>
      <c r="BIY65" s="248"/>
      <c r="BIZ65" s="248"/>
      <c r="BJA65" s="248"/>
      <c r="BJB65" s="248"/>
      <c r="BJC65" s="248"/>
      <c r="BJD65" s="248"/>
      <c r="BJE65" s="248"/>
      <c r="BJF65" s="248"/>
      <c r="BJG65" s="248"/>
      <c r="BJH65" s="248"/>
      <c r="BJI65" s="248"/>
      <c r="BJJ65" s="248"/>
      <c r="BJK65" s="248"/>
      <c r="BJL65" s="248"/>
      <c r="BJM65" s="248"/>
      <c r="BJN65" s="248"/>
    </row>
    <row r="66" spans="1:1660" ht="20.100000000000001" customHeight="1" x14ac:dyDescent="0.3">
      <c r="A66" s="78" t="s">
        <v>28</v>
      </c>
      <c r="B66" s="51"/>
      <c r="C66" s="21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73"/>
      <c r="AYA66" s="248"/>
      <c r="AYB66" s="248"/>
      <c r="AYC66" s="248"/>
      <c r="AYD66" s="248"/>
      <c r="AYE66" s="248"/>
      <c r="AYF66" s="248"/>
      <c r="AYG66" s="248"/>
      <c r="AYH66" s="248"/>
      <c r="AYI66" s="248"/>
      <c r="AYJ66" s="248"/>
      <c r="AYK66" s="248"/>
      <c r="AYL66" s="248"/>
      <c r="AYM66" s="248"/>
      <c r="AYN66" s="248"/>
      <c r="AYO66" s="248"/>
      <c r="AYP66" s="248"/>
      <c r="AYQ66" s="248"/>
      <c r="AYR66" s="248"/>
      <c r="AYS66" s="248"/>
      <c r="AYT66" s="248"/>
      <c r="AYU66" s="248"/>
      <c r="AYV66" s="248"/>
      <c r="AYW66" s="248"/>
      <c r="AYX66" s="248"/>
      <c r="AYY66" s="248"/>
      <c r="AYZ66" s="248"/>
      <c r="AZA66" s="248"/>
      <c r="AZB66" s="248"/>
      <c r="AZC66" s="248"/>
      <c r="AZD66" s="248"/>
      <c r="AZE66" s="248"/>
      <c r="AZF66" s="248"/>
      <c r="AZG66" s="248"/>
      <c r="AZH66" s="248"/>
      <c r="AZI66" s="248"/>
      <c r="AZJ66" s="248"/>
      <c r="AZK66" s="248"/>
      <c r="AZL66" s="248"/>
      <c r="AZM66" s="248"/>
      <c r="AZN66" s="248"/>
      <c r="AZO66" s="248"/>
      <c r="AZP66" s="248"/>
      <c r="AZQ66" s="248"/>
      <c r="AZR66" s="248"/>
      <c r="AZS66" s="248"/>
      <c r="AZT66" s="248"/>
      <c r="AZU66" s="248"/>
      <c r="AZV66" s="248"/>
      <c r="AZW66" s="248"/>
      <c r="AZX66" s="248"/>
      <c r="AZY66" s="248"/>
      <c r="AZZ66" s="248"/>
      <c r="BAA66" s="248"/>
      <c r="BAB66" s="248"/>
      <c r="BAC66" s="248"/>
      <c r="BAD66" s="248"/>
      <c r="BAE66" s="248"/>
      <c r="BAF66" s="248"/>
      <c r="BAG66" s="248"/>
      <c r="BAH66" s="248"/>
      <c r="BAI66" s="248"/>
      <c r="BAJ66" s="248"/>
      <c r="BAK66" s="248"/>
      <c r="BAL66" s="248"/>
      <c r="BAM66" s="248"/>
      <c r="BAN66" s="248"/>
      <c r="BAO66" s="248"/>
      <c r="BAP66" s="248"/>
      <c r="BAQ66" s="248"/>
      <c r="BAR66" s="248"/>
      <c r="BAS66" s="248"/>
      <c r="BAT66" s="248"/>
      <c r="BAU66" s="248"/>
      <c r="BAV66" s="248"/>
      <c r="BAW66" s="248"/>
      <c r="BAX66" s="248"/>
      <c r="BAY66" s="248"/>
      <c r="BAZ66" s="248"/>
      <c r="BBA66" s="248"/>
      <c r="BBB66" s="248"/>
      <c r="BBC66" s="248"/>
      <c r="BBD66" s="248"/>
      <c r="BBE66" s="248"/>
      <c r="BBF66" s="248"/>
      <c r="BBG66" s="248"/>
      <c r="BBH66" s="248"/>
      <c r="BBI66" s="248"/>
      <c r="BBJ66" s="248"/>
      <c r="BBK66" s="248"/>
      <c r="BBL66" s="248"/>
      <c r="BBM66" s="248"/>
      <c r="BBN66" s="248"/>
      <c r="BBO66" s="248"/>
      <c r="BBP66" s="248"/>
      <c r="BBQ66" s="248"/>
      <c r="BBR66" s="248"/>
      <c r="BBS66" s="248"/>
      <c r="BBT66" s="248"/>
      <c r="BBU66" s="248"/>
      <c r="BBV66" s="248"/>
      <c r="BBW66" s="248"/>
      <c r="BBX66" s="248"/>
      <c r="BBY66" s="248"/>
      <c r="BBZ66" s="248"/>
      <c r="BCA66" s="248"/>
      <c r="BCB66" s="248"/>
      <c r="BCC66" s="248"/>
      <c r="BCD66" s="248"/>
      <c r="BCE66" s="248"/>
      <c r="BCF66" s="248"/>
      <c r="BCG66" s="248"/>
      <c r="BCH66" s="248"/>
      <c r="BCI66" s="248"/>
      <c r="BCJ66" s="248"/>
      <c r="BCK66" s="248"/>
      <c r="BCL66" s="248"/>
      <c r="BCM66" s="248"/>
      <c r="BCN66" s="248"/>
      <c r="BCO66" s="248"/>
      <c r="BCP66" s="248"/>
      <c r="BCQ66" s="248"/>
      <c r="BCR66" s="248"/>
      <c r="BCS66" s="248"/>
      <c r="BCT66" s="248"/>
      <c r="BCU66" s="248"/>
      <c r="BCV66" s="248"/>
      <c r="BCW66" s="248"/>
      <c r="BCX66" s="248"/>
      <c r="BCY66" s="248"/>
      <c r="BCZ66" s="248"/>
      <c r="BDA66" s="248"/>
      <c r="BDB66" s="248"/>
      <c r="BDC66" s="248"/>
      <c r="BDD66" s="248"/>
      <c r="BDE66" s="248"/>
      <c r="BDF66" s="248"/>
      <c r="BDG66" s="248"/>
      <c r="BDH66" s="248"/>
      <c r="BDI66" s="248"/>
      <c r="BDJ66" s="248"/>
      <c r="BDK66" s="248"/>
      <c r="BDL66" s="248"/>
      <c r="BDM66" s="248"/>
      <c r="BDN66" s="248"/>
      <c r="BDO66" s="248"/>
      <c r="BDP66" s="248"/>
      <c r="BDQ66" s="248"/>
      <c r="BDR66" s="248"/>
      <c r="BDS66" s="248"/>
      <c r="BDT66" s="248"/>
      <c r="BDU66" s="248"/>
      <c r="BDV66" s="248"/>
      <c r="BDW66" s="248"/>
      <c r="BDX66" s="248"/>
      <c r="BDY66" s="248"/>
      <c r="BDZ66" s="248"/>
      <c r="BEA66" s="248"/>
      <c r="BEB66" s="248"/>
      <c r="BEC66" s="248"/>
      <c r="BED66" s="248"/>
      <c r="BEE66" s="248"/>
      <c r="BEF66" s="248"/>
      <c r="BEG66" s="248"/>
      <c r="BEH66" s="248"/>
      <c r="BEI66" s="248"/>
      <c r="BEJ66" s="248"/>
      <c r="BEK66" s="248"/>
      <c r="BEL66" s="248"/>
      <c r="BEM66" s="248"/>
      <c r="BEN66" s="248"/>
      <c r="BEO66" s="248"/>
      <c r="BEP66" s="248"/>
      <c r="BEQ66" s="248"/>
      <c r="BER66" s="248"/>
      <c r="BES66" s="248"/>
      <c r="BET66" s="248"/>
      <c r="BEU66" s="248"/>
      <c r="BEV66" s="248"/>
      <c r="BEW66" s="248"/>
      <c r="BEX66" s="248"/>
      <c r="BEY66" s="248"/>
      <c r="BEZ66" s="248"/>
      <c r="BFA66" s="248"/>
      <c r="BFB66" s="248"/>
      <c r="BFC66" s="248"/>
      <c r="BFD66" s="248"/>
      <c r="BFE66" s="248"/>
      <c r="BFF66" s="248"/>
      <c r="BFG66" s="248"/>
      <c r="BFH66" s="248"/>
      <c r="BFI66" s="248"/>
      <c r="BFJ66" s="248"/>
      <c r="BFK66" s="248"/>
      <c r="BFL66" s="248"/>
      <c r="BFM66" s="248"/>
      <c r="BFN66" s="248"/>
      <c r="BFO66" s="248"/>
      <c r="BFP66" s="248"/>
      <c r="BFQ66" s="248"/>
      <c r="BFR66" s="248"/>
      <c r="BFS66" s="248"/>
      <c r="BFT66" s="248"/>
      <c r="BFU66" s="248"/>
      <c r="BFV66" s="248"/>
      <c r="BFW66" s="248"/>
      <c r="BFX66" s="248"/>
      <c r="BFY66" s="248"/>
      <c r="BFZ66" s="248"/>
      <c r="BGA66" s="248"/>
      <c r="BGB66" s="248"/>
      <c r="BGC66" s="248"/>
      <c r="BGD66" s="248"/>
      <c r="BGE66" s="248"/>
      <c r="BGF66" s="248"/>
      <c r="BGG66" s="248"/>
      <c r="BGH66" s="248"/>
      <c r="BGI66" s="248"/>
      <c r="BGJ66" s="248"/>
      <c r="BGK66" s="248"/>
      <c r="BGL66" s="248"/>
      <c r="BGM66" s="248"/>
      <c r="BGN66" s="248"/>
      <c r="BGO66" s="248"/>
      <c r="BGP66" s="248"/>
      <c r="BGQ66" s="248"/>
      <c r="BGR66" s="248"/>
      <c r="BGS66" s="248"/>
      <c r="BGT66" s="248"/>
      <c r="BGU66" s="248"/>
      <c r="BGV66" s="248"/>
      <c r="BGW66" s="248"/>
      <c r="BGX66" s="248"/>
      <c r="BGY66" s="248"/>
      <c r="BGZ66" s="248"/>
      <c r="BHA66" s="248"/>
      <c r="BHB66" s="248"/>
      <c r="BHC66" s="248"/>
      <c r="BHD66" s="248"/>
      <c r="BHE66" s="248"/>
      <c r="BHF66" s="248"/>
      <c r="BHG66" s="248"/>
      <c r="BHH66" s="248"/>
      <c r="BHI66" s="248"/>
      <c r="BHJ66" s="248"/>
      <c r="BHK66" s="248"/>
      <c r="BHL66" s="248"/>
      <c r="BHM66" s="248"/>
      <c r="BHN66" s="248"/>
      <c r="BHO66" s="248"/>
      <c r="BHP66" s="248"/>
      <c r="BHQ66" s="248"/>
      <c r="BHR66" s="248"/>
      <c r="BHS66" s="248"/>
      <c r="BHT66" s="248"/>
      <c r="BHU66" s="248"/>
      <c r="BHV66" s="248"/>
      <c r="BHW66" s="248"/>
      <c r="BHX66" s="248"/>
      <c r="BHY66" s="248"/>
      <c r="BHZ66" s="248"/>
      <c r="BIA66" s="248"/>
      <c r="BIB66" s="248"/>
      <c r="BIC66" s="248"/>
      <c r="BID66" s="248"/>
      <c r="BIE66" s="248"/>
      <c r="BIF66" s="248"/>
      <c r="BIG66" s="248"/>
      <c r="BIH66" s="248"/>
      <c r="BII66" s="248"/>
      <c r="BIJ66" s="248"/>
      <c r="BIK66" s="248"/>
      <c r="BIL66" s="248"/>
      <c r="BIM66" s="248"/>
      <c r="BIN66" s="248"/>
      <c r="BIO66" s="248"/>
      <c r="BIP66" s="248"/>
      <c r="BIQ66" s="248"/>
      <c r="BIR66" s="248"/>
      <c r="BIS66" s="248"/>
      <c r="BIT66" s="248"/>
      <c r="BIU66" s="248"/>
      <c r="BIV66" s="248"/>
      <c r="BIW66" s="248"/>
      <c r="BIX66" s="248"/>
      <c r="BIY66" s="248"/>
      <c r="BIZ66" s="248"/>
      <c r="BJA66" s="248"/>
      <c r="BJB66" s="248"/>
      <c r="BJC66" s="248"/>
      <c r="BJD66" s="248"/>
      <c r="BJE66" s="248"/>
      <c r="BJF66" s="248"/>
      <c r="BJG66" s="248"/>
      <c r="BJH66" s="248"/>
      <c r="BJI66" s="248"/>
      <c r="BJJ66" s="248"/>
      <c r="BJK66" s="248"/>
      <c r="BJL66" s="248"/>
      <c r="BJM66" s="248"/>
      <c r="BJN66" s="248"/>
      <c r="BJO66" s="248"/>
      <c r="BJP66" s="248"/>
      <c r="BJQ66" s="248"/>
      <c r="BJR66" s="248"/>
      <c r="BJS66" s="248"/>
      <c r="BJT66" s="248"/>
      <c r="BJU66" s="248"/>
      <c r="BJV66" s="248"/>
      <c r="BJW66" s="248"/>
      <c r="BJX66" s="248"/>
      <c r="BJY66" s="248"/>
      <c r="BJZ66" s="248"/>
      <c r="BKA66" s="248"/>
      <c r="BKB66" s="248"/>
      <c r="BKC66" s="248"/>
      <c r="BKD66" s="248"/>
      <c r="BKE66" s="248"/>
      <c r="BKF66" s="248"/>
      <c r="BKG66" s="248"/>
      <c r="BKH66" s="248"/>
      <c r="BKI66" s="248"/>
      <c r="BKJ66" s="248"/>
      <c r="BKK66" s="248"/>
      <c r="BKL66" s="248"/>
      <c r="BKM66" s="248"/>
      <c r="BKN66" s="248"/>
      <c r="BKO66" s="248"/>
      <c r="BKP66" s="248"/>
      <c r="BKQ66" s="248"/>
      <c r="BKR66" s="248"/>
      <c r="BKS66" s="248"/>
      <c r="BKT66" s="248"/>
      <c r="BKU66" s="248"/>
      <c r="BKV66" s="248"/>
    </row>
    <row r="67" spans="1:1660" ht="20.100000000000001" customHeight="1" x14ac:dyDescent="0.25">
      <c r="A67" s="78" t="s">
        <v>26</v>
      </c>
      <c r="B67" s="51"/>
      <c r="C67" s="209"/>
      <c r="D67" s="119" t="str">
        <f t="shared" si="0"/>
        <v>2h 50 min</v>
      </c>
      <c r="E67" s="34">
        <v>34</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73"/>
      <c r="AYA67" s="248"/>
      <c r="AYB67" s="248"/>
      <c r="AYC67" s="248"/>
      <c r="AYD67" s="248"/>
      <c r="AYE67" s="248"/>
      <c r="AYF67" s="248"/>
      <c r="AYG67" s="248"/>
      <c r="AYH67" s="248"/>
      <c r="AYI67" s="248"/>
      <c r="AYJ67" s="248"/>
      <c r="AYK67" s="248"/>
      <c r="AYL67" s="248"/>
      <c r="AYM67" s="248"/>
      <c r="AYN67" s="248"/>
      <c r="AYO67" s="248"/>
      <c r="AYP67" s="248"/>
      <c r="AYQ67" s="248"/>
      <c r="AYR67" s="248"/>
      <c r="AYS67" s="248"/>
      <c r="AYT67" s="248"/>
      <c r="AYU67" s="248"/>
      <c r="AYV67" s="248"/>
      <c r="AYW67" s="248"/>
      <c r="AYX67" s="248"/>
      <c r="AYY67" s="248"/>
      <c r="AYZ67" s="248"/>
      <c r="AZA67" s="248"/>
      <c r="AZB67" s="248"/>
      <c r="AZC67" s="248"/>
      <c r="AZD67" s="248"/>
      <c r="AZE67" s="248"/>
      <c r="AZF67" s="248"/>
      <c r="AZG67" s="248"/>
      <c r="AZH67" s="248"/>
      <c r="AZI67" s="248"/>
      <c r="AZJ67" s="248"/>
      <c r="AZK67" s="248"/>
      <c r="AZL67" s="248"/>
      <c r="AZM67" s="248"/>
      <c r="AZN67" s="248"/>
      <c r="AZO67" s="248"/>
      <c r="AZP67" s="248"/>
      <c r="AZQ67" s="248"/>
      <c r="AZR67" s="248"/>
      <c r="AZS67" s="248"/>
      <c r="AZT67" s="248"/>
      <c r="AZU67" s="248"/>
      <c r="AZV67" s="248"/>
      <c r="AZW67" s="248"/>
      <c r="AZX67" s="248"/>
      <c r="AZY67" s="248"/>
      <c r="AZZ67" s="248"/>
      <c r="BAA67" s="248"/>
      <c r="BAB67" s="248"/>
      <c r="BAC67" s="248"/>
      <c r="BAD67" s="248"/>
      <c r="BAE67" s="248"/>
      <c r="BAF67" s="248"/>
      <c r="BAG67" s="248"/>
      <c r="BAH67" s="248"/>
      <c r="BAI67" s="248"/>
      <c r="BAJ67" s="248"/>
      <c r="BAK67" s="248"/>
      <c r="BAL67" s="248"/>
      <c r="BAM67" s="248"/>
      <c r="BAN67" s="248"/>
      <c r="BAO67" s="248"/>
      <c r="BAP67" s="248"/>
      <c r="BAQ67" s="248"/>
      <c r="BAR67" s="248"/>
      <c r="BAS67" s="248"/>
      <c r="BAT67" s="248"/>
      <c r="BAU67" s="248"/>
      <c r="BAV67" s="248"/>
      <c r="BAW67" s="248"/>
      <c r="BAX67" s="248"/>
      <c r="BAY67" s="248"/>
      <c r="BAZ67" s="248"/>
      <c r="BBA67" s="248"/>
      <c r="BBB67" s="248"/>
      <c r="BBC67" s="248"/>
      <c r="BBD67" s="248"/>
      <c r="BBE67" s="248"/>
      <c r="BBF67" s="248"/>
      <c r="BBG67" s="248"/>
      <c r="BBH67" s="248"/>
      <c r="BBI67" s="248"/>
      <c r="BBJ67" s="248"/>
      <c r="BBK67" s="248"/>
      <c r="BBL67" s="248"/>
      <c r="BBM67" s="248"/>
      <c r="BBN67" s="248"/>
      <c r="BBO67" s="248"/>
      <c r="BBP67" s="248"/>
      <c r="BBQ67" s="248"/>
      <c r="BBR67" s="248"/>
      <c r="BBS67" s="248"/>
      <c r="BBT67" s="248"/>
      <c r="BBU67" s="248"/>
      <c r="BBV67" s="248"/>
      <c r="BBW67" s="248"/>
      <c r="BBX67" s="248"/>
      <c r="BBY67" s="248"/>
      <c r="BBZ67" s="248"/>
      <c r="BCA67" s="248"/>
      <c r="BCB67" s="248"/>
      <c r="BCC67" s="248"/>
      <c r="BCD67" s="248"/>
      <c r="BCE67" s="248"/>
      <c r="BCF67" s="248"/>
      <c r="BCG67" s="248"/>
      <c r="BCH67" s="248"/>
      <c r="BCI67" s="248"/>
      <c r="BCJ67" s="248"/>
      <c r="BCK67" s="248"/>
      <c r="BCL67" s="248"/>
      <c r="BCM67" s="248"/>
      <c r="BCN67" s="248"/>
      <c r="BCO67" s="248"/>
      <c r="BCP67" s="248"/>
      <c r="BCQ67" s="248"/>
      <c r="BCR67" s="248"/>
      <c r="BCS67" s="248"/>
      <c r="BCT67" s="248"/>
      <c r="BCU67" s="248"/>
      <c r="BCV67" s="248"/>
      <c r="BCW67" s="248"/>
      <c r="BCX67" s="248"/>
      <c r="BCY67" s="248"/>
      <c r="BCZ67" s="248"/>
      <c r="BDA67" s="248"/>
      <c r="BDB67" s="248"/>
      <c r="BDC67" s="248"/>
      <c r="BDD67" s="248"/>
      <c r="BDE67" s="248"/>
      <c r="BDF67" s="248"/>
      <c r="BDG67" s="248"/>
      <c r="BDH67" s="248"/>
      <c r="BDI67" s="248"/>
      <c r="BDJ67" s="248"/>
      <c r="BDK67" s="248"/>
      <c r="BDL67" s="248"/>
      <c r="BDM67" s="248"/>
      <c r="BDN67" s="248"/>
      <c r="BDO67" s="248"/>
      <c r="BDP67" s="248"/>
      <c r="BDQ67" s="248"/>
      <c r="BDR67" s="248"/>
      <c r="BDS67" s="248"/>
      <c r="BDT67" s="248"/>
      <c r="BDU67" s="248"/>
      <c r="BDV67" s="248"/>
      <c r="BDW67" s="248"/>
      <c r="BDX67" s="248"/>
      <c r="BDY67" s="248"/>
      <c r="BDZ67" s="248"/>
      <c r="BEA67" s="248"/>
      <c r="BEB67" s="248"/>
      <c r="BEC67" s="248"/>
      <c r="BED67" s="248"/>
      <c r="BEE67" s="248"/>
      <c r="BEF67" s="248"/>
      <c r="BEG67" s="248"/>
      <c r="BEH67" s="248"/>
      <c r="BEI67" s="248"/>
      <c r="BEJ67" s="248"/>
      <c r="BEK67" s="248"/>
      <c r="BEL67" s="248"/>
      <c r="BEM67" s="248"/>
      <c r="BEN67" s="248"/>
      <c r="BEO67" s="248"/>
      <c r="BEP67" s="248"/>
      <c r="BEQ67" s="248"/>
      <c r="BER67" s="248"/>
      <c r="BES67" s="248"/>
      <c r="BET67" s="248"/>
      <c r="BEU67" s="248"/>
      <c r="BEV67" s="248"/>
      <c r="BEW67" s="248"/>
      <c r="BEX67" s="248"/>
      <c r="BEY67" s="248"/>
      <c r="BEZ67" s="248"/>
      <c r="BFA67" s="248"/>
      <c r="BFB67" s="248"/>
      <c r="BFC67" s="248"/>
      <c r="BFD67" s="248"/>
      <c r="BFE67" s="248"/>
      <c r="BFF67" s="248"/>
      <c r="BFG67" s="248"/>
      <c r="BFH67" s="248"/>
      <c r="BFI67" s="248"/>
      <c r="BFJ67" s="248"/>
      <c r="BFK67" s="248"/>
      <c r="BFL67" s="248"/>
      <c r="BFM67" s="248"/>
      <c r="BFN67" s="248"/>
      <c r="BFO67" s="248"/>
      <c r="BFP67" s="248"/>
      <c r="BFQ67" s="248"/>
      <c r="BFR67" s="248"/>
      <c r="BFS67" s="248"/>
      <c r="BFT67" s="248"/>
      <c r="BFU67" s="248"/>
      <c r="BFV67" s="248"/>
      <c r="BFW67" s="248"/>
      <c r="BFX67" s="248"/>
      <c r="BFY67" s="248"/>
      <c r="BFZ67" s="248"/>
      <c r="BGA67" s="248"/>
      <c r="BGB67" s="248"/>
      <c r="BGC67" s="248"/>
      <c r="BGD67" s="248"/>
      <c r="BGE67" s="248"/>
      <c r="BGF67" s="248"/>
      <c r="BGG67" s="248"/>
      <c r="BGH67" s="248"/>
      <c r="BGI67" s="248"/>
      <c r="BGJ67" s="248"/>
      <c r="BGK67" s="248"/>
      <c r="BGL67" s="248"/>
      <c r="BGM67" s="248"/>
      <c r="BGN67" s="248"/>
      <c r="BGO67" s="248"/>
      <c r="BGP67" s="248"/>
      <c r="BGQ67" s="248"/>
      <c r="BGR67" s="248"/>
      <c r="BGS67" s="248"/>
      <c r="BGT67" s="248"/>
      <c r="BGU67" s="248"/>
      <c r="BGV67" s="248"/>
      <c r="BGW67" s="248"/>
      <c r="BGX67" s="248"/>
      <c r="BGY67" s="248"/>
      <c r="BGZ67" s="248"/>
      <c r="BHA67" s="248"/>
      <c r="BHB67" s="248"/>
      <c r="BHC67" s="248"/>
      <c r="BHD67" s="248"/>
      <c r="BHE67" s="248"/>
      <c r="BHF67" s="248"/>
      <c r="BHG67" s="248"/>
      <c r="BHH67" s="248"/>
      <c r="BHI67" s="248"/>
      <c r="BHJ67" s="248"/>
      <c r="BHK67" s="248"/>
      <c r="BHL67" s="248"/>
      <c r="BHM67" s="248"/>
      <c r="BHN67" s="248"/>
      <c r="BHO67" s="248"/>
      <c r="BHP67" s="248"/>
      <c r="BHQ67" s="248"/>
      <c r="BHR67" s="248"/>
      <c r="BHS67" s="248"/>
      <c r="BHT67" s="248"/>
      <c r="BHU67" s="248"/>
      <c r="BHV67" s="248"/>
      <c r="BHW67" s="248"/>
      <c r="BHX67" s="248"/>
      <c r="BHY67" s="248"/>
      <c r="BHZ67" s="248"/>
      <c r="BIA67" s="248"/>
      <c r="BIB67" s="248"/>
      <c r="BIC67" s="248"/>
      <c r="BID67" s="248"/>
      <c r="BIE67" s="248"/>
      <c r="BIF67" s="248"/>
      <c r="BIG67" s="248"/>
      <c r="BIH67" s="248"/>
      <c r="BII67" s="248"/>
      <c r="BIJ67" s="248"/>
      <c r="BIK67" s="248"/>
      <c r="BIL67" s="248"/>
      <c r="BIM67" s="248"/>
      <c r="BIN67" s="248"/>
      <c r="BIO67" s="248"/>
      <c r="BIP67" s="248"/>
      <c r="BIQ67" s="248"/>
      <c r="BIR67" s="248"/>
      <c r="BIS67" s="248"/>
      <c r="BIT67" s="248"/>
      <c r="BIU67" s="248"/>
      <c r="BIV67" s="248"/>
      <c r="BIW67" s="248"/>
      <c r="BIX67" s="248"/>
      <c r="BIY67" s="248"/>
      <c r="BIZ67" s="248"/>
      <c r="BJA67" s="248"/>
      <c r="BJB67" s="248"/>
      <c r="BJC67" s="248"/>
      <c r="BJD67" s="248"/>
      <c r="BJE67" s="248"/>
      <c r="BJF67" s="248"/>
      <c r="BJG67" s="248"/>
      <c r="BJH67" s="248"/>
      <c r="BJI67" s="248"/>
      <c r="BJJ67" s="248"/>
      <c r="BJK67" s="248"/>
      <c r="BJL67" s="248"/>
      <c r="BJM67" s="248"/>
      <c r="BJN67" s="248"/>
    </row>
    <row r="68" spans="1:1660" ht="20.100000000000001" customHeight="1" x14ac:dyDescent="0.25">
      <c r="A68" s="78" t="s">
        <v>28</v>
      </c>
      <c r="B68" s="51"/>
      <c r="C68" s="216"/>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73"/>
      <c r="AYA68" s="248"/>
      <c r="AYB68" s="248"/>
      <c r="AYC68" s="248"/>
      <c r="AYD68" s="248"/>
      <c r="AYE68" s="248"/>
      <c r="AYF68" s="248"/>
      <c r="AYG68" s="248"/>
      <c r="AYH68" s="248"/>
      <c r="AYI68" s="248"/>
      <c r="AYJ68" s="248"/>
      <c r="AYK68" s="248"/>
      <c r="AYL68" s="248"/>
      <c r="AYM68" s="248"/>
      <c r="AYN68" s="248"/>
      <c r="AYO68" s="248"/>
      <c r="AYP68" s="248"/>
      <c r="AYQ68" s="248"/>
      <c r="AYR68" s="248"/>
      <c r="AYS68" s="248"/>
      <c r="AYT68" s="248"/>
      <c r="AYU68" s="248"/>
      <c r="AYV68" s="248"/>
      <c r="AYW68" s="248"/>
      <c r="AYX68" s="248"/>
      <c r="AYY68" s="248"/>
      <c r="AYZ68" s="248"/>
      <c r="AZA68" s="248"/>
      <c r="AZB68" s="248"/>
      <c r="AZC68" s="248"/>
      <c r="AZD68" s="248"/>
      <c r="AZE68" s="248"/>
      <c r="AZF68" s="248"/>
      <c r="AZG68" s="248"/>
      <c r="AZH68" s="248"/>
      <c r="AZI68" s="248"/>
      <c r="AZJ68" s="248"/>
      <c r="AZK68" s="248"/>
      <c r="AZL68" s="248"/>
      <c r="AZM68" s="248"/>
      <c r="AZN68" s="248"/>
      <c r="AZO68" s="248"/>
      <c r="AZP68" s="248"/>
      <c r="AZQ68" s="248"/>
      <c r="AZR68" s="248"/>
      <c r="AZS68" s="248"/>
      <c r="AZT68" s="248"/>
      <c r="AZU68" s="248"/>
      <c r="AZV68" s="248"/>
      <c r="AZW68" s="248"/>
      <c r="AZX68" s="248"/>
      <c r="AZY68" s="248"/>
      <c r="AZZ68" s="248"/>
      <c r="BAA68" s="248"/>
      <c r="BAB68" s="248"/>
      <c r="BAC68" s="248"/>
      <c r="BAD68" s="248"/>
      <c r="BAE68" s="248"/>
      <c r="BAF68" s="248"/>
      <c r="BAG68" s="248"/>
      <c r="BAH68" s="248"/>
      <c r="BAI68" s="248"/>
      <c r="BAJ68" s="248"/>
      <c r="BAK68" s="248"/>
      <c r="BAL68" s="248"/>
      <c r="BAM68" s="248"/>
      <c r="BAN68" s="248"/>
      <c r="BAO68" s="248"/>
      <c r="BAP68" s="248"/>
      <c r="BAQ68" s="248"/>
      <c r="BAR68" s="248"/>
      <c r="BAS68" s="248"/>
      <c r="BAT68" s="248"/>
      <c r="BAU68" s="248"/>
      <c r="BAV68" s="248"/>
      <c r="BAW68" s="248"/>
      <c r="BAX68" s="248"/>
      <c r="BAY68" s="248"/>
      <c r="BAZ68" s="248"/>
      <c r="BBA68" s="248"/>
      <c r="BBB68" s="248"/>
      <c r="BBC68" s="248"/>
      <c r="BBD68" s="248"/>
      <c r="BBE68" s="248"/>
      <c r="BBF68" s="248"/>
      <c r="BBG68" s="248"/>
      <c r="BBH68" s="248"/>
      <c r="BBI68" s="248"/>
      <c r="BBJ68" s="248"/>
      <c r="BBK68" s="248"/>
      <c r="BBL68" s="248"/>
      <c r="BBM68" s="248"/>
      <c r="BBN68" s="248"/>
      <c r="BBO68" s="248"/>
      <c r="BBP68" s="248"/>
      <c r="BBQ68" s="248"/>
      <c r="BBR68" s="248"/>
      <c r="BBS68" s="248"/>
      <c r="BBT68" s="248"/>
      <c r="BBU68" s="248"/>
      <c r="BBV68" s="248"/>
      <c r="BBW68" s="248"/>
      <c r="BBX68" s="248"/>
      <c r="BBY68" s="248"/>
      <c r="BBZ68" s="248"/>
      <c r="BCA68" s="248"/>
      <c r="BCB68" s="248"/>
      <c r="BCC68" s="248"/>
      <c r="BCD68" s="248"/>
      <c r="BCE68" s="248"/>
      <c r="BCF68" s="248"/>
      <c r="BCG68" s="248"/>
      <c r="BCH68" s="248"/>
      <c r="BCI68" s="248"/>
      <c r="BCJ68" s="248"/>
      <c r="BCK68" s="248"/>
      <c r="BCL68" s="248"/>
      <c r="BCM68" s="248"/>
      <c r="BCN68" s="248"/>
      <c r="BCO68" s="248"/>
      <c r="BCP68" s="248"/>
      <c r="BCQ68" s="248"/>
      <c r="BCR68" s="248"/>
      <c r="BCS68" s="248"/>
      <c r="BCT68" s="248"/>
      <c r="BCU68" s="248"/>
      <c r="BCV68" s="248"/>
      <c r="BCW68" s="248"/>
      <c r="BCX68" s="248"/>
      <c r="BCY68" s="248"/>
      <c r="BCZ68" s="248"/>
      <c r="BDA68" s="248"/>
      <c r="BDB68" s="248"/>
      <c r="BDC68" s="248"/>
      <c r="BDD68" s="248"/>
      <c r="BDE68" s="248"/>
      <c r="BDF68" s="248"/>
      <c r="BDG68" s="248"/>
      <c r="BDH68" s="248"/>
      <c r="BDI68" s="248"/>
      <c r="BDJ68" s="248"/>
      <c r="BDK68" s="248"/>
      <c r="BDL68" s="248"/>
      <c r="BDM68" s="248"/>
      <c r="BDN68" s="248"/>
      <c r="BDO68" s="248"/>
      <c r="BDP68" s="248"/>
      <c r="BDQ68" s="248"/>
      <c r="BDR68" s="248"/>
      <c r="BDS68" s="248"/>
      <c r="BDT68" s="248"/>
      <c r="BDU68" s="248"/>
      <c r="BDV68" s="248"/>
      <c r="BDW68" s="248"/>
      <c r="BDX68" s="248"/>
      <c r="BDY68" s="248"/>
      <c r="BDZ68" s="248"/>
      <c r="BEA68" s="248"/>
      <c r="BEB68" s="248"/>
      <c r="BEC68" s="248"/>
      <c r="BED68" s="248"/>
      <c r="BEE68" s="248"/>
      <c r="BEF68" s="248"/>
      <c r="BEG68" s="248"/>
      <c r="BEH68" s="248"/>
      <c r="BEI68" s="248"/>
      <c r="BEJ68" s="248"/>
      <c r="BEK68" s="248"/>
      <c r="BEL68" s="248"/>
      <c r="BEM68" s="248"/>
      <c r="BEN68" s="248"/>
      <c r="BEO68" s="248"/>
      <c r="BEP68" s="248"/>
      <c r="BEQ68" s="248"/>
      <c r="BER68" s="248"/>
      <c r="BES68" s="248"/>
      <c r="BET68" s="248"/>
      <c r="BEU68" s="248"/>
      <c r="BEV68" s="248"/>
      <c r="BEW68" s="248"/>
      <c r="BEX68" s="248"/>
      <c r="BEY68" s="248"/>
      <c r="BEZ68" s="248"/>
      <c r="BFA68" s="248"/>
      <c r="BFB68" s="248"/>
      <c r="BFC68" s="248"/>
      <c r="BFD68" s="248"/>
      <c r="BFE68" s="248"/>
      <c r="BFF68" s="248"/>
      <c r="BFG68" s="248"/>
      <c r="BFH68" s="248"/>
      <c r="BFI68" s="248"/>
      <c r="BFJ68" s="248"/>
      <c r="BFK68" s="248"/>
      <c r="BFL68" s="248"/>
      <c r="BFM68" s="248"/>
      <c r="BFN68" s="248"/>
      <c r="BFO68" s="248"/>
      <c r="BFP68" s="248"/>
      <c r="BFQ68" s="248"/>
      <c r="BFR68" s="248"/>
      <c r="BFS68" s="248"/>
      <c r="BFT68" s="248"/>
      <c r="BFU68" s="248"/>
      <c r="BFV68" s="248"/>
      <c r="BFW68" s="248"/>
      <c r="BFX68" s="248"/>
      <c r="BFY68" s="248"/>
      <c r="BFZ68" s="248"/>
      <c r="BGA68" s="248"/>
      <c r="BGB68" s="248"/>
      <c r="BGC68" s="248"/>
      <c r="BGD68" s="248"/>
      <c r="BGE68" s="248"/>
      <c r="BGF68" s="248"/>
      <c r="BGG68" s="248"/>
      <c r="BGH68" s="248"/>
      <c r="BGI68" s="248"/>
      <c r="BGJ68" s="248"/>
      <c r="BGK68" s="248"/>
      <c r="BGL68" s="248"/>
      <c r="BGM68" s="248"/>
      <c r="BGN68" s="248"/>
      <c r="BGO68" s="248"/>
      <c r="BGP68" s="248"/>
      <c r="BGQ68" s="248"/>
      <c r="BGR68" s="248"/>
      <c r="BGS68" s="248"/>
      <c r="BGT68" s="248"/>
      <c r="BGU68" s="248"/>
      <c r="BGV68" s="248"/>
      <c r="BGW68" s="248"/>
      <c r="BGX68" s="248"/>
      <c r="BGY68" s="248"/>
      <c r="BGZ68" s="248"/>
      <c r="BHA68" s="248"/>
      <c r="BHB68" s="248"/>
      <c r="BHC68" s="248"/>
      <c r="BHD68" s="248"/>
      <c r="BHE68" s="248"/>
      <c r="BHF68" s="248"/>
      <c r="BHG68" s="248"/>
      <c r="BHH68" s="248"/>
      <c r="BHI68" s="248"/>
      <c r="BHJ68" s="248"/>
      <c r="BHK68" s="248"/>
      <c r="BHL68" s="248"/>
      <c r="BHM68" s="248"/>
      <c r="BHN68" s="248"/>
      <c r="BHO68" s="248"/>
      <c r="BHP68" s="248"/>
      <c r="BHQ68" s="248"/>
      <c r="BHR68" s="248"/>
      <c r="BHS68" s="248"/>
      <c r="BHT68" s="248"/>
      <c r="BHU68" s="248"/>
      <c r="BHV68" s="248"/>
      <c r="BHW68" s="248"/>
      <c r="BHX68" s="248"/>
      <c r="BHY68" s="248"/>
      <c r="BHZ68" s="248"/>
      <c r="BIA68" s="248"/>
      <c r="BIB68" s="248"/>
      <c r="BIC68" s="248"/>
      <c r="BID68" s="248"/>
      <c r="BIE68" s="248"/>
      <c r="BIF68" s="248"/>
      <c r="BIG68" s="248"/>
      <c r="BIH68" s="248"/>
      <c r="BII68" s="248"/>
      <c r="BIJ68" s="248"/>
      <c r="BIK68" s="248"/>
      <c r="BIL68" s="248"/>
      <c r="BIM68" s="248"/>
      <c r="BIN68" s="248"/>
      <c r="BIO68" s="248"/>
      <c r="BIP68" s="248"/>
      <c r="BIQ68" s="248"/>
      <c r="BIR68" s="248"/>
      <c r="BIS68" s="248"/>
      <c r="BIT68" s="248"/>
      <c r="BIU68" s="248"/>
      <c r="BIV68" s="248"/>
      <c r="BIW68" s="248"/>
      <c r="BIX68" s="248"/>
      <c r="BIY68" s="248"/>
      <c r="BIZ68" s="248"/>
      <c r="BJA68" s="248"/>
      <c r="BJB68" s="248"/>
      <c r="BJC68" s="248"/>
      <c r="BJD68" s="248"/>
      <c r="BJE68" s="248"/>
      <c r="BJF68" s="248"/>
      <c r="BJG68" s="248"/>
      <c r="BJH68" s="248"/>
      <c r="BJI68" s="248"/>
      <c r="BJJ68" s="248"/>
      <c r="BJK68" s="248"/>
      <c r="BJL68" s="248"/>
      <c r="BJM68" s="248"/>
      <c r="BJN68" s="248"/>
      <c r="BJO68" s="248"/>
      <c r="BJP68" s="248"/>
      <c r="BJQ68" s="248"/>
      <c r="BJR68" s="248"/>
      <c r="BJS68" s="248"/>
      <c r="BJT68" s="248"/>
      <c r="BJU68" s="248"/>
      <c r="BJV68" s="248"/>
      <c r="BJW68" s="248"/>
      <c r="BJX68" s="248"/>
      <c r="BJY68" s="248"/>
      <c r="BJZ68" s="248"/>
      <c r="BKA68" s="248"/>
      <c r="BKB68" s="248"/>
      <c r="BKC68" s="248"/>
      <c r="BKD68" s="248"/>
      <c r="BKE68" s="248"/>
      <c r="BKF68" s="248"/>
      <c r="BKG68" s="248"/>
      <c r="BKH68" s="248"/>
      <c r="BKI68" s="248"/>
      <c r="BKJ68" s="248"/>
      <c r="BKK68" s="248"/>
      <c r="BKL68" s="248"/>
      <c r="BKM68" s="248"/>
      <c r="BKN68" s="248"/>
      <c r="BKO68" s="248"/>
      <c r="BKP68" s="248"/>
      <c r="BKQ68" s="248"/>
      <c r="BKR68" s="248"/>
      <c r="BKS68" s="248"/>
      <c r="BKT68" s="248"/>
      <c r="BKU68" s="248"/>
      <c r="BKV68" s="248"/>
    </row>
    <row r="69" spans="1:1660" ht="20.100000000000001" customHeight="1" x14ac:dyDescent="0.25">
      <c r="A69" s="78" t="s">
        <v>26</v>
      </c>
      <c r="B69" s="51"/>
      <c r="C69" s="209"/>
      <c r="D69" s="119" t="str">
        <f t="shared" si="0"/>
        <v>2h 50 min</v>
      </c>
      <c r="E69" s="26">
        <v>34</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73"/>
      <c r="AYA69" s="248"/>
      <c r="AYB69" s="248"/>
      <c r="AYC69" s="248"/>
      <c r="AYD69" s="248"/>
      <c r="AYE69" s="248"/>
      <c r="AYF69" s="248"/>
      <c r="AYG69" s="248"/>
      <c r="AYH69" s="248"/>
      <c r="AYI69" s="248"/>
      <c r="AYJ69" s="248"/>
      <c r="AYK69" s="248"/>
      <c r="AYL69" s="248"/>
      <c r="AYM69" s="248"/>
      <c r="AYN69" s="248"/>
      <c r="AYO69" s="248"/>
      <c r="AYP69" s="248"/>
      <c r="AYQ69" s="248"/>
      <c r="AYR69" s="248"/>
      <c r="AYS69" s="248"/>
      <c r="AYT69" s="248"/>
      <c r="AYU69" s="248"/>
      <c r="AYV69" s="248"/>
      <c r="AYW69" s="248"/>
      <c r="AYX69" s="248"/>
      <c r="AYY69" s="248"/>
      <c r="AYZ69" s="248"/>
      <c r="AZA69" s="248"/>
      <c r="AZB69" s="248"/>
      <c r="AZC69" s="248"/>
      <c r="AZD69" s="248"/>
      <c r="AZE69" s="248"/>
      <c r="AZF69" s="248"/>
      <c r="AZG69" s="248"/>
      <c r="AZH69" s="248"/>
      <c r="AZI69" s="248"/>
      <c r="AZJ69" s="248"/>
      <c r="AZK69" s="248"/>
      <c r="AZL69" s="248"/>
      <c r="AZM69" s="248"/>
      <c r="AZN69" s="248"/>
      <c r="AZO69" s="248"/>
      <c r="AZP69" s="248"/>
      <c r="AZQ69" s="248"/>
      <c r="AZR69" s="248"/>
      <c r="AZS69" s="248"/>
      <c r="AZT69" s="248"/>
      <c r="AZU69" s="248"/>
      <c r="AZV69" s="248"/>
      <c r="AZW69" s="248"/>
      <c r="AZX69" s="248"/>
      <c r="AZY69" s="248"/>
      <c r="AZZ69" s="248"/>
      <c r="BAA69" s="248"/>
      <c r="BAB69" s="248"/>
      <c r="BAC69" s="248"/>
      <c r="BAD69" s="248"/>
      <c r="BAE69" s="248"/>
      <c r="BAF69" s="248"/>
      <c r="BAG69" s="248"/>
      <c r="BAH69" s="248"/>
      <c r="BAI69" s="248"/>
      <c r="BAJ69" s="248"/>
      <c r="BAK69" s="248"/>
      <c r="BAL69" s="248"/>
      <c r="BAM69" s="248"/>
      <c r="BAN69" s="248"/>
      <c r="BAO69" s="248"/>
      <c r="BAP69" s="248"/>
      <c r="BAQ69" s="248"/>
      <c r="BAR69" s="248"/>
      <c r="BAS69" s="248"/>
      <c r="BAT69" s="248"/>
      <c r="BAU69" s="248"/>
      <c r="BAV69" s="248"/>
      <c r="BAW69" s="248"/>
      <c r="BAX69" s="248"/>
      <c r="BAY69" s="248"/>
      <c r="BAZ69" s="248"/>
      <c r="BBA69" s="248"/>
      <c r="BBB69" s="248"/>
      <c r="BBC69" s="248"/>
      <c r="BBD69" s="248"/>
      <c r="BBE69" s="248"/>
      <c r="BBF69" s="248"/>
      <c r="BBG69" s="248"/>
      <c r="BBH69" s="248"/>
      <c r="BBI69" s="248"/>
      <c r="BBJ69" s="248"/>
      <c r="BBK69" s="248"/>
      <c r="BBL69" s="248"/>
      <c r="BBM69" s="248"/>
      <c r="BBN69" s="248"/>
      <c r="BBO69" s="248"/>
      <c r="BBP69" s="248"/>
      <c r="BBQ69" s="248"/>
      <c r="BBR69" s="248"/>
      <c r="BBS69" s="248"/>
      <c r="BBT69" s="248"/>
      <c r="BBU69" s="248"/>
      <c r="BBV69" s="248"/>
      <c r="BBW69" s="248"/>
      <c r="BBX69" s="248"/>
      <c r="BBY69" s="248"/>
      <c r="BBZ69" s="248"/>
      <c r="BCA69" s="248"/>
      <c r="BCB69" s="248"/>
      <c r="BCC69" s="248"/>
      <c r="BCD69" s="248"/>
      <c r="BCE69" s="248"/>
      <c r="BCF69" s="248"/>
      <c r="BCG69" s="248"/>
      <c r="BCH69" s="248"/>
      <c r="BCI69" s="248"/>
      <c r="BCJ69" s="248"/>
      <c r="BCK69" s="248"/>
      <c r="BCL69" s="248"/>
      <c r="BCM69" s="248"/>
      <c r="BCN69" s="248"/>
      <c r="BCO69" s="248"/>
      <c r="BCP69" s="248"/>
      <c r="BCQ69" s="248"/>
      <c r="BCR69" s="248"/>
      <c r="BCS69" s="248"/>
      <c r="BCT69" s="248"/>
      <c r="BCU69" s="248"/>
      <c r="BCV69" s="248"/>
      <c r="BCW69" s="248"/>
      <c r="BCX69" s="248"/>
      <c r="BCY69" s="248"/>
      <c r="BCZ69" s="248"/>
      <c r="BDA69" s="248"/>
      <c r="BDB69" s="248"/>
      <c r="BDC69" s="248"/>
      <c r="BDD69" s="248"/>
      <c r="BDE69" s="248"/>
      <c r="BDF69" s="248"/>
      <c r="BDG69" s="248"/>
      <c r="BDH69" s="248"/>
      <c r="BDI69" s="248"/>
      <c r="BDJ69" s="248"/>
      <c r="BDK69" s="248"/>
      <c r="BDL69" s="248"/>
      <c r="BDM69" s="248"/>
      <c r="BDN69" s="248"/>
      <c r="BDO69" s="248"/>
      <c r="BDP69" s="248"/>
      <c r="BDQ69" s="248"/>
      <c r="BDR69" s="248"/>
      <c r="BDS69" s="248"/>
      <c r="BDT69" s="248"/>
      <c r="BDU69" s="248"/>
      <c r="BDV69" s="248"/>
      <c r="BDW69" s="248"/>
      <c r="BDX69" s="248"/>
      <c r="BDY69" s="248"/>
      <c r="BDZ69" s="248"/>
      <c r="BEA69" s="248"/>
      <c r="BEB69" s="248"/>
      <c r="BEC69" s="248"/>
      <c r="BED69" s="248"/>
      <c r="BEE69" s="248"/>
      <c r="BEF69" s="248"/>
      <c r="BEG69" s="248"/>
      <c r="BEH69" s="248"/>
      <c r="BEI69" s="248"/>
      <c r="BEJ69" s="248"/>
      <c r="BEK69" s="248"/>
      <c r="BEL69" s="248"/>
      <c r="BEM69" s="248"/>
      <c r="BEN69" s="248"/>
      <c r="BEO69" s="248"/>
      <c r="BEP69" s="248"/>
      <c r="BEQ69" s="248"/>
      <c r="BER69" s="248"/>
      <c r="BES69" s="248"/>
      <c r="BET69" s="248"/>
      <c r="BEU69" s="248"/>
      <c r="BEV69" s="248"/>
      <c r="BEW69" s="248"/>
      <c r="BEX69" s="248"/>
      <c r="BEY69" s="248"/>
      <c r="BEZ69" s="248"/>
      <c r="BFA69" s="248"/>
      <c r="BFB69" s="248"/>
      <c r="BFC69" s="248"/>
      <c r="BFD69" s="248"/>
      <c r="BFE69" s="248"/>
      <c r="BFF69" s="248"/>
      <c r="BFG69" s="248"/>
      <c r="BFH69" s="248"/>
      <c r="BFI69" s="248"/>
      <c r="BFJ69" s="248"/>
      <c r="BFK69" s="248"/>
      <c r="BFL69" s="248"/>
      <c r="BFM69" s="248"/>
      <c r="BFN69" s="248"/>
      <c r="BFO69" s="248"/>
      <c r="BFP69" s="248"/>
      <c r="BFQ69" s="248"/>
      <c r="BFR69" s="248"/>
      <c r="BFS69" s="248"/>
      <c r="BFT69" s="248"/>
      <c r="BFU69" s="248"/>
      <c r="BFV69" s="248"/>
      <c r="BFW69" s="248"/>
      <c r="BFX69" s="248"/>
      <c r="BFY69" s="248"/>
      <c r="BFZ69" s="248"/>
      <c r="BGA69" s="248"/>
      <c r="BGB69" s="248"/>
      <c r="BGC69" s="248"/>
      <c r="BGD69" s="248"/>
      <c r="BGE69" s="248"/>
      <c r="BGF69" s="248"/>
      <c r="BGG69" s="248"/>
      <c r="BGH69" s="248"/>
      <c r="BGI69" s="248"/>
      <c r="BGJ69" s="248"/>
      <c r="BGK69" s="248"/>
      <c r="BGL69" s="248"/>
      <c r="BGM69" s="248"/>
      <c r="BGN69" s="248"/>
      <c r="BGO69" s="248"/>
      <c r="BGP69" s="248"/>
      <c r="BGQ69" s="248"/>
      <c r="BGR69" s="248"/>
      <c r="BGS69" s="248"/>
      <c r="BGT69" s="248"/>
      <c r="BGU69" s="248"/>
      <c r="BGV69" s="248"/>
      <c r="BGW69" s="248"/>
      <c r="BGX69" s="248"/>
      <c r="BGY69" s="248"/>
      <c r="BGZ69" s="248"/>
      <c r="BHA69" s="248"/>
      <c r="BHB69" s="248"/>
      <c r="BHC69" s="248"/>
      <c r="BHD69" s="248"/>
      <c r="BHE69" s="248"/>
      <c r="BHF69" s="248"/>
      <c r="BHG69" s="248"/>
      <c r="BHH69" s="248"/>
      <c r="BHI69" s="248"/>
      <c r="BHJ69" s="248"/>
      <c r="BHK69" s="248"/>
      <c r="BHL69" s="248"/>
      <c r="BHM69" s="248"/>
      <c r="BHN69" s="248"/>
      <c r="BHO69" s="248"/>
      <c r="BHP69" s="248"/>
      <c r="BHQ69" s="248"/>
      <c r="BHR69" s="248"/>
      <c r="BHS69" s="248"/>
      <c r="BHT69" s="248"/>
      <c r="BHU69" s="248"/>
      <c r="BHV69" s="248"/>
      <c r="BHW69" s="248"/>
      <c r="BHX69" s="248"/>
      <c r="BHY69" s="248"/>
      <c r="BHZ69" s="248"/>
      <c r="BIA69" s="248"/>
      <c r="BIB69" s="248"/>
      <c r="BIC69" s="248"/>
      <c r="BID69" s="248"/>
      <c r="BIE69" s="248"/>
      <c r="BIF69" s="248"/>
      <c r="BIG69" s="248"/>
      <c r="BIH69" s="248"/>
      <c r="BII69" s="248"/>
      <c r="BIJ69" s="248"/>
      <c r="BIK69" s="248"/>
      <c r="BIL69" s="248"/>
      <c r="BIM69" s="248"/>
      <c r="BIN69" s="248"/>
      <c r="BIO69" s="248"/>
      <c r="BIP69" s="248"/>
      <c r="BIQ69" s="248"/>
      <c r="BIR69" s="248"/>
      <c r="BIS69" s="248"/>
      <c r="BIT69" s="248"/>
      <c r="BIU69" s="248"/>
      <c r="BIV69" s="248"/>
      <c r="BIW69" s="248"/>
      <c r="BIX69" s="248"/>
      <c r="BIY69" s="248"/>
      <c r="BIZ69" s="248"/>
      <c r="BJA69" s="248"/>
      <c r="BJB69" s="248"/>
      <c r="BJC69" s="248"/>
      <c r="BJD69" s="248"/>
      <c r="BJE69" s="248"/>
      <c r="BJF69" s="248"/>
      <c r="BJG69" s="248"/>
      <c r="BJH69" s="248"/>
      <c r="BJI69" s="248"/>
      <c r="BJJ69" s="248"/>
      <c r="BJK69" s="248"/>
      <c r="BJL69" s="248"/>
      <c r="BJM69" s="248"/>
      <c r="BJN69" s="248"/>
    </row>
    <row r="70" spans="1:1660" ht="20.100000000000001" customHeight="1" x14ac:dyDescent="0.3">
      <c r="A70" s="78" t="s">
        <v>28</v>
      </c>
      <c r="B70" s="51"/>
      <c r="C70" s="21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73"/>
      <c r="AYA70" s="248"/>
      <c r="AYB70" s="248"/>
      <c r="AYC70" s="248"/>
      <c r="AYD70" s="248"/>
      <c r="AYE70" s="248"/>
      <c r="AYF70" s="248"/>
      <c r="AYG70" s="248"/>
      <c r="AYH70" s="248"/>
      <c r="AYI70" s="248"/>
      <c r="AYJ70" s="248"/>
      <c r="AYK70" s="248"/>
      <c r="AYL70" s="248"/>
      <c r="AYM70" s="248"/>
      <c r="AYN70" s="248"/>
      <c r="AYO70" s="248"/>
      <c r="AYP70" s="248"/>
      <c r="AYQ70" s="248"/>
      <c r="AYR70" s="248"/>
      <c r="AYS70" s="248"/>
      <c r="AYT70" s="248"/>
      <c r="AYU70" s="248"/>
      <c r="AYV70" s="248"/>
      <c r="AYW70" s="248"/>
      <c r="AYX70" s="248"/>
      <c r="AYY70" s="248"/>
      <c r="AYZ70" s="248"/>
      <c r="AZA70" s="248"/>
      <c r="AZB70" s="248"/>
      <c r="AZC70" s="248"/>
      <c r="AZD70" s="248"/>
      <c r="AZE70" s="248"/>
      <c r="AZF70" s="248"/>
      <c r="AZG70" s="248"/>
      <c r="AZH70" s="248"/>
      <c r="AZI70" s="248"/>
      <c r="AZJ70" s="248"/>
      <c r="AZK70" s="248"/>
      <c r="AZL70" s="248"/>
      <c r="AZM70" s="248"/>
      <c r="AZN70" s="248"/>
      <c r="AZO70" s="248"/>
      <c r="AZP70" s="248"/>
      <c r="AZQ70" s="248"/>
      <c r="AZR70" s="248"/>
      <c r="AZS70" s="248"/>
      <c r="AZT70" s="248"/>
      <c r="AZU70" s="248"/>
      <c r="AZV70" s="248"/>
      <c r="AZW70" s="248"/>
      <c r="AZX70" s="248"/>
      <c r="AZY70" s="248"/>
      <c r="AZZ70" s="248"/>
      <c r="BAA70" s="248"/>
      <c r="BAB70" s="248"/>
      <c r="BAC70" s="248"/>
      <c r="BAD70" s="248"/>
      <c r="BAE70" s="248"/>
      <c r="BAF70" s="248"/>
      <c r="BAG70" s="248"/>
      <c r="BAH70" s="248"/>
      <c r="BAI70" s="248"/>
      <c r="BAJ70" s="248"/>
      <c r="BAK70" s="248"/>
      <c r="BAL70" s="248"/>
      <c r="BAM70" s="248"/>
      <c r="BAN70" s="248"/>
      <c r="BAO70" s="248"/>
      <c r="BAP70" s="248"/>
      <c r="BAQ70" s="248"/>
      <c r="BAR70" s="248"/>
      <c r="BAS70" s="248"/>
      <c r="BAT70" s="248"/>
      <c r="BAU70" s="248"/>
      <c r="BAV70" s="248"/>
      <c r="BAW70" s="248"/>
      <c r="BAX70" s="248"/>
      <c r="BAY70" s="248"/>
      <c r="BAZ70" s="248"/>
      <c r="BBA70" s="248"/>
      <c r="BBB70" s="248"/>
      <c r="BBC70" s="248"/>
      <c r="BBD70" s="248"/>
      <c r="BBE70" s="248"/>
      <c r="BBF70" s="248"/>
      <c r="BBG70" s="248"/>
      <c r="BBH70" s="248"/>
      <c r="BBI70" s="248"/>
      <c r="BBJ70" s="248"/>
      <c r="BBK70" s="248"/>
      <c r="BBL70" s="248"/>
      <c r="BBM70" s="248"/>
      <c r="BBN70" s="248"/>
      <c r="BBO70" s="248"/>
      <c r="BBP70" s="248"/>
      <c r="BBQ70" s="248"/>
      <c r="BBR70" s="248"/>
      <c r="BBS70" s="248"/>
      <c r="BBT70" s="248"/>
      <c r="BBU70" s="248"/>
      <c r="BBV70" s="248"/>
      <c r="BBW70" s="248"/>
      <c r="BBX70" s="248"/>
      <c r="BBY70" s="248"/>
      <c r="BBZ70" s="248"/>
      <c r="BCA70" s="248"/>
      <c r="BCB70" s="248"/>
      <c r="BCC70" s="248"/>
      <c r="BCD70" s="248"/>
      <c r="BCE70" s="248"/>
      <c r="BCF70" s="248"/>
      <c r="BCG70" s="248"/>
      <c r="BCH70" s="248"/>
      <c r="BCI70" s="248"/>
      <c r="BCJ70" s="248"/>
      <c r="BCK70" s="248"/>
      <c r="BCL70" s="248"/>
      <c r="BCM70" s="248"/>
      <c r="BCN70" s="248"/>
      <c r="BCO70" s="248"/>
      <c r="BCP70" s="248"/>
      <c r="BCQ70" s="248"/>
      <c r="BCR70" s="248"/>
      <c r="BCS70" s="248"/>
      <c r="BCT70" s="248"/>
      <c r="BCU70" s="248"/>
      <c r="BCV70" s="248"/>
      <c r="BCW70" s="248"/>
      <c r="BCX70" s="248"/>
      <c r="BCY70" s="248"/>
      <c r="BCZ70" s="248"/>
      <c r="BDA70" s="248"/>
      <c r="BDB70" s="248"/>
      <c r="BDC70" s="248"/>
      <c r="BDD70" s="248"/>
      <c r="BDE70" s="248"/>
      <c r="BDF70" s="248"/>
      <c r="BDG70" s="248"/>
      <c r="BDH70" s="248"/>
      <c r="BDI70" s="248"/>
      <c r="BDJ70" s="248"/>
      <c r="BDK70" s="248"/>
      <c r="BDL70" s="248"/>
      <c r="BDM70" s="248"/>
      <c r="BDN70" s="248"/>
      <c r="BDO70" s="248"/>
      <c r="BDP70" s="248"/>
      <c r="BDQ70" s="248"/>
      <c r="BDR70" s="248"/>
      <c r="BDS70" s="248"/>
      <c r="BDT70" s="248"/>
      <c r="BDU70" s="248"/>
      <c r="BDV70" s="248"/>
      <c r="BDW70" s="248"/>
      <c r="BDX70" s="248"/>
      <c r="BDY70" s="248"/>
      <c r="BDZ70" s="248"/>
      <c r="BEA70" s="248"/>
      <c r="BEB70" s="248"/>
      <c r="BEC70" s="248"/>
      <c r="BED70" s="248"/>
      <c r="BEE70" s="248"/>
      <c r="BEF70" s="248"/>
      <c r="BEG70" s="248"/>
      <c r="BEH70" s="248"/>
      <c r="BEI70" s="248"/>
      <c r="BEJ70" s="248"/>
      <c r="BEK70" s="248"/>
      <c r="BEL70" s="248"/>
      <c r="BEM70" s="248"/>
      <c r="BEN70" s="248"/>
      <c r="BEO70" s="248"/>
      <c r="BEP70" s="248"/>
      <c r="BEQ70" s="248"/>
      <c r="BER70" s="248"/>
      <c r="BES70" s="248"/>
      <c r="BET70" s="248"/>
      <c r="BEU70" s="248"/>
      <c r="BEV70" s="248"/>
      <c r="BEW70" s="248"/>
      <c r="BEX70" s="248"/>
      <c r="BEY70" s="248"/>
      <c r="BEZ70" s="248"/>
      <c r="BFA70" s="248"/>
      <c r="BFB70" s="248"/>
      <c r="BFC70" s="248"/>
      <c r="BFD70" s="248"/>
      <c r="BFE70" s="248"/>
      <c r="BFF70" s="248"/>
      <c r="BFG70" s="248"/>
      <c r="BFH70" s="248"/>
      <c r="BFI70" s="248"/>
      <c r="BFJ70" s="248"/>
      <c r="BFK70" s="248"/>
      <c r="BFL70" s="248"/>
      <c r="BFM70" s="248"/>
      <c r="BFN70" s="248"/>
      <c r="BFO70" s="248"/>
      <c r="BFP70" s="248"/>
      <c r="BFQ70" s="248"/>
      <c r="BFR70" s="248"/>
      <c r="BFS70" s="248"/>
      <c r="BFT70" s="248"/>
      <c r="BFU70" s="248"/>
      <c r="BFV70" s="248"/>
      <c r="BFW70" s="248"/>
      <c r="BFX70" s="248"/>
      <c r="BFY70" s="248"/>
      <c r="BFZ70" s="248"/>
      <c r="BGA70" s="248"/>
      <c r="BGB70" s="248"/>
      <c r="BGC70" s="248"/>
      <c r="BGD70" s="248"/>
      <c r="BGE70" s="248"/>
      <c r="BGF70" s="248"/>
      <c r="BGG70" s="248"/>
      <c r="BGH70" s="248"/>
      <c r="BGI70" s="248"/>
      <c r="BGJ70" s="248"/>
      <c r="BGK70" s="248"/>
      <c r="BGL70" s="248"/>
      <c r="BGM70" s="248"/>
      <c r="BGN70" s="248"/>
      <c r="BGO70" s="248"/>
      <c r="BGP70" s="248"/>
      <c r="BGQ70" s="248"/>
      <c r="BGR70" s="248"/>
      <c r="BGS70" s="248"/>
      <c r="BGT70" s="248"/>
      <c r="BGU70" s="248"/>
      <c r="BGV70" s="248"/>
      <c r="BGW70" s="248"/>
      <c r="BGX70" s="248"/>
      <c r="BGY70" s="248"/>
      <c r="BGZ70" s="248"/>
      <c r="BHA70" s="248"/>
      <c r="BHB70" s="248"/>
      <c r="BHC70" s="248"/>
      <c r="BHD70" s="248"/>
      <c r="BHE70" s="248"/>
      <c r="BHF70" s="248"/>
      <c r="BHG70" s="248"/>
      <c r="BHH70" s="248"/>
      <c r="BHI70" s="248"/>
      <c r="BHJ70" s="248"/>
      <c r="BHK70" s="248"/>
      <c r="BHL70" s="248"/>
      <c r="BHM70" s="248"/>
      <c r="BHN70" s="248"/>
      <c r="BHO70" s="248"/>
      <c r="BHP70" s="248"/>
      <c r="BHQ70" s="248"/>
      <c r="BHR70" s="248"/>
      <c r="BHS70" s="248"/>
      <c r="BHT70" s="248"/>
      <c r="BHU70" s="248"/>
      <c r="BHV70" s="248"/>
      <c r="BHW70" s="248"/>
      <c r="BHX70" s="248"/>
      <c r="BHY70" s="248"/>
      <c r="BHZ70" s="248"/>
      <c r="BIA70" s="248"/>
      <c r="BIB70" s="248"/>
      <c r="BIC70" s="248"/>
      <c r="BID70" s="248"/>
      <c r="BIE70" s="248"/>
      <c r="BIF70" s="248"/>
      <c r="BIG70" s="248"/>
      <c r="BIH70" s="248"/>
      <c r="BII70" s="248"/>
      <c r="BIJ70" s="248"/>
      <c r="BIK70" s="248"/>
      <c r="BIL70" s="248"/>
      <c r="BIM70" s="248"/>
      <c r="BIN70" s="248"/>
      <c r="BIO70" s="248"/>
      <c r="BIP70" s="248"/>
      <c r="BIQ70" s="248"/>
      <c r="BIR70" s="248"/>
      <c r="BIS70" s="248"/>
      <c r="BIT70" s="248"/>
      <c r="BIU70" s="248"/>
      <c r="BIV70" s="248"/>
      <c r="BIW70" s="248"/>
      <c r="BIX70" s="248"/>
      <c r="BIY70" s="248"/>
      <c r="BIZ70" s="248"/>
      <c r="BJA70" s="248"/>
      <c r="BJB70" s="248"/>
      <c r="BJC70" s="248"/>
      <c r="BJD70" s="248"/>
      <c r="BJE70" s="248"/>
      <c r="BJF70" s="248"/>
      <c r="BJG70" s="248"/>
      <c r="BJH70" s="248"/>
      <c r="BJI70" s="248"/>
      <c r="BJJ70" s="248"/>
      <c r="BJK70" s="248"/>
      <c r="BJL70" s="248"/>
      <c r="BJM70" s="248"/>
      <c r="BJN70" s="248"/>
      <c r="BJO70" s="248"/>
      <c r="BJP70" s="248"/>
      <c r="BJQ70" s="248"/>
      <c r="BJR70" s="248"/>
      <c r="BJS70" s="248"/>
      <c r="BJT70" s="248"/>
      <c r="BJU70" s="248"/>
      <c r="BJV70" s="248"/>
      <c r="BJW70" s="248"/>
      <c r="BJX70" s="248"/>
      <c r="BJY70" s="248"/>
      <c r="BJZ70" s="248"/>
      <c r="BKA70" s="248"/>
      <c r="BKB70" s="248"/>
      <c r="BKC70" s="248"/>
      <c r="BKD70" s="248"/>
      <c r="BKE70" s="248"/>
      <c r="BKF70" s="248"/>
      <c r="BKG70" s="248"/>
      <c r="BKH70" s="248"/>
      <c r="BKI70" s="248"/>
      <c r="BKJ70" s="248"/>
      <c r="BKK70" s="248"/>
      <c r="BKL70" s="248"/>
      <c r="BKM70" s="248"/>
      <c r="BKN70" s="248"/>
      <c r="BKO70" s="248"/>
      <c r="BKP70" s="248"/>
      <c r="BKQ70" s="248"/>
      <c r="BKR70" s="248"/>
      <c r="BKS70" s="248"/>
      <c r="BKT70" s="248"/>
      <c r="BKU70" s="248"/>
      <c r="BKV70" s="248"/>
    </row>
    <row r="71" spans="1:1660" ht="20.100000000000001" customHeight="1" x14ac:dyDescent="0.25">
      <c r="A71" s="78" t="s">
        <v>26</v>
      </c>
      <c r="B71" s="51"/>
      <c r="C71" s="209"/>
      <c r="D71" s="119" t="str">
        <f t="shared" si="0"/>
        <v>2h 50 min</v>
      </c>
      <c r="E71" s="34">
        <v>34</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73"/>
      <c r="AYA71" s="248"/>
      <c r="AYB71" s="248"/>
      <c r="AYC71" s="248"/>
      <c r="AYD71" s="248"/>
      <c r="AYE71" s="248"/>
      <c r="AYF71" s="248"/>
      <c r="AYG71" s="248"/>
      <c r="AYH71" s="248"/>
      <c r="AYI71" s="248"/>
      <c r="AYJ71" s="248"/>
      <c r="AYK71" s="248"/>
      <c r="AYL71" s="248"/>
      <c r="AYM71" s="248"/>
      <c r="AYN71" s="248"/>
      <c r="AYO71" s="248"/>
      <c r="AYP71" s="248"/>
      <c r="AYQ71" s="248"/>
      <c r="AYR71" s="248"/>
      <c r="AYS71" s="248"/>
      <c r="AYT71" s="248"/>
      <c r="AYU71" s="248"/>
      <c r="AYV71" s="248"/>
      <c r="AYW71" s="248"/>
      <c r="AYX71" s="248"/>
      <c r="AYY71" s="248"/>
      <c r="AYZ71" s="248"/>
      <c r="AZA71" s="248"/>
      <c r="AZB71" s="248"/>
      <c r="AZC71" s="248"/>
      <c r="AZD71" s="248"/>
      <c r="AZE71" s="248"/>
      <c r="AZF71" s="248"/>
      <c r="AZG71" s="248"/>
      <c r="AZH71" s="248"/>
      <c r="AZI71" s="248"/>
      <c r="AZJ71" s="248"/>
      <c r="AZK71" s="248"/>
      <c r="AZL71" s="248"/>
      <c r="AZM71" s="248"/>
      <c r="AZN71" s="248"/>
      <c r="AZO71" s="248"/>
      <c r="AZP71" s="248"/>
      <c r="AZQ71" s="248"/>
      <c r="AZR71" s="248"/>
      <c r="AZS71" s="248"/>
      <c r="AZT71" s="248"/>
      <c r="AZU71" s="248"/>
      <c r="AZV71" s="248"/>
      <c r="AZW71" s="248"/>
      <c r="AZX71" s="248"/>
      <c r="AZY71" s="248"/>
      <c r="AZZ71" s="248"/>
      <c r="BAA71" s="248"/>
      <c r="BAB71" s="248"/>
      <c r="BAC71" s="248"/>
      <c r="BAD71" s="248"/>
      <c r="BAE71" s="248"/>
      <c r="BAF71" s="248"/>
      <c r="BAG71" s="248"/>
      <c r="BAH71" s="248"/>
      <c r="BAI71" s="248"/>
      <c r="BAJ71" s="248"/>
      <c r="BAK71" s="248"/>
      <c r="BAL71" s="248"/>
      <c r="BAM71" s="248"/>
      <c r="BAN71" s="248"/>
      <c r="BAO71" s="248"/>
      <c r="BAP71" s="248"/>
      <c r="BAQ71" s="248"/>
      <c r="BAR71" s="248"/>
      <c r="BAS71" s="248"/>
      <c r="BAT71" s="248"/>
      <c r="BAU71" s="248"/>
      <c r="BAV71" s="248"/>
      <c r="BAW71" s="248"/>
      <c r="BAX71" s="248"/>
      <c r="BAY71" s="248"/>
      <c r="BAZ71" s="248"/>
      <c r="BBA71" s="248"/>
      <c r="BBB71" s="248"/>
      <c r="BBC71" s="248"/>
      <c r="BBD71" s="248"/>
      <c r="BBE71" s="248"/>
      <c r="BBF71" s="248"/>
      <c r="BBG71" s="248"/>
      <c r="BBH71" s="248"/>
      <c r="BBI71" s="248"/>
      <c r="BBJ71" s="248"/>
      <c r="BBK71" s="248"/>
      <c r="BBL71" s="248"/>
      <c r="BBM71" s="248"/>
      <c r="BBN71" s="248"/>
      <c r="BBO71" s="248"/>
      <c r="BBP71" s="248"/>
      <c r="BBQ71" s="248"/>
      <c r="BBR71" s="248"/>
      <c r="BBS71" s="248"/>
      <c r="BBT71" s="248"/>
      <c r="BBU71" s="248"/>
      <c r="BBV71" s="248"/>
      <c r="BBW71" s="248"/>
      <c r="BBX71" s="248"/>
      <c r="BBY71" s="248"/>
      <c r="BBZ71" s="248"/>
      <c r="BCA71" s="248"/>
      <c r="BCB71" s="248"/>
      <c r="BCC71" s="248"/>
      <c r="BCD71" s="248"/>
      <c r="BCE71" s="248"/>
      <c r="BCF71" s="248"/>
      <c r="BCG71" s="248"/>
      <c r="BCH71" s="248"/>
      <c r="BCI71" s="248"/>
      <c r="BCJ71" s="248"/>
      <c r="BCK71" s="248"/>
      <c r="BCL71" s="248"/>
      <c r="BCM71" s="248"/>
      <c r="BCN71" s="248"/>
      <c r="BCO71" s="248"/>
      <c r="BCP71" s="248"/>
      <c r="BCQ71" s="248"/>
      <c r="BCR71" s="248"/>
      <c r="BCS71" s="248"/>
      <c r="BCT71" s="248"/>
      <c r="BCU71" s="248"/>
      <c r="BCV71" s="248"/>
      <c r="BCW71" s="248"/>
      <c r="BCX71" s="248"/>
      <c r="BCY71" s="248"/>
      <c r="BCZ71" s="248"/>
      <c r="BDA71" s="248"/>
      <c r="BDB71" s="248"/>
      <c r="BDC71" s="248"/>
      <c r="BDD71" s="248"/>
      <c r="BDE71" s="248"/>
      <c r="BDF71" s="248"/>
      <c r="BDG71" s="248"/>
      <c r="BDH71" s="248"/>
      <c r="BDI71" s="248"/>
      <c r="BDJ71" s="248"/>
      <c r="BDK71" s="248"/>
      <c r="BDL71" s="248"/>
      <c r="BDM71" s="248"/>
      <c r="BDN71" s="248"/>
      <c r="BDO71" s="248"/>
      <c r="BDP71" s="248"/>
      <c r="BDQ71" s="248"/>
      <c r="BDR71" s="248"/>
      <c r="BDS71" s="248"/>
      <c r="BDT71" s="248"/>
      <c r="BDU71" s="248"/>
      <c r="BDV71" s="248"/>
      <c r="BDW71" s="248"/>
      <c r="BDX71" s="248"/>
      <c r="BDY71" s="248"/>
      <c r="BDZ71" s="248"/>
      <c r="BEA71" s="248"/>
      <c r="BEB71" s="248"/>
      <c r="BEC71" s="248"/>
      <c r="BED71" s="248"/>
      <c r="BEE71" s="248"/>
      <c r="BEF71" s="248"/>
      <c r="BEG71" s="248"/>
      <c r="BEH71" s="248"/>
      <c r="BEI71" s="248"/>
      <c r="BEJ71" s="248"/>
      <c r="BEK71" s="248"/>
      <c r="BEL71" s="248"/>
      <c r="BEM71" s="248"/>
      <c r="BEN71" s="248"/>
      <c r="BEO71" s="248"/>
      <c r="BEP71" s="248"/>
      <c r="BEQ71" s="248"/>
      <c r="BER71" s="248"/>
      <c r="BES71" s="248"/>
      <c r="BET71" s="248"/>
      <c r="BEU71" s="248"/>
      <c r="BEV71" s="248"/>
      <c r="BEW71" s="248"/>
      <c r="BEX71" s="248"/>
      <c r="BEY71" s="248"/>
      <c r="BEZ71" s="248"/>
      <c r="BFA71" s="248"/>
      <c r="BFB71" s="248"/>
      <c r="BFC71" s="248"/>
      <c r="BFD71" s="248"/>
      <c r="BFE71" s="248"/>
      <c r="BFF71" s="248"/>
      <c r="BFG71" s="248"/>
      <c r="BFH71" s="248"/>
      <c r="BFI71" s="248"/>
      <c r="BFJ71" s="248"/>
      <c r="BFK71" s="248"/>
      <c r="BFL71" s="248"/>
      <c r="BFM71" s="248"/>
      <c r="BFN71" s="248"/>
      <c r="BFO71" s="248"/>
      <c r="BFP71" s="248"/>
      <c r="BFQ71" s="248"/>
      <c r="BFR71" s="248"/>
      <c r="BFS71" s="248"/>
      <c r="BFT71" s="248"/>
      <c r="BFU71" s="248"/>
      <c r="BFV71" s="248"/>
      <c r="BFW71" s="248"/>
      <c r="BFX71" s="248"/>
      <c r="BFY71" s="248"/>
      <c r="BFZ71" s="248"/>
      <c r="BGA71" s="248"/>
      <c r="BGB71" s="248"/>
      <c r="BGC71" s="248"/>
      <c r="BGD71" s="248"/>
      <c r="BGE71" s="248"/>
      <c r="BGF71" s="248"/>
      <c r="BGG71" s="248"/>
      <c r="BGH71" s="248"/>
      <c r="BGI71" s="248"/>
      <c r="BGJ71" s="248"/>
      <c r="BGK71" s="248"/>
      <c r="BGL71" s="248"/>
      <c r="BGM71" s="248"/>
      <c r="BGN71" s="248"/>
      <c r="BGO71" s="248"/>
      <c r="BGP71" s="248"/>
      <c r="BGQ71" s="248"/>
      <c r="BGR71" s="248"/>
      <c r="BGS71" s="248"/>
      <c r="BGT71" s="248"/>
      <c r="BGU71" s="248"/>
      <c r="BGV71" s="248"/>
      <c r="BGW71" s="248"/>
      <c r="BGX71" s="248"/>
      <c r="BGY71" s="248"/>
      <c r="BGZ71" s="248"/>
      <c r="BHA71" s="248"/>
      <c r="BHB71" s="248"/>
      <c r="BHC71" s="248"/>
      <c r="BHD71" s="248"/>
      <c r="BHE71" s="248"/>
      <c r="BHF71" s="248"/>
      <c r="BHG71" s="248"/>
      <c r="BHH71" s="248"/>
      <c r="BHI71" s="248"/>
      <c r="BHJ71" s="248"/>
      <c r="BHK71" s="248"/>
      <c r="BHL71" s="248"/>
      <c r="BHM71" s="248"/>
      <c r="BHN71" s="248"/>
      <c r="BHO71" s="248"/>
      <c r="BHP71" s="248"/>
      <c r="BHQ71" s="248"/>
      <c r="BHR71" s="248"/>
      <c r="BHS71" s="248"/>
      <c r="BHT71" s="248"/>
      <c r="BHU71" s="248"/>
      <c r="BHV71" s="248"/>
      <c r="BHW71" s="248"/>
      <c r="BHX71" s="248"/>
      <c r="BHY71" s="248"/>
      <c r="BHZ71" s="248"/>
      <c r="BIA71" s="248"/>
      <c r="BIB71" s="248"/>
      <c r="BIC71" s="248"/>
      <c r="BID71" s="248"/>
      <c r="BIE71" s="248"/>
      <c r="BIF71" s="248"/>
      <c r="BIG71" s="248"/>
      <c r="BIH71" s="248"/>
      <c r="BII71" s="248"/>
      <c r="BIJ71" s="248"/>
      <c r="BIK71" s="248"/>
      <c r="BIL71" s="248"/>
      <c r="BIM71" s="248"/>
      <c r="BIN71" s="248"/>
      <c r="BIO71" s="248"/>
      <c r="BIP71" s="248"/>
      <c r="BIQ71" s="248"/>
      <c r="BIR71" s="248"/>
      <c r="BIS71" s="248"/>
      <c r="BIT71" s="248"/>
      <c r="BIU71" s="248"/>
      <c r="BIV71" s="248"/>
      <c r="BIW71" s="248"/>
      <c r="BIX71" s="248"/>
      <c r="BIY71" s="248"/>
      <c r="BIZ71" s="248"/>
      <c r="BJA71" s="248"/>
      <c r="BJB71" s="248"/>
      <c r="BJC71" s="248"/>
      <c r="BJD71" s="248"/>
      <c r="BJE71" s="248"/>
      <c r="BJF71" s="248"/>
      <c r="BJG71" s="248"/>
      <c r="BJH71" s="248"/>
      <c r="BJI71" s="248"/>
      <c r="BJJ71" s="248"/>
      <c r="BJK71" s="248"/>
      <c r="BJL71" s="248"/>
      <c r="BJM71" s="248"/>
      <c r="BJN71" s="248"/>
    </row>
    <row r="72" spans="1:1660" ht="20.100000000000001" customHeight="1" x14ac:dyDescent="0.25">
      <c r="A72" s="78" t="s">
        <v>28</v>
      </c>
      <c r="B72" s="51"/>
      <c r="C72" s="216"/>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73"/>
      <c r="AYA72" s="248"/>
      <c r="AYB72" s="248"/>
      <c r="AYC72" s="248"/>
      <c r="AYD72" s="248"/>
      <c r="AYE72" s="248"/>
      <c r="AYF72" s="248"/>
      <c r="AYG72" s="248"/>
      <c r="AYH72" s="248"/>
      <c r="AYI72" s="248"/>
      <c r="AYJ72" s="248"/>
      <c r="AYK72" s="248"/>
      <c r="AYL72" s="248"/>
      <c r="AYM72" s="248"/>
      <c r="AYN72" s="248"/>
      <c r="AYO72" s="248"/>
      <c r="AYP72" s="248"/>
      <c r="AYQ72" s="248"/>
      <c r="AYR72" s="248"/>
      <c r="AYS72" s="248"/>
      <c r="AYT72" s="248"/>
      <c r="AYU72" s="248"/>
      <c r="AYV72" s="248"/>
      <c r="AYW72" s="248"/>
      <c r="AYX72" s="248"/>
      <c r="AYY72" s="248"/>
      <c r="AYZ72" s="248"/>
      <c r="AZA72" s="248"/>
      <c r="AZB72" s="248"/>
      <c r="AZC72" s="248"/>
      <c r="AZD72" s="248"/>
      <c r="AZE72" s="248"/>
      <c r="AZF72" s="248"/>
      <c r="AZG72" s="248"/>
      <c r="AZH72" s="248"/>
      <c r="AZI72" s="248"/>
      <c r="AZJ72" s="248"/>
      <c r="AZK72" s="248"/>
      <c r="AZL72" s="248"/>
      <c r="AZM72" s="248"/>
      <c r="AZN72" s="248"/>
      <c r="AZO72" s="248"/>
      <c r="AZP72" s="248"/>
      <c r="AZQ72" s="248"/>
      <c r="AZR72" s="248"/>
      <c r="AZS72" s="248"/>
      <c r="AZT72" s="248"/>
      <c r="AZU72" s="248"/>
      <c r="AZV72" s="248"/>
      <c r="AZW72" s="248"/>
      <c r="AZX72" s="248"/>
      <c r="AZY72" s="248"/>
      <c r="AZZ72" s="248"/>
      <c r="BAA72" s="248"/>
      <c r="BAB72" s="248"/>
      <c r="BAC72" s="248"/>
      <c r="BAD72" s="248"/>
      <c r="BAE72" s="248"/>
      <c r="BAF72" s="248"/>
      <c r="BAG72" s="248"/>
      <c r="BAH72" s="248"/>
      <c r="BAI72" s="248"/>
      <c r="BAJ72" s="248"/>
      <c r="BAK72" s="248"/>
      <c r="BAL72" s="248"/>
      <c r="BAM72" s="248"/>
      <c r="BAN72" s="248"/>
      <c r="BAO72" s="248"/>
      <c r="BAP72" s="248"/>
      <c r="BAQ72" s="248"/>
      <c r="BAR72" s="248"/>
      <c r="BAS72" s="248"/>
      <c r="BAT72" s="248"/>
      <c r="BAU72" s="248"/>
      <c r="BAV72" s="248"/>
      <c r="BAW72" s="248"/>
      <c r="BAX72" s="248"/>
      <c r="BAY72" s="248"/>
      <c r="BAZ72" s="248"/>
      <c r="BBA72" s="248"/>
      <c r="BBB72" s="248"/>
      <c r="BBC72" s="248"/>
      <c r="BBD72" s="248"/>
      <c r="BBE72" s="248"/>
      <c r="BBF72" s="248"/>
      <c r="BBG72" s="248"/>
      <c r="BBH72" s="248"/>
      <c r="BBI72" s="248"/>
      <c r="BBJ72" s="248"/>
      <c r="BBK72" s="248"/>
      <c r="BBL72" s="248"/>
      <c r="BBM72" s="248"/>
      <c r="BBN72" s="248"/>
      <c r="BBO72" s="248"/>
      <c r="BBP72" s="248"/>
      <c r="BBQ72" s="248"/>
      <c r="BBR72" s="248"/>
      <c r="BBS72" s="248"/>
      <c r="BBT72" s="248"/>
      <c r="BBU72" s="248"/>
      <c r="BBV72" s="248"/>
      <c r="BBW72" s="248"/>
      <c r="BBX72" s="248"/>
      <c r="BBY72" s="248"/>
      <c r="BBZ72" s="248"/>
      <c r="BCA72" s="248"/>
      <c r="BCB72" s="248"/>
      <c r="BCC72" s="248"/>
      <c r="BCD72" s="248"/>
      <c r="BCE72" s="248"/>
      <c r="BCF72" s="248"/>
      <c r="BCG72" s="248"/>
      <c r="BCH72" s="248"/>
      <c r="BCI72" s="248"/>
      <c r="BCJ72" s="248"/>
      <c r="BCK72" s="248"/>
      <c r="BCL72" s="248"/>
      <c r="BCM72" s="248"/>
      <c r="BCN72" s="248"/>
      <c r="BCO72" s="248"/>
      <c r="BCP72" s="248"/>
      <c r="BCQ72" s="248"/>
      <c r="BCR72" s="248"/>
      <c r="BCS72" s="248"/>
      <c r="BCT72" s="248"/>
      <c r="BCU72" s="248"/>
      <c r="BCV72" s="248"/>
      <c r="BCW72" s="248"/>
      <c r="BCX72" s="248"/>
      <c r="BCY72" s="248"/>
      <c r="BCZ72" s="248"/>
      <c r="BDA72" s="248"/>
      <c r="BDB72" s="248"/>
      <c r="BDC72" s="248"/>
      <c r="BDD72" s="248"/>
      <c r="BDE72" s="248"/>
      <c r="BDF72" s="248"/>
      <c r="BDG72" s="248"/>
      <c r="BDH72" s="248"/>
      <c r="BDI72" s="248"/>
      <c r="BDJ72" s="248"/>
      <c r="BDK72" s="248"/>
      <c r="BDL72" s="248"/>
      <c r="BDM72" s="248"/>
      <c r="BDN72" s="248"/>
      <c r="BDO72" s="248"/>
      <c r="BDP72" s="248"/>
      <c r="BDQ72" s="248"/>
      <c r="BDR72" s="248"/>
      <c r="BDS72" s="248"/>
      <c r="BDT72" s="248"/>
      <c r="BDU72" s="248"/>
      <c r="BDV72" s="248"/>
      <c r="BDW72" s="248"/>
      <c r="BDX72" s="248"/>
      <c r="BDY72" s="248"/>
      <c r="BDZ72" s="248"/>
      <c r="BEA72" s="248"/>
      <c r="BEB72" s="248"/>
      <c r="BEC72" s="248"/>
      <c r="BED72" s="248"/>
      <c r="BEE72" s="248"/>
      <c r="BEF72" s="248"/>
      <c r="BEG72" s="248"/>
      <c r="BEH72" s="248"/>
      <c r="BEI72" s="248"/>
      <c r="BEJ72" s="248"/>
      <c r="BEK72" s="248"/>
      <c r="BEL72" s="248"/>
      <c r="BEM72" s="248"/>
      <c r="BEN72" s="248"/>
      <c r="BEO72" s="248"/>
      <c r="BEP72" s="248"/>
      <c r="BEQ72" s="248"/>
      <c r="BER72" s="248"/>
      <c r="BES72" s="248"/>
      <c r="BET72" s="248"/>
      <c r="BEU72" s="248"/>
      <c r="BEV72" s="248"/>
      <c r="BEW72" s="248"/>
      <c r="BEX72" s="248"/>
      <c r="BEY72" s="248"/>
      <c r="BEZ72" s="248"/>
      <c r="BFA72" s="248"/>
      <c r="BFB72" s="248"/>
      <c r="BFC72" s="248"/>
      <c r="BFD72" s="248"/>
      <c r="BFE72" s="248"/>
      <c r="BFF72" s="248"/>
      <c r="BFG72" s="248"/>
      <c r="BFH72" s="248"/>
      <c r="BFI72" s="248"/>
      <c r="BFJ72" s="248"/>
      <c r="BFK72" s="248"/>
      <c r="BFL72" s="248"/>
      <c r="BFM72" s="248"/>
      <c r="BFN72" s="248"/>
      <c r="BFO72" s="248"/>
      <c r="BFP72" s="248"/>
      <c r="BFQ72" s="248"/>
      <c r="BFR72" s="248"/>
      <c r="BFS72" s="248"/>
      <c r="BFT72" s="248"/>
      <c r="BFU72" s="248"/>
      <c r="BFV72" s="248"/>
      <c r="BFW72" s="248"/>
      <c r="BFX72" s="248"/>
      <c r="BFY72" s="248"/>
      <c r="BFZ72" s="248"/>
      <c r="BGA72" s="248"/>
      <c r="BGB72" s="248"/>
      <c r="BGC72" s="248"/>
      <c r="BGD72" s="248"/>
      <c r="BGE72" s="248"/>
      <c r="BGF72" s="248"/>
      <c r="BGG72" s="248"/>
      <c r="BGH72" s="248"/>
      <c r="BGI72" s="248"/>
      <c r="BGJ72" s="248"/>
      <c r="BGK72" s="248"/>
      <c r="BGL72" s="248"/>
      <c r="BGM72" s="248"/>
      <c r="BGN72" s="248"/>
      <c r="BGO72" s="248"/>
      <c r="BGP72" s="248"/>
      <c r="BGQ72" s="248"/>
      <c r="BGR72" s="248"/>
      <c r="BGS72" s="248"/>
      <c r="BGT72" s="248"/>
      <c r="BGU72" s="248"/>
      <c r="BGV72" s="248"/>
      <c r="BGW72" s="248"/>
      <c r="BGX72" s="248"/>
      <c r="BGY72" s="248"/>
      <c r="BGZ72" s="248"/>
      <c r="BHA72" s="248"/>
      <c r="BHB72" s="248"/>
      <c r="BHC72" s="248"/>
      <c r="BHD72" s="248"/>
      <c r="BHE72" s="248"/>
      <c r="BHF72" s="248"/>
      <c r="BHG72" s="248"/>
      <c r="BHH72" s="248"/>
      <c r="BHI72" s="248"/>
      <c r="BHJ72" s="248"/>
      <c r="BHK72" s="248"/>
      <c r="BHL72" s="248"/>
      <c r="BHM72" s="248"/>
      <c r="BHN72" s="248"/>
      <c r="BHO72" s="248"/>
      <c r="BHP72" s="248"/>
      <c r="BHQ72" s="248"/>
      <c r="BHR72" s="248"/>
      <c r="BHS72" s="248"/>
      <c r="BHT72" s="248"/>
      <c r="BHU72" s="248"/>
      <c r="BHV72" s="248"/>
      <c r="BHW72" s="248"/>
      <c r="BHX72" s="248"/>
      <c r="BHY72" s="248"/>
      <c r="BHZ72" s="248"/>
      <c r="BIA72" s="248"/>
      <c r="BIB72" s="248"/>
      <c r="BIC72" s="248"/>
      <c r="BID72" s="248"/>
      <c r="BIE72" s="248"/>
      <c r="BIF72" s="248"/>
      <c r="BIG72" s="248"/>
      <c r="BIH72" s="248"/>
      <c r="BII72" s="248"/>
      <c r="BIJ72" s="248"/>
      <c r="BIK72" s="248"/>
      <c r="BIL72" s="248"/>
      <c r="BIM72" s="248"/>
      <c r="BIN72" s="248"/>
      <c r="BIO72" s="248"/>
      <c r="BIP72" s="248"/>
      <c r="BIQ72" s="248"/>
      <c r="BIR72" s="248"/>
      <c r="BIS72" s="248"/>
      <c r="BIT72" s="248"/>
      <c r="BIU72" s="248"/>
      <c r="BIV72" s="248"/>
      <c r="BIW72" s="248"/>
      <c r="BIX72" s="248"/>
      <c r="BIY72" s="248"/>
      <c r="BIZ72" s="248"/>
      <c r="BJA72" s="248"/>
      <c r="BJB72" s="248"/>
      <c r="BJC72" s="248"/>
      <c r="BJD72" s="248"/>
      <c r="BJE72" s="248"/>
      <c r="BJF72" s="248"/>
      <c r="BJG72" s="248"/>
      <c r="BJH72" s="248"/>
      <c r="BJI72" s="248"/>
      <c r="BJJ72" s="248"/>
      <c r="BJK72" s="248"/>
      <c r="BJL72" s="248"/>
      <c r="BJM72" s="248"/>
      <c r="BJN72" s="248"/>
      <c r="BJO72" s="248"/>
      <c r="BJP72" s="248"/>
      <c r="BJQ72" s="248"/>
      <c r="BJR72" s="248"/>
      <c r="BJS72" s="248"/>
      <c r="BJT72" s="248"/>
      <c r="BJU72" s="248"/>
      <c r="BJV72" s="248"/>
      <c r="BJW72" s="248"/>
      <c r="BJX72" s="248"/>
      <c r="BJY72" s="248"/>
      <c r="BJZ72" s="248"/>
      <c r="BKA72" s="248"/>
      <c r="BKB72" s="248"/>
      <c r="BKC72" s="248"/>
      <c r="BKD72" s="248"/>
      <c r="BKE72" s="248"/>
      <c r="BKF72" s="248"/>
      <c r="BKG72" s="248"/>
      <c r="BKH72" s="248"/>
      <c r="BKI72" s="248"/>
      <c r="BKJ72" s="248"/>
      <c r="BKK72" s="248"/>
      <c r="BKL72" s="248"/>
      <c r="BKM72" s="248"/>
      <c r="BKN72" s="248"/>
      <c r="BKO72" s="248"/>
      <c r="BKP72" s="248"/>
      <c r="BKQ72" s="248"/>
      <c r="BKR72" s="248"/>
      <c r="BKS72" s="248"/>
      <c r="BKT72" s="248"/>
      <c r="BKU72" s="248"/>
      <c r="BKV72" s="248"/>
    </row>
    <row r="73" spans="1:1660" ht="20.100000000000001" customHeight="1" x14ac:dyDescent="0.25">
      <c r="A73" s="78" t="s">
        <v>26</v>
      </c>
      <c r="B73" s="51"/>
      <c r="C73" s="209"/>
      <c r="D73" s="119" t="str">
        <f t="shared" si="0"/>
        <v>2h 50 min</v>
      </c>
      <c r="E73" s="26">
        <v>34</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73"/>
      <c r="AYA73" s="248"/>
      <c r="AYB73" s="248"/>
      <c r="AYC73" s="248"/>
      <c r="AYD73" s="248"/>
      <c r="AYE73" s="248"/>
      <c r="AYF73" s="248"/>
      <c r="AYG73" s="248"/>
      <c r="AYH73" s="248"/>
      <c r="AYI73" s="248"/>
      <c r="AYJ73" s="248"/>
      <c r="AYK73" s="248"/>
      <c r="AYL73" s="248"/>
      <c r="AYM73" s="248"/>
      <c r="AYN73" s="248"/>
      <c r="AYO73" s="248"/>
      <c r="AYP73" s="248"/>
      <c r="AYQ73" s="248"/>
      <c r="AYR73" s="248"/>
      <c r="AYS73" s="248"/>
      <c r="AYT73" s="248"/>
      <c r="AYU73" s="248"/>
      <c r="AYV73" s="248"/>
      <c r="AYW73" s="248"/>
      <c r="AYX73" s="248"/>
      <c r="AYY73" s="248"/>
      <c r="AYZ73" s="248"/>
      <c r="AZA73" s="248"/>
      <c r="AZB73" s="248"/>
      <c r="AZC73" s="248"/>
      <c r="AZD73" s="248"/>
      <c r="AZE73" s="248"/>
      <c r="AZF73" s="248"/>
      <c r="AZG73" s="248"/>
      <c r="AZH73" s="248"/>
      <c r="AZI73" s="248"/>
      <c r="AZJ73" s="248"/>
      <c r="AZK73" s="248"/>
      <c r="AZL73" s="248"/>
      <c r="AZM73" s="248"/>
      <c r="AZN73" s="248"/>
      <c r="AZO73" s="248"/>
      <c r="AZP73" s="248"/>
      <c r="AZQ73" s="248"/>
      <c r="AZR73" s="248"/>
      <c r="AZS73" s="248"/>
      <c r="AZT73" s="248"/>
      <c r="AZU73" s="248"/>
      <c r="AZV73" s="248"/>
      <c r="AZW73" s="248"/>
      <c r="AZX73" s="248"/>
      <c r="AZY73" s="248"/>
      <c r="AZZ73" s="248"/>
      <c r="BAA73" s="248"/>
      <c r="BAB73" s="248"/>
      <c r="BAC73" s="248"/>
      <c r="BAD73" s="248"/>
      <c r="BAE73" s="248"/>
      <c r="BAF73" s="248"/>
      <c r="BAG73" s="248"/>
      <c r="BAH73" s="248"/>
      <c r="BAI73" s="248"/>
      <c r="BAJ73" s="248"/>
      <c r="BAK73" s="248"/>
      <c r="BAL73" s="248"/>
      <c r="BAM73" s="248"/>
      <c r="BAN73" s="248"/>
      <c r="BAO73" s="248"/>
      <c r="BAP73" s="248"/>
      <c r="BAQ73" s="248"/>
      <c r="BAR73" s="248"/>
      <c r="BAS73" s="248"/>
      <c r="BAT73" s="248"/>
      <c r="BAU73" s="248"/>
      <c r="BAV73" s="248"/>
      <c r="BAW73" s="248"/>
      <c r="BAX73" s="248"/>
      <c r="BAY73" s="248"/>
      <c r="BAZ73" s="248"/>
      <c r="BBA73" s="248"/>
      <c r="BBB73" s="248"/>
      <c r="BBC73" s="248"/>
      <c r="BBD73" s="248"/>
      <c r="BBE73" s="248"/>
      <c r="BBF73" s="248"/>
      <c r="BBG73" s="248"/>
      <c r="BBH73" s="248"/>
      <c r="BBI73" s="248"/>
      <c r="BBJ73" s="248"/>
      <c r="BBK73" s="248"/>
      <c r="BBL73" s="248"/>
      <c r="BBM73" s="248"/>
      <c r="BBN73" s="248"/>
      <c r="BBO73" s="248"/>
      <c r="BBP73" s="248"/>
      <c r="BBQ73" s="248"/>
      <c r="BBR73" s="248"/>
      <c r="BBS73" s="248"/>
      <c r="BBT73" s="248"/>
      <c r="BBU73" s="248"/>
      <c r="BBV73" s="248"/>
      <c r="BBW73" s="248"/>
      <c r="BBX73" s="248"/>
      <c r="BBY73" s="248"/>
      <c r="BBZ73" s="248"/>
      <c r="BCA73" s="248"/>
      <c r="BCB73" s="248"/>
      <c r="BCC73" s="248"/>
      <c r="BCD73" s="248"/>
      <c r="BCE73" s="248"/>
      <c r="BCF73" s="248"/>
      <c r="BCG73" s="248"/>
      <c r="BCH73" s="248"/>
      <c r="BCI73" s="248"/>
      <c r="BCJ73" s="248"/>
      <c r="BCK73" s="248"/>
      <c r="BCL73" s="248"/>
      <c r="BCM73" s="248"/>
      <c r="BCN73" s="248"/>
      <c r="BCO73" s="248"/>
      <c r="BCP73" s="248"/>
      <c r="BCQ73" s="248"/>
      <c r="BCR73" s="248"/>
      <c r="BCS73" s="248"/>
      <c r="BCT73" s="248"/>
      <c r="BCU73" s="248"/>
      <c r="BCV73" s="248"/>
      <c r="BCW73" s="248"/>
      <c r="BCX73" s="248"/>
      <c r="BCY73" s="248"/>
      <c r="BCZ73" s="248"/>
      <c r="BDA73" s="248"/>
      <c r="BDB73" s="248"/>
      <c r="BDC73" s="248"/>
      <c r="BDD73" s="248"/>
      <c r="BDE73" s="248"/>
      <c r="BDF73" s="248"/>
      <c r="BDG73" s="248"/>
      <c r="BDH73" s="248"/>
      <c r="BDI73" s="248"/>
      <c r="BDJ73" s="248"/>
      <c r="BDK73" s="248"/>
      <c r="BDL73" s="248"/>
      <c r="BDM73" s="248"/>
      <c r="BDN73" s="248"/>
      <c r="BDO73" s="248"/>
      <c r="BDP73" s="248"/>
      <c r="BDQ73" s="248"/>
      <c r="BDR73" s="248"/>
      <c r="BDS73" s="248"/>
      <c r="BDT73" s="248"/>
      <c r="BDU73" s="248"/>
      <c r="BDV73" s="248"/>
      <c r="BDW73" s="248"/>
      <c r="BDX73" s="248"/>
      <c r="BDY73" s="248"/>
      <c r="BDZ73" s="248"/>
      <c r="BEA73" s="248"/>
      <c r="BEB73" s="248"/>
      <c r="BEC73" s="248"/>
      <c r="BED73" s="248"/>
      <c r="BEE73" s="248"/>
      <c r="BEF73" s="248"/>
      <c r="BEG73" s="248"/>
      <c r="BEH73" s="248"/>
      <c r="BEI73" s="248"/>
      <c r="BEJ73" s="248"/>
      <c r="BEK73" s="248"/>
      <c r="BEL73" s="248"/>
      <c r="BEM73" s="248"/>
      <c r="BEN73" s="248"/>
      <c r="BEO73" s="248"/>
      <c r="BEP73" s="248"/>
      <c r="BEQ73" s="248"/>
      <c r="BER73" s="248"/>
      <c r="BES73" s="248"/>
      <c r="BET73" s="248"/>
      <c r="BEU73" s="248"/>
      <c r="BEV73" s="248"/>
      <c r="BEW73" s="248"/>
      <c r="BEX73" s="248"/>
      <c r="BEY73" s="248"/>
      <c r="BEZ73" s="248"/>
      <c r="BFA73" s="248"/>
      <c r="BFB73" s="248"/>
      <c r="BFC73" s="248"/>
      <c r="BFD73" s="248"/>
      <c r="BFE73" s="248"/>
      <c r="BFF73" s="248"/>
      <c r="BFG73" s="248"/>
      <c r="BFH73" s="248"/>
      <c r="BFI73" s="248"/>
      <c r="BFJ73" s="248"/>
      <c r="BFK73" s="248"/>
      <c r="BFL73" s="248"/>
      <c r="BFM73" s="248"/>
      <c r="BFN73" s="248"/>
      <c r="BFO73" s="248"/>
      <c r="BFP73" s="248"/>
      <c r="BFQ73" s="248"/>
      <c r="BFR73" s="248"/>
      <c r="BFS73" s="248"/>
      <c r="BFT73" s="248"/>
      <c r="BFU73" s="248"/>
      <c r="BFV73" s="248"/>
      <c r="BFW73" s="248"/>
      <c r="BFX73" s="248"/>
      <c r="BFY73" s="248"/>
      <c r="BFZ73" s="248"/>
      <c r="BGA73" s="248"/>
      <c r="BGB73" s="248"/>
      <c r="BGC73" s="248"/>
      <c r="BGD73" s="248"/>
      <c r="BGE73" s="248"/>
      <c r="BGF73" s="248"/>
      <c r="BGG73" s="248"/>
      <c r="BGH73" s="248"/>
      <c r="BGI73" s="248"/>
      <c r="BGJ73" s="248"/>
      <c r="BGK73" s="248"/>
      <c r="BGL73" s="248"/>
      <c r="BGM73" s="248"/>
      <c r="BGN73" s="248"/>
      <c r="BGO73" s="248"/>
      <c r="BGP73" s="248"/>
      <c r="BGQ73" s="248"/>
      <c r="BGR73" s="248"/>
      <c r="BGS73" s="248"/>
      <c r="BGT73" s="248"/>
      <c r="BGU73" s="248"/>
      <c r="BGV73" s="248"/>
      <c r="BGW73" s="248"/>
      <c r="BGX73" s="248"/>
      <c r="BGY73" s="248"/>
      <c r="BGZ73" s="248"/>
      <c r="BHA73" s="248"/>
      <c r="BHB73" s="248"/>
      <c r="BHC73" s="248"/>
      <c r="BHD73" s="248"/>
      <c r="BHE73" s="248"/>
      <c r="BHF73" s="248"/>
      <c r="BHG73" s="248"/>
      <c r="BHH73" s="248"/>
      <c r="BHI73" s="248"/>
      <c r="BHJ73" s="248"/>
      <c r="BHK73" s="248"/>
      <c r="BHL73" s="248"/>
      <c r="BHM73" s="248"/>
      <c r="BHN73" s="248"/>
      <c r="BHO73" s="248"/>
      <c r="BHP73" s="248"/>
      <c r="BHQ73" s="248"/>
      <c r="BHR73" s="248"/>
      <c r="BHS73" s="248"/>
      <c r="BHT73" s="248"/>
      <c r="BHU73" s="248"/>
      <c r="BHV73" s="248"/>
      <c r="BHW73" s="248"/>
      <c r="BHX73" s="248"/>
      <c r="BHY73" s="248"/>
      <c r="BHZ73" s="248"/>
      <c r="BIA73" s="248"/>
      <c r="BIB73" s="248"/>
      <c r="BIC73" s="248"/>
      <c r="BID73" s="248"/>
      <c r="BIE73" s="248"/>
      <c r="BIF73" s="248"/>
      <c r="BIG73" s="248"/>
      <c r="BIH73" s="248"/>
      <c r="BII73" s="248"/>
      <c r="BIJ73" s="248"/>
      <c r="BIK73" s="248"/>
      <c r="BIL73" s="248"/>
      <c r="BIM73" s="248"/>
      <c r="BIN73" s="248"/>
      <c r="BIO73" s="248"/>
      <c r="BIP73" s="248"/>
      <c r="BIQ73" s="248"/>
      <c r="BIR73" s="248"/>
      <c r="BIS73" s="248"/>
      <c r="BIT73" s="248"/>
      <c r="BIU73" s="248"/>
      <c r="BIV73" s="248"/>
      <c r="BIW73" s="248"/>
      <c r="BIX73" s="248"/>
      <c r="BIY73" s="248"/>
      <c r="BIZ73" s="248"/>
      <c r="BJA73" s="248"/>
      <c r="BJB73" s="248"/>
      <c r="BJC73" s="248"/>
      <c r="BJD73" s="248"/>
      <c r="BJE73" s="248"/>
      <c r="BJF73" s="248"/>
      <c r="BJG73" s="248"/>
      <c r="BJH73" s="248"/>
      <c r="BJI73" s="248"/>
      <c r="BJJ73" s="248"/>
      <c r="BJK73" s="248"/>
      <c r="BJL73" s="248"/>
      <c r="BJM73" s="248"/>
      <c r="BJN73" s="248"/>
    </row>
    <row r="74" spans="1:1660" ht="20.100000000000001" customHeight="1" x14ac:dyDescent="0.3">
      <c r="A74" s="78" t="s">
        <v>28</v>
      </c>
      <c r="B74" s="51"/>
      <c r="C74" s="21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73"/>
      <c r="AYA74" s="248"/>
      <c r="AYB74" s="248"/>
      <c r="AYC74" s="248"/>
      <c r="AYD74" s="248"/>
      <c r="AYE74" s="248"/>
      <c r="AYF74" s="248"/>
      <c r="AYG74" s="248"/>
      <c r="AYH74" s="248"/>
      <c r="AYI74" s="248"/>
      <c r="AYJ74" s="248"/>
      <c r="AYK74" s="248"/>
      <c r="AYL74" s="248"/>
      <c r="AYM74" s="248"/>
      <c r="AYN74" s="248"/>
      <c r="AYO74" s="248"/>
      <c r="AYP74" s="248"/>
      <c r="AYQ74" s="248"/>
      <c r="AYR74" s="248"/>
      <c r="AYS74" s="248"/>
      <c r="AYT74" s="248"/>
      <c r="AYU74" s="248"/>
      <c r="AYV74" s="248"/>
      <c r="AYW74" s="248"/>
      <c r="AYX74" s="248"/>
      <c r="AYY74" s="248"/>
      <c r="AYZ74" s="248"/>
      <c r="AZA74" s="248"/>
      <c r="AZB74" s="248"/>
      <c r="AZC74" s="248"/>
      <c r="AZD74" s="248"/>
      <c r="AZE74" s="248"/>
      <c r="AZF74" s="248"/>
      <c r="AZG74" s="248"/>
      <c r="AZH74" s="248"/>
      <c r="AZI74" s="248"/>
      <c r="AZJ74" s="248"/>
      <c r="AZK74" s="248"/>
      <c r="AZL74" s="248"/>
      <c r="AZM74" s="248"/>
      <c r="AZN74" s="248"/>
      <c r="AZO74" s="248"/>
      <c r="AZP74" s="248"/>
      <c r="AZQ74" s="248"/>
      <c r="AZR74" s="248"/>
      <c r="AZS74" s="248"/>
      <c r="AZT74" s="248"/>
      <c r="AZU74" s="248"/>
      <c r="AZV74" s="248"/>
      <c r="AZW74" s="248"/>
      <c r="AZX74" s="248"/>
      <c r="AZY74" s="248"/>
      <c r="AZZ74" s="248"/>
      <c r="BAA74" s="248"/>
      <c r="BAB74" s="248"/>
      <c r="BAC74" s="248"/>
      <c r="BAD74" s="248"/>
      <c r="BAE74" s="248"/>
      <c r="BAF74" s="248"/>
      <c r="BAG74" s="248"/>
      <c r="BAH74" s="248"/>
      <c r="BAI74" s="248"/>
      <c r="BAJ74" s="248"/>
      <c r="BAK74" s="248"/>
      <c r="BAL74" s="248"/>
      <c r="BAM74" s="248"/>
      <c r="BAN74" s="248"/>
      <c r="BAO74" s="248"/>
      <c r="BAP74" s="248"/>
      <c r="BAQ74" s="248"/>
      <c r="BAR74" s="248"/>
      <c r="BAS74" s="248"/>
      <c r="BAT74" s="248"/>
      <c r="BAU74" s="248"/>
      <c r="BAV74" s="248"/>
      <c r="BAW74" s="248"/>
      <c r="BAX74" s="248"/>
      <c r="BAY74" s="248"/>
      <c r="BAZ74" s="248"/>
      <c r="BBA74" s="248"/>
      <c r="BBB74" s="248"/>
      <c r="BBC74" s="248"/>
      <c r="BBD74" s="248"/>
      <c r="BBE74" s="248"/>
      <c r="BBF74" s="248"/>
      <c r="BBG74" s="248"/>
      <c r="BBH74" s="248"/>
      <c r="BBI74" s="248"/>
      <c r="BBJ74" s="248"/>
      <c r="BBK74" s="248"/>
      <c r="BBL74" s="248"/>
      <c r="BBM74" s="248"/>
      <c r="BBN74" s="248"/>
      <c r="BBO74" s="248"/>
      <c r="BBP74" s="248"/>
      <c r="BBQ74" s="248"/>
      <c r="BBR74" s="248"/>
      <c r="BBS74" s="248"/>
      <c r="BBT74" s="248"/>
      <c r="BBU74" s="248"/>
      <c r="BBV74" s="248"/>
      <c r="BBW74" s="248"/>
      <c r="BBX74" s="248"/>
      <c r="BBY74" s="248"/>
      <c r="BBZ74" s="248"/>
      <c r="BCA74" s="248"/>
      <c r="BCB74" s="248"/>
      <c r="BCC74" s="248"/>
      <c r="BCD74" s="248"/>
      <c r="BCE74" s="248"/>
      <c r="BCF74" s="248"/>
      <c r="BCG74" s="248"/>
      <c r="BCH74" s="248"/>
      <c r="BCI74" s="248"/>
      <c r="BCJ74" s="248"/>
      <c r="BCK74" s="248"/>
      <c r="BCL74" s="248"/>
      <c r="BCM74" s="248"/>
      <c r="BCN74" s="248"/>
      <c r="BCO74" s="248"/>
      <c r="BCP74" s="248"/>
      <c r="BCQ74" s="248"/>
      <c r="BCR74" s="248"/>
      <c r="BCS74" s="248"/>
      <c r="BCT74" s="248"/>
      <c r="BCU74" s="248"/>
      <c r="BCV74" s="248"/>
      <c r="BCW74" s="248"/>
      <c r="BCX74" s="248"/>
      <c r="BCY74" s="248"/>
      <c r="BCZ74" s="248"/>
      <c r="BDA74" s="248"/>
      <c r="BDB74" s="248"/>
      <c r="BDC74" s="248"/>
      <c r="BDD74" s="248"/>
      <c r="BDE74" s="248"/>
      <c r="BDF74" s="248"/>
      <c r="BDG74" s="248"/>
      <c r="BDH74" s="248"/>
      <c r="BDI74" s="248"/>
      <c r="BDJ74" s="248"/>
      <c r="BDK74" s="248"/>
      <c r="BDL74" s="248"/>
      <c r="BDM74" s="248"/>
      <c r="BDN74" s="248"/>
      <c r="BDO74" s="248"/>
      <c r="BDP74" s="248"/>
      <c r="BDQ74" s="248"/>
      <c r="BDR74" s="248"/>
      <c r="BDS74" s="248"/>
      <c r="BDT74" s="248"/>
      <c r="BDU74" s="248"/>
      <c r="BDV74" s="248"/>
      <c r="BDW74" s="248"/>
      <c r="BDX74" s="248"/>
      <c r="BDY74" s="248"/>
      <c r="BDZ74" s="248"/>
      <c r="BEA74" s="248"/>
      <c r="BEB74" s="248"/>
      <c r="BEC74" s="248"/>
      <c r="BED74" s="248"/>
      <c r="BEE74" s="248"/>
      <c r="BEF74" s="248"/>
      <c r="BEG74" s="248"/>
      <c r="BEH74" s="248"/>
      <c r="BEI74" s="248"/>
      <c r="BEJ74" s="248"/>
      <c r="BEK74" s="248"/>
      <c r="BEL74" s="248"/>
      <c r="BEM74" s="248"/>
      <c r="BEN74" s="248"/>
      <c r="BEO74" s="248"/>
      <c r="BEP74" s="248"/>
      <c r="BEQ74" s="248"/>
      <c r="BER74" s="248"/>
      <c r="BES74" s="248"/>
      <c r="BET74" s="248"/>
      <c r="BEU74" s="248"/>
      <c r="BEV74" s="248"/>
      <c r="BEW74" s="248"/>
      <c r="BEX74" s="248"/>
      <c r="BEY74" s="248"/>
      <c r="BEZ74" s="248"/>
      <c r="BFA74" s="248"/>
      <c r="BFB74" s="248"/>
      <c r="BFC74" s="248"/>
      <c r="BFD74" s="248"/>
      <c r="BFE74" s="248"/>
      <c r="BFF74" s="248"/>
      <c r="BFG74" s="248"/>
      <c r="BFH74" s="248"/>
      <c r="BFI74" s="248"/>
      <c r="BFJ74" s="248"/>
      <c r="BFK74" s="248"/>
      <c r="BFL74" s="248"/>
      <c r="BFM74" s="248"/>
      <c r="BFN74" s="248"/>
      <c r="BFO74" s="248"/>
      <c r="BFP74" s="248"/>
      <c r="BFQ74" s="248"/>
      <c r="BFR74" s="248"/>
      <c r="BFS74" s="248"/>
      <c r="BFT74" s="248"/>
      <c r="BFU74" s="248"/>
      <c r="BFV74" s="248"/>
      <c r="BFW74" s="248"/>
      <c r="BFX74" s="248"/>
      <c r="BFY74" s="248"/>
      <c r="BFZ74" s="248"/>
      <c r="BGA74" s="248"/>
      <c r="BGB74" s="248"/>
      <c r="BGC74" s="248"/>
      <c r="BGD74" s="248"/>
      <c r="BGE74" s="248"/>
      <c r="BGF74" s="248"/>
      <c r="BGG74" s="248"/>
      <c r="BGH74" s="248"/>
      <c r="BGI74" s="248"/>
      <c r="BGJ74" s="248"/>
      <c r="BGK74" s="248"/>
      <c r="BGL74" s="248"/>
      <c r="BGM74" s="248"/>
      <c r="BGN74" s="248"/>
      <c r="BGO74" s="248"/>
      <c r="BGP74" s="248"/>
      <c r="BGQ74" s="248"/>
      <c r="BGR74" s="248"/>
      <c r="BGS74" s="248"/>
      <c r="BGT74" s="248"/>
      <c r="BGU74" s="248"/>
      <c r="BGV74" s="248"/>
      <c r="BGW74" s="248"/>
      <c r="BGX74" s="248"/>
      <c r="BGY74" s="248"/>
      <c r="BGZ74" s="248"/>
      <c r="BHA74" s="248"/>
      <c r="BHB74" s="248"/>
      <c r="BHC74" s="248"/>
      <c r="BHD74" s="248"/>
      <c r="BHE74" s="248"/>
      <c r="BHF74" s="248"/>
      <c r="BHG74" s="248"/>
      <c r="BHH74" s="248"/>
      <c r="BHI74" s="248"/>
      <c r="BHJ74" s="248"/>
      <c r="BHK74" s="248"/>
      <c r="BHL74" s="248"/>
      <c r="BHM74" s="248"/>
      <c r="BHN74" s="248"/>
      <c r="BHO74" s="248"/>
      <c r="BHP74" s="248"/>
      <c r="BHQ74" s="248"/>
      <c r="BHR74" s="248"/>
      <c r="BHS74" s="248"/>
      <c r="BHT74" s="248"/>
      <c r="BHU74" s="248"/>
      <c r="BHV74" s="248"/>
      <c r="BHW74" s="248"/>
      <c r="BHX74" s="248"/>
      <c r="BHY74" s="248"/>
      <c r="BHZ74" s="248"/>
      <c r="BIA74" s="248"/>
      <c r="BIB74" s="248"/>
      <c r="BIC74" s="248"/>
      <c r="BID74" s="248"/>
      <c r="BIE74" s="248"/>
      <c r="BIF74" s="248"/>
      <c r="BIG74" s="248"/>
      <c r="BIH74" s="248"/>
      <c r="BII74" s="248"/>
      <c r="BIJ74" s="248"/>
      <c r="BIK74" s="248"/>
      <c r="BIL74" s="248"/>
      <c r="BIM74" s="248"/>
      <c r="BIN74" s="248"/>
      <c r="BIO74" s="248"/>
      <c r="BIP74" s="248"/>
      <c r="BIQ74" s="248"/>
      <c r="BIR74" s="248"/>
      <c r="BIS74" s="248"/>
      <c r="BIT74" s="248"/>
      <c r="BIU74" s="248"/>
      <c r="BIV74" s="248"/>
      <c r="BIW74" s="248"/>
      <c r="BIX74" s="248"/>
      <c r="BIY74" s="248"/>
      <c r="BIZ74" s="248"/>
      <c r="BJA74" s="248"/>
      <c r="BJB74" s="248"/>
      <c r="BJC74" s="248"/>
      <c r="BJD74" s="248"/>
      <c r="BJE74" s="248"/>
      <c r="BJF74" s="248"/>
      <c r="BJG74" s="248"/>
      <c r="BJH74" s="248"/>
      <c r="BJI74" s="248"/>
      <c r="BJJ74" s="248"/>
      <c r="BJK74" s="248"/>
      <c r="BJL74" s="248"/>
      <c r="BJM74" s="248"/>
      <c r="BJN74" s="248"/>
      <c r="BJO74" s="248"/>
      <c r="BJP74" s="248"/>
      <c r="BJQ74" s="248"/>
      <c r="BJR74" s="248"/>
      <c r="BJS74" s="248"/>
      <c r="BJT74" s="248"/>
      <c r="BJU74" s="248"/>
      <c r="BJV74" s="248"/>
      <c r="BJW74" s="248"/>
      <c r="BJX74" s="248"/>
      <c r="BJY74" s="248"/>
      <c r="BJZ74" s="248"/>
      <c r="BKA74" s="248"/>
      <c r="BKB74" s="248"/>
      <c r="BKC74" s="248"/>
      <c r="BKD74" s="248"/>
      <c r="BKE74" s="248"/>
      <c r="BKF74" s="248"/>
      <c r="BKG74" s="248"/>
      <c r="BKH74" s="248"/>
      <c r="BKI74" s="248"/>
      <c r="BKJ74" s="248"/>
      <c r="BKK74" s="248"/>
      <c r="BKL74" s="248"/>
      <c r="BKM74" s="248"/>
      <c r="BKN74" s="248"/>
      <c r="BKO74" s="248"/>
      <c r="BKP74" s="248"/>
      <c r="BKQ74" s="248"/>
      <c r="BKR74" s="248"/>
      <c r="BKS74" s="248"/>
      <c r="BKT74" s="248"/>
      <c r="BKU74" s="248"/>
      <c r="BKV74" s="248"/>
    </row>
    <row r="75" spans="1:1660" ht="20.100000000000001" customHeight="1" x14ac:dyDescent="0.25">
      <c r="A75" s="78" t="s">
        <v>26</v>
      </c>
      <c r="B75" s="51"/>
      <c r="C75" s="209"/>
      <c r="D75" s="119" t="str">
        <f t="shared" si="0"/>
        <v>2h 50 min</v>
      </c>
      <c r="E75" s="26">
        <v>34</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73"/>
      <c r="AYA75" s="248"/>
      <c r="AYB75" s="248"/>
      <c r="AYC75" s="248"/>
      <c r="AYD75" s="248"/>
      <c r="AYE75" s="248"/>
      <c r="AYF75" s="248"/>
      <c r="AYG75" s="248"/>
      <c r="AYH75" s="248"/>
      <c r="AYI75" s="248"/>
      <c r="AYJ75" s="248"/>
      <c r="AYK75" s="248"/>
      <c r="AYL75" s="248"/>
      <c r="AYM75" s="248"/>
      <c r="AYN75" s="248"/>
      <c r="AYO75" s="248"/>
      <c r="AYP75" s="248"/>
      <c r="AYQ75" s="248"/>
      <c r="AYR75" s="248"/>
      <c r="AYS75" s="248"/>
      <c r="AYT75" s="248"/>
      <c r="AYU75" s="248"/>
      <c r="AYV75" s="248"/>
      <c r="AYW75" s="248"/>
      <c r="AYX75" s="248"/>
      <c r="AYY75" s="248"/>
      <c r="AYZ75" s="248"/>
      <c r="AZA75" s="248"/>
      <c r="AZB75" s="248"/>
      <c r="AZC75" s="248"/>
      <c r="AZD75" s="248"/>
      <c r="AZE75" s="248"/>
      <c r="AZF75" s="248"/>
      <c r="AZG75" s="248"/>
      <c r="AZH75" s="248"/>
      <c r="AZI75" s="248"/>
      <c r="AZJ75" s="248"/>
      <c r="AZK75" s="248"/>
      <c r="AZL75" s="248"/>
      <c r="AZM75" s="248"/>
      <c r="AZN75" s="248"/>
      <c r="AZO75" s="248"/>
      <c r="AZP75" s="248"/>
      <c r="AZQ75" s="248"/>
      <c r="AZR75" s="248"/>
      <c r="AZS75" s="248"/>
      <c r="AZT75" s="248"/>
      <c r="AZU75" s="248"/>
      <c r="AZV75" s="248"/>
      <c r="AZW75" s="248"/>
      <c r="AZX75" s="248"/>
      <c r="AZY75" s="248"/>
      <c r="AZZ75" s="248"/>
      <c r="BAA75" s="248"/>
      <c r="BAB75" s="248"/>
      <c r="BAC75" s="248"/>
      <c r="BAD75" s="248"/>
      <c r="BAE75" s="248"/>
      <c r="BAF75" s="248"/>
      <c r="BAG75" s="248"/>
      <c r="BAH75" s="248"/>
      <c r="BAI75" s="248"/>
      <c r="BAJ75" s="248"/>
      <c r="BAK75" s="248"/>
      <c r="BAL75" s="248"/>
      <c r="BAM75" s="248"/>
      <c r="BAN75" s="248"/>
      <c r="BAO75" s="248"/>
      <c r="BAP75" s="248"/>
      <c r="BAQ75" s="248"/>
      <c r="BAR75" s="248"/>
      <c r="BAS75" s="248"/>
      <c r="BAT75" s="248"/>
      <c r="BAU75" s="248"/>
      <c r="BAV75" s="248"/>
      <c r="BAW75" s="248"/>
      <c r="BAX75" s="248"/>
      <c r="BAY75" s="248"/>
      <c r="BAZ75" s="248"/>
      <c r="BBA75" s="248"/>
      <c r="BBB75" s="248"/>
      <c r="BBC75" s="248"/>
      <c r="BBD75" s="248"/>
      <c r="BBE75" s="248"/>
      <c r="BBF75" s="248"/>
      <c r="BBG75" s="248"/>
      <c r="BBH75" s="248"/>
      <c r="BBI75" s="248"/>
      <c r="BBJ75" s="248"/>
      <c r="BBK75" s="248"/>
      <c r="BBL75" s="248"/>
      <c r="BBM75" s="248"/>
      <c r="BBN75" s="248"/>
      <c r="BBO75" s="248"/>
      <c r="BBP75" s="248"/>
      <c r="BBQ75" s="248"/>
      <c r="BBR75" s="248"/>
      <c r="BBS75" s="248"/>
      <c r="BBT75" s="248"/>
      <c r="BBU75" s="248"/>
      <c r="BBV75" s="248"/>
      <c r="BBW75" s="248"/>
      <c r="BBX75" s="248"/>
      <c r="BBY75" s="248"/>
      <c r="BBZ75" s="248"/>
      <c r="BCA75" s="248"/>
      <c r="BCB75" s="248"/>
      <c r="BCC75" s="248"/>
      <c r="BCD75" s="248"/>
      <c r="BCE75" s="248"/>
      <c r="BCF75" s="248"/>
      <c r="BCG75" s="248"/>
      <c r="BCH75" s="248"/>
      <c r="BCI75" s="248"/>
      <c r="BCJ75" s="248"/>
      <c r="BCK75" s="248"/>
      <c r="BCL75" s="248"/>
      <c r="BCM75" s="248"/>
      <c r="BCN75" s="248"/>
      <c r="BCO75" s="248"/>
      <c r="BCP75" s="248"/>
      <c r="BCQ75" s="248"/>
      <c r="BCR75" s="248"/>
      <c r="BCS75" s="248"/>
      <c r="BCT75" s="248"/>
      <c r="BCU75" s="248"/>
      <c r="BCV75" s="248"/>
      <c r="BCW75" s="248"/>
      <c r="BCX75" s="248"/>
      <c r="BCY75" s="248"/>
      <c r="BCZ75" s="248"/>
      <c r="BDA75" s="248"/>
      <c r="BDB75" s="248"/>
      <c r="BDC75" s="248"/>
      <c r="BDD75" s="248"/>
      <c r="BDE75" s="248"/>
      <c r="BDF75" s="248"/>
      <c r="BDG75" s="248"/>
      <c r="BDH75" s="248"/>
      <c r="BDI75" s="248"/>
      <c r="BDJ75" s="248"/>
      <c r="BDK75" s="248"/>
      <c r="BDL75" s="248"/>
      <c r="BDM75" s="248"/>
      <c r="BDN75" s="248"/>
      <c r="BDO75" s="248"/>
      <c r="BDP75" s="248"/>
      <c r="BDQ75" s="248"/>
      <c r="BDR75" s="248"/>
      <c r="BDS75" s="248"/>
      <c r="BDT75" s="248"/>
      <c r="BDU75" s="248"/>
      <c r="BDV75" s="248"/>
      <c r="BDW75" s="248"/>
      <c r="BDX75" s="248"/>
      <c r="BDY75" s="248"/>
      <c r="BDZ75" s="248"/>
      <c r="BEA75" s="248"/>
      <c r="BEB75" s="248"/>
      <c r="BEC75" s="248"/>
      <c r="BED75" s="248"/>
      <c r="BEE75" s="248"/>
      <c r="BEF75" s="248"/>
      <c r="BEG75" s="248"/>
      <c r="BEH75" s="248"/>
      <c r="BEI75" s="248"/>
      <c r="BEJ75" s="248"/>
      <c r="BEK75" s="248"/>
      <c r="BEL75" s="248"/>
      <c r="BEM75" s="248"/>
      <c r="BEN75" s="248"/>
      <c r="BEO75" s="248"/>
      <c r="BEP75" s="248"/>
      <c r="BEQ75" s="248"/>
      <c r="BER75" s="248"/>
      <c r="BES75" s="248"/>
      <c r="BET75" s="248"/>
      <c r="BEU75" s="248"/>
      <c r="BEV75" s="248"/>
      <c r="BEW75" s="248"/>
      <c r="BEX75" s="248"/>
      <c r="BEY75" s="248"/>
      <c r="BEZ75" s="248"/>
      <c r="BFA75" s="248"/>
      <c r="BFB75" s="248"/>
      <c r="BFC75" s="248"/>
      <c r="BFD75" s="248"/>
      <c r="BFE75" s="248"/>
      <c r="BFF75" s="248"/>
      <c r="BFG75" s="248"/>
      <c r="BFH75" s="248"/>
      <c r="BFI75" s="248"/>
      <c r="BFJ75" s="248"/>
      <c r="BFK75" s="248"/>
      <c r="BFL75" s="248"/>
      <c r="BFM75" s="248"/>
      <c r="BFN75" s="248"/>
      <c r="BFO75" s="248"/>
      <c r="BFP75" s="248"/>
      <c r="BFQ75" s="248"/>
      <c r="BFR75" s="248"/>
      <c r="BFS75" s="248"/>
      <c r="BFT75" s="248"/>
      <c r="BFU75" s="248"/>
      <c r="BFV75" s="248"/>
      <c r="BFW75" s="248"/>
      <c r="BFX75" s="248"/>
      <c r="BFY75" s="248"/>
      <c r="BFZ75" s="248"/>
      <c r="BGA75" s="248"/>
      <c r="BGB75" s="248"/>
      <c r="BGC75" s="248"/>
      <c r="BGD75" s="248"/>
      <c r="BGE75" s="248"/>
      <c r="BGF75" s="248"/>
      <c r="BGG75" s="248"/>
      <c r="BGH75" s="248"/>
      <c r="BGI75" s="248"/>
      <c r="BGJ75" s="248"/>
      <c r="BGK75" s="248"/>
      <c r="BGL75" s="248"/>
      <c r="BGM75" s="248"/>
      <c r="BGN75" s="248"/>
      <c r="BGO75" s="248"/>
      <c r="BGP75" s="248"/>
      <c r="BGQ75" s="248"/>
      <c r="BGR75" s="248"/>
      <c r="BGS75" s="248"/>
      <c r="BGT75" s="248"/>
      <c r="BGU75" s="248"/>
      <c r="BGV75" s="248"/>
      <c r="BGW75" s="248"/>
      <c r="BGX75" s="248"/>
      <c r="BGY75" s="248"/>
      <c r="BGZ75" s="248"/>
      <c r="BHA75" s="248"/>
      <c r="BHB75" s="248"/>
      <c r="BHC75" s="248"/>
      <c r="BHD75" s="248"/>
      <c r="BHE75" s="248"/>
      <c r="BHF75" s="248"/>
      <c r="BHG75" s="248"/>
      <c r="BHH75" s="248"/>
      <c r="BHI75" s="248"/>
      <c r="BHJ75" s="248"/>
      <c r="BHK75" s="248"/>
      <c r="BHL75" s="248"/>
      <c r="BHM75" s="248"/>
      <c r="BHN75" s="248"/>
      <c r="BHO75" s="248"/>
      <c r="BHP75" s="248"/>
      <c r="BHQ75" s="248"/>
      <c r="BHR75" s="248"/>
      <c r="BHS75" s="248"/>
      <c r="BHT75" s="248"/>
      <c r="BHU75" s="248"/>
      <c r="BHV75" s="248"/>
      <c r="BHW75" s="248"/>
      <c r="BHX75" s="248"/>
      <c r="BHY75" s="248"/>
      <c r="BHZ75" s="248"/>
      <c r="BIA75" s="248"/>
      <c r="BIB75" s="248"/>
      <c r="BIC75" s="248"/>
      <c r="BID75" s="248"/>
      <c r="BIE75" s="248"/>
      <c r="BIF75" s="248"/>
      <c r="BIG75" s="248"/>
      <c r="BIH75" s="248"/>
      <c r="BII75" s="248"/>
      <c r="BIJ75" s="248"/>
      <c r="BIK75" s="248"/>
      <c r="BIL75" s="248"/>
      <c r="BIM75" s="248"/>
      <c r="BIN75" s="248"/>
      <c r="BIO75" s="248"/>
      <c r="BIP75" s="248"/>
      <c r="BIQ75" s="248"/>
      <c r="BIR75" s="248"/>
      <c r="BIS75" s="248"/>
      <c r="BIT75" s="248"/>
      <c r="BIU75" s="248"/>
      <c r="BIV75" s="248"/>
      <c r="BIW75" s="248"/>
      <c r="BIX75" s="248"/>
      <c r="BIY75" s="248"/>
      <c r="BIZ75" s="248"/>
      <c r="BJA75" s="248"/>
      <c r="BJB75" s="248"/>
      <c r="BJC75" s="248"/>
      <c r="BJD75" s="248"/>
      <c r="BJE75" s="248"/>
      <c r="BJF75" s="248"/>
      <c r="BJG75" s="248"/>
      <c r="BJH75" s="248"/>
      <c r="BJI75" s="248"/>
      <c r="BJJ75" s="248"/>
      <c r="BJK75" s="248"/>
      <c r="BJL75" s="248"/>
      <c r="BJM75" s="248"/>
      <c r="BJN75" s="248"/>
    </row>
    <row r="76" spans="1:1660" ht="20.100000000000001" customHeight="1" x14ac:dyDescent="0.3">
      <c r="A76" s="78" t="s">
        <v>28</v>
      </c>
      <c r="B76" s="51"/>
      <c r="C76" s="21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73"/>
      <c r="AYA76" s="248"/>
      <c r="AYB76" s="248"/>
      <c r="AYC76" s="248"/>
      <c r="AYD76" s="248"/>
      <c r="AYE76" s="248"/>
      <c r="AYF76" s="248"/>
      <c r="AYG76" s="248"/>
      <c r="AYH76" s="248"/>
      <c r="AYI76" s="248"/>
      <c r="AYJ76" s="248"/>
      <c r="AYK76" s="248"/>
      <c r="AYL76" s="248"/>
      <c r="AYM76" s="248"/>
      <c r="AYN76" s="248"/>
      <c r="AYO76" s="248"/>
      <c r="AYP76" s="248"/>
      <c r="AYQ76" s="248"/>
      <c r="AYR76" s="248"/>
      <c r="AYS76" s="248"/>
      <c r="AYT76" s="248"/>
      <c r="AYU76" s="248"/>
      <c r="AYV76" s="248"/>
      <c r="AYW76" s="248"/>
      <c r="AYX76" s="248"/>
      <c r="AYY76" s="248"/>
      <c r="AYZ76" s="248"/>
      <c r="AZA76" s="248"/>
      <c r="AZB76" s="248"/>
      <c r="AZC76" s="248"/>
      <c r="AZD76" s="248"/>
      <c r="AZE76" s="248"/>
      <c r="AZF76" s="248"/>
      <c r="AZG76" s="248"/>
      <c r="AZH76" s="248"/>
      <c r="AZI76" s="248"/>
      <c r="AZJ76" s="248"/>
      <c r="AZK76" s="248"/>
      <c r="AZL76" s="248"/>
      <c r="AZM76" s="248"/>
      <c r="AZN76" s="248"/>
      <c r="AZO76" s="248"/>
      <c r="AZP76" s="248"/>
      <c r="AZQ76" s="248"/>
      <c r="AZR76" s="248"/>
      <c r="AZS76" s="248"/>
      <c r="AZT76" s="248"/>
      <c r="AZU76" s="248"/>
      <c r="AZV76" s="248"/>
      <c r="AZW76" s="248"/>
      <c r="AZX76" s="248"/>
      <c r="AZY76" s="248"/>
      <c r="AZZ76" s="248"/>
      <c r="BAA76" s="248"/>
      <c r="BAB76" s="248"/>
      <c r="BAC76" s="248"/>
      <c r="BAD76" s="248"/>
      <c r="BAE76" s="248"/>
      <c r="BAF76" s="248"/>
      <c r="BAG76" s="248"/>
      <c r="BAH76" s="248"/>
      <c r="BAI76" s="248"/>
      <c r="BAJ76" s="248"/>
      <c r="BAK76" s="248"/>
      <c r="BAL76" s="248"/>
      <c r="BAM76" s="248"/>
      <c r="BAN76" s="248"/>
      <c r="BAO76" s="248"/>
      <c r="BAP76" s="248"/>
      <c r="BAQ76" s="248"/>
      <c r="BAR76" s="248"/>
      <c r="BAS76" s="248"/>
      <c r="BAT76" s="248"/>
      <c r="BAU76" s="248"/>
      <c r="BAV76" s="248"/>
      <c r="BAW76" s="248"/>
      <c r="BAX76" s="248"/>
      <c r="BAY76" s="248"/>
      <c r="BAZ76" s="248"/>
      <c r="BBA76" s="248"/>
      <c r="BBB76" s="248"/>
      <c r="BBC76" s="248"/>
      <c r="BBD76" s="248"/>
      <c r="BBE76" s="248"/>
      <c r="BBF76" s="248"/>
      <c r="BBG76" s="248"/>
      <c r="BBH76" s="248"/>
      <c r="BBI76" s="248"/>
      <c r="BBJ76" s="248"/>
      <c r="BBK76" s="248"/>
      <c r="BBL76" s="248"/>
      <c r="BBM76" s="248"/>
      <c r="BBN76" s="248"/>
      <c r="BBO76" s="248"/>
      <c r="BBP76" s="248"/>
      <c r="BBQ76" s="248"/>
      <c r="BBR76" s="248"/>
      <c r="BBS76" s="248"/>
      <c r="BBT76" s="248"/>
      <c r="BBU76" s="248"/>
      <c r="BBV76" s="248"/>
      <c r="BBW76" s="248"/>
      <c r="BBX76" s="248"/>
      <c r="BBY76" s="248"/>
      <c r="BBZ76" s="248"/>
      <c r="BCA76" s="248"/>
      <c r="BCB76" s="248"/>
      <c r="BCC76" s="248"/>
      <c r="BCD76" s="248"/>
      <c r="BCE76" s="248"/>
      <c r="BCF76" s="248"/>
      <c r="BCG76" s="248"/>
      <c r="BCH76" s="248"/>
      <c r="BCI76" s="248"/>
      <c r="BCJ76" s="248"/>
      <c r="BCK76" s="248"/>
      <c r="BCL76" s="248"/>
      <c r="BCM76" s="248"/>
      <c r="BCN76" s="248"/>
      <c r="BCO76" s="248"/>
      <c r="BCP76" s="248"/>
      <c r="BCQ76" s="248"/>
      <c r="BCR76" s="248"/>
      <c r="BCS76" s="248"/>
      <c r="BCT76" s="248"/>
      <c r="BCU76" s="248"/>
      <c r="BCV76" s="248"/>
      <c r="BCW76" s="248"/>
      <c r="BCX76" s="248"/>
      <c r="BCY76" s="248"/>
      <c r="BCZ76" s="248"/>
      <c r="BDA76" s="248"/>
      <c r="BDB76" s="248"/>
      <c r="BDC76" s="248"/>
      <c r="BDD76" s="248"/>
      <c r="BDE76" s="248"/>
      <c r="BDF76" s="248"/>
      <c r="BDG76" s="248"/>
      <c r="BDH76" s="248"/>
      <c r="BDI76" s="248"/>
      <c r="BDJ76" s="248"/>
      <c r="BDK76" s="248"/>
      <c r="BDL76" s="248"/>
      <c r="BDM76" s="248"/>
      <c r="BDN76" s="248"/>
      <c r="BDO76" s="248"/>
      <c r="BDP76" s="248"/>
      <c r="BDQ76" s="248"/>
      <c r="BDR76" s="248"/>
      <c r="BDS76" s="248"/>
      <c r="BDT76" s="248"/>
      <c r="BDU76" s="248"/>
      <c r="BDV76" s="248"/>
      <c r="BDW76" s="248"/>
      <c r="BDX76" s="248"/>
      <c r="BDY76" s="248"/>
      <c r="BDZ76" s="248"/>
      <c r="BEA76" s="248"/>
      <c r="BEB76" s="248"/>
      <c r="BEC76" s="248"/>
      <c r="BED76" s="248"/>
      <c r="BEE76" s="248"/>
      <c r="BEF76" s="248"/>
      <c r="BEG76" s="248"/>
      <c r="BEH76" s="248"/>
      <c r="BEI76" s="248"/>
      <c r="BEJ76" s="248"/>
      <c r="BEK76" s="248"/>
      <c r="BEL76" s="248"/>
      <c r="BEM76" s="248"/>
      <c r="BEN76" s="248"/>
      <c r="BEO76" s="248"/>
      <c r="BEP76" s="248"/>
      <c r="BEQ76" s="248"/>
      <c r="BER76" s="248"/>
      <c r="BES76" s="248"/>
      <c r="BET76" s="248"/>
      <c r="BEU76" s="248"/>
      <c r="BEV76" s="248"/>
      <c r="BEW76" s="248"/>
      <c r="BEX76" s="248"/>
      <c r="BEY76" s="248"/>
      <c r="BEZ76" s="248"/>
      <c r="BFA76" s="248"/>
      <c r="BFB76" s="248"/>
      <c r="BFC76" s="248"/>
      <c r="BFD76" s="248"/>
      <c r="BFE76" s="248"/>
      <c r="BFF76" s="248"/>
      <c r="BFG76" s="248"/>
      <c r="BFH76" s="248"/>
      <c r="BFI76" s="248"/>
      <c r="BFJ76" s="248"/>
      <c r="BFK76" s="248"/>
      <c r="BFL76" s="248"/>
      <c r="BFM76" s="248"/>
      <c r="BFN76" s="248"/>
      <c r="BFO76" s="248"/>
      <c r="BFP76" s="248"/>
      <c r="BFQ76" s="248"/>
      <c r="BFR76" s="248"/>
      <c r="BFS76" s="248"/>
      <c r="BFT76" s="248"/>
      <c r="BFU76" s="248"/>
      <c r="BFV76" s="248"/>
      <c r="BFW76" s="248"/>
      <c r="BFX76" s="248"/>
      <c r="BFY76" s="248"/>
      <c r="BFZ76" s="248"/>
      <c r="BGA76" s="248"/>
      <c r="BGB76" s="248"/>
      <c r="BGC76" s="248"/>
      <c r="BGD76" s="248"/>
      <c r="BGE76" s="248"/>
      <c r="BGF76" s="248"/>
      <c r="BGG76" s="248"/>
      <c r="BGH76" s="248"/>
      <c r="BGI76" s="248"/>
      <c r="BGJ76" s="248"/>
      <c r="BGK76" s="248"/>
      <c r="BGL76" s="248"/>
      <c r="BGM76" s="248"/>
      <c r="BGN76" s="248"/>
      <c r="BGO76" s="248"/>
      <c r="BGP76" s="248"/>
      <c r="BGQ76" s="248"/>
      <c r="BGR76" s="248"/>
      <c r="BGS76" s="248"/>
      <c r="BGT76" s="248"/>
      <c r="BGU76" s="248"/>
      <c r="BGV76" s="248"/>
      <c r="BGW76" s="248"/>
      <c r="BGX76" s="248"/>
      <c r="BGY76" s="248"/>
      <c r="BGZ76" s="248"/>
      <c r="BHA76" s="248"/>
      <c r="BHB76" s="248"/>
      <c r="BHC76" s="248"/>
      <c r="BHD76" s="248"/>
      <c r="BHE76" s="248"/>
      <c r="BHF76" s="248"/>
      <c r="BHG76" s="248"/>
      <c r="BHH76" s="248"/>
      <c r="BHI76" s="248"/>
      <c r="BHJ76" s="248"/>
      <c r="BHK76" s="248"/>
      <c r="BHL76" s="248"/>
      <c r="BHM76" s="248"/>
      <c r="BHN76" s="248"/>
      <c r="BHO76" s="248"/>
      <c r="BHP76" s="248"/>
      <c r="BHQ76" s="248"/>
      <c r="BHR76" s="248"/>
      <c r="BHS76" s="248"/>
      <c r="BHT76" s="248"/>
      <c r="BHU76" s="248"/>
      <c r="BHV76" s="248"/>
      <c r="BHW76" s="248"/>
      <c r="BHX76" s="248"/>
      <c r="BHY76" s="248"/>
      <c r="BHZ76" s="248"/>
      <c r="BIA76" s="248"/>
      <c r="BIB76" s="248"/>
      <c r="BIC76" s="248"/>
      <c r="BID76" s="248"/>
      <c r="BIE76" s="248"/>
      <c r="BIF76" s="248"/>
      <c r="BIG76" s="248"/>
      <c r="BIH76" s="248"/>
      <c r="BII76" s="248"/>
      <c r="BIJ76" s="248"/>
      <c r="BIK76" s="248"/>
      <c r="BIL76" s="248"/>
      <c r="BIM76" s="248"/>
      <c r="BIN76" s="248"/>
      <c r="BIO76" s="248"/>
      <c r="BIP76" s="248"/>
      <c r="BIQ76" s="248"/>
      <c r="BIR76" s="248"/>
      <c r="BIS76" s="248"/>
      <c r="BIT76" s="248"/>
      <c r="BIU76" s="248"/>
      <c r="BIV76" s="248"/>
      <c r="BIW76" s="248"/>
      <c r="BIX76" s="248"/>
      <c r="BIY76" s="248"/>
      <c r="BIZ76" s="248"/>
      <c r="BJA76" s="248"/>
      <c r="BJB76" s="248"/>
      <c r="BJC76" s="248"/>
      <c r="BJD76" s="248"/>
      <c r="BJE76" s="248"/>
      <c r="BJF76" s="248"/>
      <c r="BJG76" s="248"/>
      <c r="BJH76" s="248"/>
      <c r="BJI76" s="248"/>
      <c r="BJJ76" s="248"/>
      <c r="BJK76" s="248"/>
      <c r="BJL76" s="248"/>
      <c r="BJM76" s="248"/>
      <c r="BJN76" s="248"/>
      <c r="BJO76" s="248"/>
      <c r="BJP76" s="248"/>
      <c r="BJQ76" s="248"/>
      <c r="BJR76" s="248"/>
      <c r="BJS76" s="248"/>
      <c r="BJT76" s="248"/>
      <c r="BJU76" s="248"/>
      <c r="BJV76" s="248"/>
      <c r="BJW76" s="248"/>
      <c r="BJX76" s="248"/>
      <c r="BJY76" s="248"/>
      <c r="BJZ76" s="248"/>
      <c r="BKA76" s="248"/>
      <c r="BKB76" s="248"/>
      <c r="BKC76" s="248"/>
      <c r="BKD76" s="248"/>
      <c r="BKE76" s="248"/>
      <c r="BKF76" s="248"/>
      <c r="BKG76" s="248"/>
      <c r="BKH76" s="248"/>
      <c r="BKI76" s="248"/>
      <c r="BKJ76" s="248"/>
      <c r="BKK76" s="248"/>
      <c r="BKL76" s="248"/>
      <c r="BKM76" s="248"/>
      <c r="BKN76" s="248"/>
      <c r="BKO76" s="248"/>
      <c r="BKP76" s="248"/>
      <c r="BKQ76" s="248"/>
      <c r="BKR76" s="248"/>
      <c r="BKS76" s="248"/>
      <c r="BKT76" s="248"/>
      <c r="BKU76" s="248"/>
      <c r="BKV76" s="248"/>
    </row>
    <row r="77" spans="1:1660" ht="20.100000000000001" customHeight="1" x14ac:dyDescent="0.25">
      <c r="A77" s="78" t="s">
        <v>26</v>
      </c>
      <c r="B77" s="51"/>
      <c r="C77" s="209"/>
      <c r="D77" s="119" t="str">
        <f t="shared" si="0"/>
        <v>2h 50 min</v>
      </c>
      <c r="E77" s="34">
        <v>34</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73"/>
      <c r="AYA77" s="248"/>
      <c r="AYB77" s="248"/>
      <c r="AYC77" s="248"/>
      <c r="AYD77" s="248"/>
      <c r="AYE77" s="248"/>
      <c r="AYF77" s="248"/>
      <c r="AYG77" s="248"/>
      <c r="AYH77" s="248"/>
      <c r="AYI77" s="248"/>
      <c r="AYJ77" s="248"/>
      <c r="AYK77" s="248"/>
      <c r="AYL77" s="248"/>
      <c r="AYM77" s="248"/>
      <c r="AYN77" s="248"/>
      <c r="AYO77" s="248"/>
      <c r="AYP77" s="248"/>
      <c r="AYQ77" s="248"/>
      <c r="AYR77" s="248"/>
      <c r="AYS77" s="248"/>
      <c r="AYT77" s="248"/>
      <c r="AYU77" s="248"/>
      <c r="AYV77" s="248"/>
      <c r="AYW77" s="248"/>
      <c r="AYX77" s="248"/>
      <c r="AYY77" s="248"/>
      <c r="AYZ77" s="248"/>
      <c r="AZA77" s="248"/>
      <c r="AZB77" s="248"/>
      <c r="AZC77" s="248"/>
      <c r="AZD77" s="248"/>
      <c r="AZE77" s="248"/>
      <c r="AZF77" s="248"/>
      <c r="AZG77" s="248"/>
      <c r="AZH77" s="248"/>
      <c r="AZI77" s="248"/>
      <c r="AZJ77" s="248"/>
      <c r="AZK77" s="248"/>
      <c r="AZL77" s="248"/>
      <c r="AZM77" s="248"/>
      <c r="AZN77" s="248"/>
      <c r="AZO77" s="248"/>
      <c r="AZP77" s="248"/>
      <c r="AZQ77" s="248"/>
      <c r="AZR77" s="248"/>
      <c r="AZS77" s="248"/>
      <c r="AZT77" s="248"/>
      <c r="AZU77" s="248"/>
      <c r="AZV77" s="248"/>
      <c r="AZW77" s="248"/>
      <c r="AZX77" s="248"/>
      <c r="AZY77" s="248"/>
      <c r="AZZ77" s="248"/>
      <c r="BAA77" s="248"/>
      <c r="BAB77" s="248"/>
      <c r="BAC77" s="248"/>
      <c r="BAD77" s="248"/>
      <c r="BAE77" s="248"/>
      <c r="BAF77" s="248"/>
      <c r="BAG77" s="248"/>
      <c r="BAH77" s="248"/>
      <c r="BAI77" s="248"/>
      <c r="BAJ77" s="248"/>
      <c r="BAK77" s="248"/>
      <c r="BAL77" s="248"/>
      <c r="BAM77" s="248"/>
      <c r="BAN77" s="248"/>
      <c r="BAO77" s="248"/>
      <c r="BAP77" s="248"/>
      <c r="BAQ77" s="248"/>
      <c r="BAR77" s="248"/>
      <c r="BAS77" s="248"/>
      <c r="BAT77" s="248"/>
      <c r="BAU77" s="248"/>
      <c r="BAV77" s="248"/>
      <c r="BAW77" s="248"/>
      <c r="BAX77" s="248"/>
      <c r="BAY77" s="248"/>
      <c r="BAZ77" s="248"/>
      <c r="BBA77" s="248"/>
      <c r="BBB77" s="248"/>
      <c r="BBC77" s="248"/>
      <c r="BBD77" s="248"/>
      <c r="BBE77" s="248"/>
      <c r="BBF77" s="248"/>
      <c r="BBG77" s="248"/>
      <c r="BBH77" s="248"/>
      <c r="BBI77" s="248"/>
      <c r="BBJ77" s="248"/>
      <c r="BBK77" s="248"/>
      <c r="BBL77" s="248"/>
      <c r="BBM77" s="248"/>
      <c r="BBN77" s="248"/>
      <c r="BBO77" s="248"/>
      <c r="BBP77" s="248"/>
      <c r="BBQ77" s="248"/>
      <c r="BBR77" s="248"/>
      <c r="BBS77" s="248"/>
      <c r="BBT77" s="248"/>
      <c r="BBU77" s="248"/>
      <c r="BBV77" s="248"/>
      <c r="BBW77" s="248"/>
      <c r="BBX77" s="248"/>
      <c r="BBY77" s="248"/>
      <c r="BBZ77" s="248"/>
      <c r="BCA77" s="248"/>
      <c r="BCB77" s="248"/>
      <c r="BCC77" s="248"/>
      <c r="BCD77" s="248"/>
      <c r="BCE77" s="248"/>
      <c r="BCF77" s="248"/>
      <c r="BCG77" s="248"/>
      <c r="BCH77" s="248"/>
      <c r="BCI77" s="248"/>
      <c r="BCJ77" s="248"/>
      <c r="BCK77" s="248"/>
      <c r="BCL77" s="248"/>
      <c r="BCM77" s="248"/>
      <c r="BCN77" s="248"/>
      <c r="BCO77" s="248"/>
      <c r="BCP77" s="248"/>
      <c r="BCQ77" s="248"/>
      <c r="BCR77" s="248"/>
      <c r="BCS77" s="248"/>
      <c r="BCT77" s="248"/>
      <c r="BCU77" s="248"/>
      <c r="BCV77" s="248"/>
      <c r="BCW77" s="248"/>
      <c r="BCX77" s="248"/>
      <c r="BCY77" s="248"/>
      <c r="BCZ77" s="248"/>
      <c r="BDA77" s="248"/>
      <c r="BDB77" s="248"/>
      <c r="BDC77" s="248"/>
      <c r="BDD77" s="248"/>
      <c r="BDE77" s="248"/>
      <c r="BDF77" s="248"/>
      <c r="BDG77" s="248"/>
      <c r="BDH77" s="248"/>
      <c r="BDI77" s="248"/>
      <c r="BDJ77" s="248"/>
      <c r="BDK77" s="248"/>
      <c r="BDL77" s="248"/>
      <c r="BDM77" s="248"/>
      <c r="BDN77" s="248"/>
      <c r="BDO77" s="248"/>
      <c r="BDP77" s="248"/>
      <c r="BDQ77" s="248"/>
      <c r="BDR77" s="248"/>
      <c r="BDS77" s="248"/>
      <c r="BDT77" s="248"/>
      <c r="BDU77" s="248"/>
      <c r="BDV77" s="248"/>
      <c r="BDW77" s="248"/>
      <c r="BDX77" s="248"/>
      <c r="BDY77" s="248"/>
      <c r="BDZ77" s="248"/>
      <c r="BEA77" s="248"/>
      <c r="BEB77" s="248"/>
      <c r="BEC77" s="248"/>
      <c r="BED77" s="248"/>
      <c r="BEE77" s="248"/>
      <c r="BEF77" s="248"/>
      <c r="BEG77" s="248"/>
      <c r="BEH77" s="248"/>
      <c r="BEI77" s="248"/>
      <c r="BEJ77" s="248"/>
      <c r="BEK77" s="248"/>
      <c r="BEL77" s="248"/>
      <c r="BEM77" s="248"/>
      <c r="BEN77" s="248"/>
      <c r="BEO77" s="248"/>
      <c r="BEP77" s="248"/>
      <c r="BEQ77" s="248"/>
      <c r="BER77" s="248"/>
      <c r="BES77" s="248"/>
      <c r="BET77" s="248"/>
      <c r="BEU77" s="248"/>
      <c r="BEV77" s="248"/>
      <c r="BEW77" s="248"/>
      <c r="BEX77" s="248"/>
      <c r="BEY77" s="248"/>
      <c r="BEZ77" s="248"/>
      <c r="BFA77" s="248"/>
      <c r="BFB77" s="248"/>
      <c r="BFC77" s="248"/>
      <c r="BFD77" s="248"/>
      <c r="BFE77" s="248"/>
      <c r="BFF77" s="248"/>
      <c r="BFG77" s="248"/>
      <c r="BFH77" s="248"/>
      <c r="BFI77" s="248"/>
      <c r="BFJ77" s="248"/>
      <c r="BFK77" s="248"/>
      <c r="BFL77" s="248"/>
      <c r="BFM77" s="248"/>
      <c r="BFN77" s="248"/>
      <c r="BFO77" s="248"/>
      <c r="BFP77" s="248"/>
      <c r="BFQ77" s="248"/>
      <c r="BFR77" s="248"/>
      <c r="BFS77" s="248"/>
      <c r="BFT77" s="248"/>
      <c r="BFU77" s="248"/>
      <c r="BFV77" s="248"/>
      <c r="BFW77" s="248"/>
      <c r="BFX77" s="248"/>
      <c r="BFY77" s="248"/>
      <c r="BFZ77" s="248"/>
      <c r="BGA77" s="248"/>
      <c r="BGB77" s="248"/>
      <c r="BGC77" s="248"/>
      <c r="BGD77" s="248"/>
      <c r="BGE77" s="248"/>
      <c r="BGF77" s="248"/>
      <c r="BGG77" s="248"/>
      <c r="BGH77" s="248"/>
      <c r="BGI77" s="248"/>
      <c r="BGJ77" s="248"/>
      <c r="BGK77" s="248"/>
      <c r="BGL77" s="248"/>
      <c r="BGM77" s="248"/>
      <c r="BGN77" s="248"/>
      <c r="BGO77" s="248"/>
      <c r="BGP77" s="248"/>
      <c r="BGQ77" s="248"/>
      <c r="BGR77" s="248"/>
      <c r="BGS77" s="248"/>
      <c r="BGT77" s="248"/>
      <c r="BGU77" s="248"/>
      <c r="BGV77" s="248"/>
      <c r="BGW77" s="248"/>
      <c r="BGX77" s="248"/>
      <c r="BGY77" s="248"/>
      <c r="BGZ77" s="248"/>
      <c r="BHA77" s="248"/>
      <c r="BHB77" s="248"/>
      <c r="BHC77" s="248"/>
      <c r="BHD77" s="248"/>
      <c r="BHE77" s="248"/>
      <c r="BHF77" s="248"/>
      <c r="BHG77" s="248"/>
      <c r="BHH77" s="248"/>
      <c r="BHI77" s="248"/>
      <c r="BHJ77" s="248"/>
      <c r="BHK77" s="248"/>
      <c r="BHL77" s="248"/>
      <c r="BHM77" s="248"/>
      <c r="BHN77" s="248"/>
      <c r="BHO77" s="248"/>
      <c r="BHP77" s="248"/>
      <c r="BHQ77" s="248"/>
      <c r="BHR77" s="248"/>
      <c r="BHS77" s="248"/>
      <c r="BHT77" s="248"/>
      <c r="BHU77" s="248"/>
      <c r="BHV77" s="248"/>
      <c r="BHW77" s="248"/>
      <c r="BHX77" s="248"/>
      <c r="BHY77" s="248"/>
      <c r="BHZ77" s="248"/>
      <c r="BIA77" s="248"/>
      <c r="BIB77" s="248"/>
      <c r="BIC77" s="248"/>
      <c r="BID77" s="248"/>
      <c r="BIE77" s="248"/>
      <c r="BIF77" s="248"/>
      <c r="BIG77" s="248"/>
      <c r="BIH77" s="248"/>
      <c r="BII77" s="248"/>
      <c r="BIJ77" s="248"/>
      <c r="BIK77" s="248"/>
      <c r="BIL77" s="248"/>
      <c r="BIM77" s="248"/>
      <c r="BIN77" s="248"/>
      <c r="BIO77" s="248"/>
      <c r="BIP77" s="248"/>
      <c r="BIQ77" s="248"/>
      <c r="BIR77" s="248"/>
      <c r="BIS77" s="248"/>
      <c r="BIT77" s="248"/>
      <c r="BIU77" s="248"/>
      <c r="BIV77" s="248"/>
      <c r="BIW77" s="248"/>
      <c r="BIX77" s="248"/>
      <c r="BIY77" s="248"/>
      <c r="BIZ77" s="248"/>
      <c r="BJA77" s="248"/>
      <c r="BJB77" s="248"/>
      <c r="BJC77" s="248"/>
      <c r="BJD77" s="248"/>
      <c r="BJE77" s="248"/>
      <c r="BJF77" s="248"/>
      <c r="BJG77" s="248"/>
      <c r="BJH77" s="248"/>
      <c r="BJI77" s="248"/>
      <c r="BJJ77" s="248"/>
      <c r="BJK77" s="248"/>
      <c r="BJL77" s="248"/>
      <c r="BJM77" s="248"/>
      <c r="BJN77" s="248"/>
    </row>
    <row r="78" spans="1:1660" ht="20.100000000000001" customHeight="1" x14ac:dyDescent="0.25">
      <c r="A78" s="78" t="s">
        <v>28</v>
      </c>
      <c r="B78" s="51"/>
      <c r="C78" s="216"/>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73"/>
      <c r="AYA78" s="248"/>
      <c r="AYB78" s="248"/>
      <c r="AYC78" s="248"/>
      <c r="AYD78" s="248"/>
      <c r="AYE78" s="248"/>
      <c r="AYF78" s="248"/>
      <c r="AYG78" s="248"/>
      <c r="AYH78" s="248"/>
      <c r="AYI78" s="248"/>
      <c r="AYJ78" s="248"/>
      <c r="AYK78" s="248"/>
      <c r="AYL78" s="248"/>
      <c r="AYM78" s="248"/>
      <c r="AYN78" s="248"/>
      <c r="AYO78" s="248"/>
      <c r="AYP78" s="248"/>
      <c r="AYQ78" s="248"/>
      <c r="AYR78" s="248"/>
      <c r="AYS78" s="248"/>
      <c r="AYT78" s="248"/>
      <c r="AYU78" s="248"/>
      <c r="AYV78" s="248"/>
      <c r="AYW78" s="248"/>
      <c r="AYX78" s="248"/>
      <c r="AYY78" s="248"/>
      <c r="AYZ78" s="248"/>
      <c r="AZA78" s="248"/>
      <c r="AZB78" s="248"/>
      <c r="AZC78" s="248"/>
      <c r="AZD78" s="248"/>
      <c r="AZE78" s="248"/>
      <c r="AZF78" s="248"/>
      <c r="AZG78" s="248"/>
      <c r="AZH78" s="248"/>
      <c r="AZI78" s="248"/>
      <c r="AZJ78" s="248"/>
      <c r="AZK78" s="248"/>
      <c r="AZL78" s="248"/>
      <c r="AZM78" s="248"/>
      <c r="AZN78" s="248"/>
      <c r="AZO78" s="248"/>
      <c r="AZP78" s="248"/>
      <c r="AZQ78" s="248"/>
      <c r="AZR78" s="248"/>
      <c r="AZS78" s="248"/>
      <c r="AZT78" s="248"/>
      <c r="AZU78" s="248"/>
      <c r="AZV78" s="248"/>
      <c r="AZW78" s="248"/>
      <c r="AZX78" s="248"/>
      <c r="AZY78" s="248"/>
      <c r="AZZ78" s="248"/>
      <c r="BAA78" s="248"/>
      <c r="BAB78" s="248"/>
      <c r="BAC78" s="248"/>
      <c r="BAD78" s="248"/>
      <c r="BAE78" s="248"/>
      <c r="BAF78" s="248"/>
      <c r="BAG78" s="248"/>
      <c r="BAH78" s="248"/>
      <c r="BAI78" s="248"/>
      <c r="BAJ78" s="248"/>
      <c r="BAK78" s="248"/>
      <c r="BAL78" s="248"/>
      <c r="BAM78" s="248"/>
      <c r="BAN78" s="248"/>
      <c r="BAO78" s="248"/>
      <c r="BAP78" s="248"/>
      <c r="BAQ78" s="248"/>
      <c r="BAR78" s="248"/>
      <c r="BAS78" s="248"/>
      <c r="BAT78" s="248"/>
      <c r="BAU78" s="248"/>
      <c r="BAV78" s="248"/>
      <c r="BAW78" s="248"/>
      <c r="BAX78" s="248"/>
      <c r="BAY78" s="248"/>
      <c r="BAZ78" s="248"/>
      <c r="BBA78" s="248"/>
      <c r="BBB78" s="248"/>
      <c r="BBC78" s="248"/>
      <c r="BBD78" s="248"/>
      <c r="BBE78" s="248"/>
      <c r="BBF78" s="248"/>
      <c r="BBG78" s="248"/>
      <c r="BBH78" s="248"/>
      <c r="BBI78" s="248"/>
      <c r="BBJ78" s="248"/>
      <c r="BBK78" s="248"/>
      <c r="BBL78" s="248"/>
      <c r="BBM78" s="248"/>
      <c r="BBN78" s="248"/>
      <c r="BBO78" s="248"/>
      <c r="BBP78" s="248"/>
      <c r="BBQ78" s="248"/>
      <c r="BBR78" s="248"/>
      <c r="BBS78" s="248"/>
      <c r="BBT78" s="248"/>
      <c r="BBU78" s="248"/>
      <c r="BBV78" s="248"/>
      <c r="BBW78" s="248"/>
      <c r="BBX78" s="248"/>
      <c r="BBY78" s="248"/>
      <c r="BBZ78" s="248"/>
      <c r="BCA78" s="248"/>
      <c r="BCB78" s="248"/>
      <c r="BCC78" s="248"/>
      <c r="BCD78" s="248"/>
      <c r="BCE78" s="248"/>
      <c r="BCF78" s="248"/>
      <c r="BCG78" s="248"/>
      <c r="BCH78" s="248"/>
      <c r="BCI78" s="248"/>
      <c r="BCJ78" s="248"/>
      <c r="BCK78" s="248"/>
      <c r="BCL78" s="248"/>
      <c r="BCM78" s="248"/>
      <c r="BCN78" s="248"/>
      <c r="BCO78" s="248"/>
      <c r="BCP78" s="248"/>
      <c r="BCQ78" s="248"/>
      <c r="BCR78" s="248"/>
      <c r="BCS78" s="248"/>
      <c r="BCT78" s="248"/>
      <c r="BCU78" s="248"/>
      <c r="BCV78" s="248"/>
      <c r="BCW78" s="248"/>
      <c r="BCX78" s="248"/>
      <c r="BCY78" s="248"/>
      <c r="BCZ78" s="248"/>
      <c r="BDA78" s="248"/>
      <c r="BDB78" s="248"/>
      <c r="BDC78" s="248"/>
      <c r="BDD78" s="248"/>
      <c r="BDE78" s="248"/>
      <c r="BDF78" s="248"/>
      <c r="BDG78" s="248"/>
      <c r="BDH78" s="248"/>
      <c r="BDI78" s="248"/>
      <c r="BDJ78" s="248"/>
      <c r="BDK78" s="248"/>
      <c r="BDL78" s="248"/>
      <c r="BDM78" s="248"/>
      <c r="BDN78" s="248"/>
      <c r="BDO78" s="248"/>
      <c r="BDP78" s="248"/>
      <c r="BDQ78" s="248"/>
      <c r="BDR78" s="248"/>
      <c r="BDS78" s="248"/>
      <c r="BDT78" s="248"/>
      <c r="BDU78" s="248"/>
      <c r="BDV78" s="248"/>
      <c r="BDW78" s="248"/>
      <c r="BDX78" s="248"/>
      <c r="BDY78" s="248"/>
      <c r="BDZ78" s="248"/>
      <c r="BEA78" s="248"/>
      <c r="BEB78" s="248"/>
      <c r="BEC78" s="248"/>
      <c r="BED78" s="248"/>
      <c r="BEE78" s="248"/>
      <c r="BEF78" s="248"/>
      <c r="BEG78" s="248"/>
      <c r="BEH78" s="248"/>
      <c r="BEI78" s="248"/>
      <c r="BEJ78" s="248"/>
      <c r="BEK78" s="248"/>
      <c r="BEL78" s="248"/>
      <c r="BEM78" s="248"/>
      <c r="BEN78" s="248"/>
      <c r="BEO78" s="248"/>
      <c r="BEP78" s="248"/>
      <c r="BEQ78" s="248"/>
      <c r="BER78" s="248"/>
      <c r="BES78" s="248"/>
      <c r="BET78" s="248"/>
      <c r="BEU78" s="248"/>
      <c r="BEV78" s="248"/>
      <c r="BEW78" s="248"/>
      <c r="BEX78" s="248"/>
      <c r="BEY78" s="248"/>
      <c r="BEZ78" s="248"/>
      <c r="BFA78" s="248"/>
      <c r="BFB78" s="248"/>
      <c r="BFC78" s="248"/>
      <c r="BFD78" s="248"/>
      <c r="BFE78" s="248"/>
      <c r="BFF78" s="248"/>
      <c r="BFG78" s="248"/>
      <c r="BFH78" s="248"/>
      <c r="BFI78" s="248"/>
      <c r="BFJ78" s="248"/>
      <c r="BFK78" s="248"/>
      <c r="BFL78" s="248"/>
      <c r="BFM78" s="248"/>
      <c r="BFN78" s="248"/>
      <c r="BFO78" s="248"/>
      <c r="BFP78" s="248"/>
      <c r="BFQ78" s="248"/>
      <c r="BFR78" s="248"/>
      <c r="BFS78" s="248"/>
      <c r="BFT78" s="248"/>
      <c r="BFU78" s="248"/>
      <c r="BFV78" s="248"/>
      <c r="BFW78" s="248"/>
      <c r="BFX78" s="248"/>
      <c r="BFY78" s="248"/>
      <c r="BFZ78" s="248"/>
      <c r="BGA78" s="248"/>
      <c r="BGB78" s="248"/>
      <c r="BGC78" s="248"/>
      <c r="BGD78" s="248"/>
      <c r="BGE78" s="248"/>
      <c r="BGF78" s="248"/>
      <c r="BGG78" s="248"/>
      <c r="BGH78" s="248"/>
      <c r="BGI78" s="248"/>
      <c r="BGJ78" s="248"/>
      <c r="BGK78" s="248"/>
      <c r="BGL78" s="248"/>
      <c r="BGM78" s="248"/>
      <c r="BGN78" s="248"/>
      <c r="BGO78" s="248"/>
      <c r="BGP78" s="248"/>
      <c r="BGQ78" s="248"/>
      <c r="BGR78" s="248"/>
      <c r="BGS78" s="248"/>
      <c r="BGT78" s="248"/>
      <c r="BGU78" s="248"/>
      <c r="BGV78" s="248"/>
      <c r="BGW78" s="248"/>
      <c r="BGX78" s="248"/>
      <c r="BGY78" s="248"/>
      <c r="BGZ78" s="248"/>
      <c r="BHA78" s="248"/>
      <c r="BHB78" s="248"/>
      <c r="BHC78" s="248"/>
      <c r="BHD78" s="248"/>
      <c r="BHE78" s="248"/>
      <c r="BHF78" s="248"/>
      <c r="BHG78" s="248"/>
      <c r="BHH78" s="248"/>
      <c r="BHI78" s="248"/>
      <c r="BHJ78" s="248"/>
      <c r="BHK78" s="248"/>
      <c r="BHL78" s="248"/>
      <c r="BHM78" s="248"/>
      <c r="BHN78" s="248"/>
      <c r="BHO78" s="248"/>
      <c r="BHP78" s="248"/>
      <c r="BHQ78" s="248"/>
      <c r="BHR78" s="248"/>
      <c r="BHS78" s="248"/>
      <c r="BHT78" s="248"/>
      <c r="BHU78" s="248"/>
      <c r="BHV78" s="248"/>
      <c r="BHW78" s="248"/>
      <c r="BHX78" s="248"/>
      <c r="BHY78" s="248"/>
      <c r="BHZ78" s="248"/>
      <c r="BIA78" s="248"/>
      <c r="BIB78" s="248"/>
      <c r="BIC78" s="248"/>
      <c r="BID78" s="248"/>
      <c r="BIE78" s="248"/>
      <c r="BIF78" s="248"/>
      <c r="BIG78" s="248"/>
      <c r="BIH78" s="248"/>
      <c r="BII78" s="248"/>
      <c r="BIJ78" s="248"/>
      <c r="BIK78" s="248"/>
      <c r="BIL78" s="248"/>
      <c r="BIM78" s="248"/>
      <c r="BIN78" s="248"/>
      <c r="BIO78" s="248"/>
      <c r="BIP78" s="248"/>
      <c r="BIQ78" s="248"/>
      <c r="BIR78" s="248"/>
      <c r="BIS78" s="248"/>
      <c r="BIT78" s="248"/>
      <c r="BIU78" s="248"/>
      <c r="BIV78" s="248"/>
      <c r="BIW78" s="248"/>
      <c r="BIX78" s="248"/>
      <c r="BIY78" s="248"/>
      <c r="BIZ78" s="248"/>
      <c r="BJA78" s="248"/>
      <c r="BJB78" s="248"/>
      <c r="BJC78" s="248"/>
      <c r="BJD78" s="248"/>
      <c r="BJE78" s="248"/>
      <c r="BJF78" s="248"/>
      <c r="BJG78" s="248"/>
      <c r="BJH78" s="248"/>
      <c r="BJI78" s="248"/>
      <c r="BJJ78" s="248"/>
      <c r="BJK78" s="248"/>
      <c r="BJL78" s="248"/>
      <c r="BJM78" s="248"/>
      <c r="BJN78" s="248"/>
      <c r="BJO78" s="248"/>
      <c r="BJP78" s="248"/>
      <c r="BJQ78" s="248"/>
      <c r="BJR78" s="248"/>
      <c r="BJS78" s="248"/>
      <c r="BJT78" s="248"/>
      <c r="BJU78" s="248"/>
      <c r="BJV78" s="248"/>
      <c r="BJW78" s="248"/>
      <c r="BJX78" s="248"/>
      <c r="BJY78" s="248"/>
      <c r="BJZ78" s="248"/>
      <c r="BKA78" s="248"/>
      <c r="BKB78" s="248"/>
      <c r="BKC78" s="248"/>
      <c r="BKD78" s="248"/>
      <c r="BKE78" s="248"/>
      <c r="BKF78" s="248"/>
      <c r="BKG78" s="248"/>
      <c r="BKH78" s="248"/>
      <c r="BKI78" s="248"/>
      <c r="BKJ78" s="248"/>
      <c r="BKK78" s="248"/>
      <c r="BKL78" s="248"/>
      <c r="BKM78" s="248"/>
      <c r="BKN78" s="248"/>
      <c r="BKO78" s="248"/>
      <c r="BKP78" s="248"/>
      <c r="BKQ78" s="248"/>
      <c r="BKR78" s="248"/>
      <c r="BKS78" s="248"/>
      <c r="BKT78" s="248"/>
      <c r="BKU78" s="248"/>
      <c r="BKV78" s="248"/>
    </row>
    <row r="79" spans="1:1660" ht="20.100000000000001" customHeight="1" x14ac:dyDescent="0.25">
      <c r="A79" s="78" t="s">
        <v>26</v>
      </c>
      <c r="B79" s="51"/>
      <c r="C79" s="209"/>
      <c r="D79" s="119" t="str">
        <f t="shared" si="0"/>
        <v>2h 50 min</v>
      </c>
      <c r="E79" s="34">
        <v>34</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73"/>
      <c r="AYA79" s="248"/>
      <c r="AYB79" s="248"/>
      <c r="AYC79" s="248"/>
      <c r="AYD79" s="248"/>
      <c r="AYE79" s="248"/>
      <c r="AYF79" s="248"/>
      <c r="AYG79" s="248"/>
      <c r="AYH79" s="248"/>
      <c r="AYI79" s="248"/>
      <c r="AYJ79" s="248"/>
      <c r="AYK79" s="248"/>
      <c r="AYL79" s="248"/>
      <c r="AYM79" s="248"/>
      <c r="AYN79" s="248"/>
      <c r="AYO79" s="248"/>
      <c r="AYP79" s="248"/>
      <c r="AYQ79" s="248"/>
      <c r="AYR79" s="248"/>
      <c r="AYS79" s="248"/>
      <c r="AYT79" s="248"/>
      <c r="AYU79" s="248"/>
      <c r="AYV79" s="248"/>
      <c r="AYW79" s="248"/>
      <c r="AYX79" s="248"/>
      <c r="AYY79" s="248"/>
      <c r="AYZ79" s="248"/>
      <c r="AZA79" s="248"/>
      <c r="AZB79" s="248"/>
      <c r="AZC79" s="248"/>
      <c r="AZD79" s="248"/>
      <c r="AZE79" s="248"/>
      <c r="AZF79" s="248"/>
      <c r="AZG79" s="248"/>
      <c r="AZH79" s="248"/>
      <c r="AZI79" s="248"/>
      <c r="AZJ79" s="248"/>
      <c r="AZK79" s="248"/>
      <c r="AZL79" s="248"/>
      <c r="AZM79" s="248"/>
      <c r="AZN79" s="248"/>
      <c r="AZO79" s="248"/>
      <c r="AZP79" s="248"/>
      <c r="AZQ79" s="248"/>
      <c r="AZR79" s="248"/>
      <c r="AZS79" s="248"/>
      <c r="AZT79" s="248"/>
      <c r="AZU79" s="248"/>
      <c r="AZV79" s="248"/>
      <c r="AZW79" s="248"/>
      <c r="AZX79" s="248"/>
      <c r="AZY79" s="248"/>
      <c r="AZZ79" s="248"/>
      <c r="BAA79" s="248"/>
      <c r="BAB79" s="248"/>
      <c r="BAC79" s="248"/>
      <c r="BAD79" s="248"/>
      <c r="BAE79" s="248"/>
      <c r="BAF79" s="248"/>
      <c r="BAG79" s="248"/>
      <c r="BAH79" s="248"/>
      <c r="BAI79" s="248"/>
      <c r="BAJ79" s="248"/>
      <c r="BAK79" s="248"/>
      <c r="BAL79" s="248"/>
      <c r="BAM79" s="248"/>
      <c r="BAN79" s="248"/>
      <c r="BAO79" s="248"/>
      <c r="BAP79" s="248"/>
      <c r="BAQ79" s="248"/>
      <c r="BAR79" s="248"/>
      <c r="BAS79" s="248"/>
      <c r="BAT79" s="248"/>
      <c r="BAU79" s="248"/>
      <c r="BAV79" s="248"/>
      <c r="BAW79" s="248"/>
      <c r="BAX79" s="248"/>
      <c r="BAY79" s="248"/>
      <c r="BAZ79" s="248"/>
      <c r="BBA79" s="248"/>
      <c r="BBB79" s="248"/>
      <c r="BBC79" s="248"/>
      <c r="BBD79" s="248"/>
      <c r="BBE79" s="248"/>
      <c r="BBF79" s="248"/>
      <c r="BBG79" s="248"/>
      <c r="BBH79" s="248"/>
      <c r="BBI79" s="248"/>
      <c r="BBJ79" s="248"/>
      <c r="BBK79" s="248"/>
      <c r="BBL79" s="248"/>
      <c r="BBM79" s="248"/>
      <c r="BBN79" s="248"/>
      <c r="BBO79" s="248"/>
      <c r="BBP79" s="248"/>
      <c r="BBQ79" s="248"/>
      <c r="BBR79" s="248"/>
      <c r="BBS79" s="248"/>
      <c r="BBT79" s="248"/>
      <c r="BBU79" s="248"/>
      <c r="BBV79" s="248"/>
      <c r="BBW79" s="248"/>
      <c r="BBX79" s="248"/>
      <c r="BBY79" s="248"/>
      <c r="BBZ79" s="248"/>
      <c r="BCA79" s="248"/>
      <c r="BCB79" s="248"/>
      <c r="BCC79" s="248"/>
      <c r="BCD79" s="248"/>
      <c r="BCE79" s="248"/>
      <c r="BCF79" s="248"/>
      <c r="BCG79" s="248"/>
      <c r="BCH79" s="248"/>
      <c r="BCI79" s="248"/>
      <c r="BCJ79" s="248"/>
      <c r="BCK79" s="248"/>
      <c r="BCL79" s="248"/>
      <c r="BCM79" s="248"/>
      <c r="BCN79" s="248"/>
      <c r="BCO79" s="248"/>
      <c r="BCP79" s="248"/>
      <c r="BCQ79" s="248"/>
      <c r="BCR79" s="248"/>
      <c r="BCS79" s="248"/>
      <c r="BCT79" s="248"/>
      <c r="BCU79" s="248"/>
      <c r="BCV79" s="248"/>
      <c r="BCW79" s="248"/>
      <c r="BCX79" s="248"/>
      <c r="BCY79" s="248"/>
      <c r="BCZ79" s="248"/>
      <c r="BDA79" s="248"/>
      <c r="BDB79" s="248"/>
      <c r="BDC79" s="248"/>
      <c r="BDD79" s="248"/>
      <c r="BDE79" s="248"/>
      <c r="BDF79" s="248"/>
      <c r="BDG79" s="248"/>
      <c r="BDH79" s="248"/>
      <c r="BDI79" s="248"/>
      <c r="BDJ79" s="248"/>
      <c r="BDK79" s="248"/>
      <c r="BDL79" s="248"/>
      <c r="BDM79" s="248"/>
      <c r="BDN79" s="248"/>
      <c r="BDO79" s="248"/>
      <c r="BDP79" s="248"/>
      <c r="BDQ79" s="248"/>
      <c r="BDR79" s="248"/>
      <c r="BDS79" s="248"/>
      <c r="BDT79" s="248"/>
      <c r="BDU79" s="248"/>
      <c r="BDV79" s="248"/>
      <c r="BDW79" s="248"/>
      <c r="BDX79" s="248"/>
      <c r="BDY79" s="248"/>
      <c r="BDZ79" s="248"/>
      <c r="BEA79" s="248"/>
      <c r="BEB79" s="248"/>
      <c r="BEC79" s="248"/>
      <c r="BED79" s="248"/>
      <c r="BEE79" s="248"/>
      <c r="BEF79" s="248"/>
      <c r="BEG79" s="248"/>
      <c r="BEH79" s="248"/>
      <c r="BEI79" s="248"/>
      <c r="BEJ79" s="248"/>
      <c r="BEK79" s="248"/>
      <c r="BEL79" s="248"/>
      <c r="BEM79" s="248"/>
      <c r="BEN79" s="248"/>
      <c r="BEO79" s="248"/>
      <c r="BEP79" s="248"/>
      <c r="BEQ79" s="248"/>
      <c r="BER79" s="248"/>
      <c r="BES79" s="248"/>
      <c r="BET79" s="248"/>
      <c r="BEU79" s="248"/>
      <c r="BEV79" s="248"/>
      <c r="BEW79" s="248"/>
      <c r="BEX79" s="248"/>
      <c r="BEY79" s="248"/>
      <c r="BEZ79" s="248"/>
      <c r="BFA79" s="248"/>
      <c r="BFB79" s="248"/>
      <c r="BFC79" s="248"/>
      <c r="BFD79" s="248"/>
      <c r="BFE79" s="248"/>
      <c r="BFF79" s="248"/>
      <c r="BFG79" s="248"/>
      <c r="BFH79" s="248"/>
      <c r="BFI79" s="248"/>
      <c r="BFJ79" s="248"/>
      <c r="BFK79" s="248"/>
      <c r="BFL79" s="248"/>
      <c r="BFM79" s="248"/>
      <c r="BFN79" s="248"/>
      <c r="BFO79" s="248"/>
      <c r="BFP79" s="248"/>
      <c r="BFQ79" s="248"/>
      <c r="BFR79" s="248"/>
      <c r="BFS79" s="248"/>
      <c r="BFT79" s="248"/>
      <c r="BFU79" s="248"/>
      <c r="BFV79" s="248"/>
      <c r="BFW79" s="248"/>
      <c r="BFX79" s="248"/>
      <c r="BFY79" s="248"/>
      <c r="BFZ79" s="248"/>
      <c r="BGA79" s="248"/>
      <c r="BGB79" s="248"/>
      <c r="BGC79" s="248"/>
      <c r="BGD79" s="248"/>
      <c r="BGE79" s="248"/>
      <c r="BGF79" s="248"/>
      <c r="BGG79" s="248"/>
      <c r="BGH79" s="248"/>
      <c r="BGI79" s="248"/>
      <c r="BGJ79" s="248"/>
      <c r="BGK79" s="248"/>
      <c r="BGL79" s="248"/>
      <c r="BGM79" s="248"/>
      <c r="BGN79" s="248"/>
      <c r="BGO79" s="248"/>
      <c r="BGP79" s="248"/>
      <c r="BGQ79" s="248"/>
      <c r="BGR79" s="248"/>
      <c r="BGS79" s="248"/>
      <c r="BGT79" s="248"/>
      <c r="BGU79" s="248"/>
      <c r="BGV79" s="248"/>
      <c r="BGW79" s="248"/>
      <c r="BGX79" s="248"/>
      <c r="BGY79" s="248"/>
      <c r="BGZ79" s="248"/>
      <c r="BHA79" s="248"/>
      <c r="BHB79" s="248"/>
      <c r="BHC79" s="248"/>
      <c r="BHD79" s="248"/>
      <c r="BHE79" s="248"/>
      <c r="BHF79" s="248"/>
      <c r="BHG79" s="248"/>
      <c r="BHH79" s="248"/>
      <c r="BHI79" s="248"/>
      <c r="BHJ79" s="248"/>
      <c r="BHK79" s="248"/>
      <c r="BHL79" s="248"/>
      <c r="BHM79" s="248"/>
      <c r="BHN79" s="248"/>
      <c r="BHO79" s="248"/>
      <c r="BHP79" s="248"/>
      <c r="BHQ79" s="248"/>
      <c r="BHR79" s="248"/>
      <c r="BHS79" s="248"/>
      <c r="BHT79" s="248"/>
      <c r="BHU79" s="248"/>
      <c r="BHV79" s="248"/>
      <c r="BHW79" s="248"/>
      <c r="BHX79" s="248"/>
      <c r="BHY79" s="248"/>
      <c r="BHZ79" s="248"/>
      <c r="BIA79" s="248"/>
      <c r="BIB79" s="248"/>
      <c r="BIC79" s="248"/>
      <c r="BID79" s="248"/>
      <c r="BIE79" s="248"/>
      <c r="BIF79" s="248"/>
      <c r="BIG79" s="248"/>
      <c r="BIH79" s="248"/>
      <c r="BII79" s="248"/>
      <c r="BIJ79" s="248"/>
      <c r="BIK79" s="248"/>
      <c r="BIL79" s="248"/>
      <c r="BIM79" s="248"/>
      <c r="BIN79" s="248"/>
      <c r="BIO79" s="248"/>
      <c r="BIP79" s="248"/>
      <c r="BIQ79" s="248"/>
      <c r="BIR79" s="248"/>
      <c r="BIS79" s="248"/>
      <c r="BIT79" s="248"/>
      <c r="BIU79" s="248"/>
      <c r="BIV79" s="248"/>
      <c r="BIW79" s="248"/>
      <c r="BIX79" s="248"/>
      <c r="BIY79" s="248"/>
      <c r="BIZ79" s="248"/>
      <c r="BJA79" s="248"/>
      <c r="BJB79" s="248"/>
      <c r="BJC79" s="248"/>
      <c r="BJD79" s="248"/>
      <c r="BJE79" s="248"/>
      <c r="BJF79" s="248"/>
      <c r="BJG79" s="248"/>
      <c r="BJH79" s="248"/>
      <c r="BJI79" s="248"/>
      <c r="BJJ79" s="248"/>
      <c r="BJK79" s="248"/>
      <c r="BJL79" s="248"/>
      <c r="BJM79" s="248"/>
      <c r="BJN79" s="248"/>
    </row>
    <row r="80" spans="1:1660" ht="20.100000000000001" customHeight="1" x14ac:dyDescent="0.3">
      <c r="A80" s="78" t="s">
        <v>28</v>
      </c>
      <c r="B80" s="51"/>
      <c r="C80" s="21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73"/>
      <c r="AYA80" s="248"/>
      <c r="AYB80" s="248"/>
      <c r="AYC80" s="248"/>
      <c r="AYD80" s="248"/>
      <c r="AYE80" s="248"/>
      <c r="AYF80" s="248"/>
      <c r="AYG80" s="248"/>
      <c r="AYH80" s="248"/>
      <c r="AYI80" s="248"/>
      <c r="AYJ80" s="248"/>
      <c r="AYK80" s="248"/>
      <c r="AYL80" s="248"/>
      <c r="AYM80" s="248"/>
      <c r="AYN80" s="248"/>
      <c r="AYO80" s="248"/>
      <c r="AYP80" s="248"/>
      <c r="AYQ80" s="248"/>
      <c r="AYR80" s="248"/>
      <c r="AYS80" s="248"/>
      <c r="AYT80" s="248"/>
      <c r="AYU80" s="248"/>
      <c r="AYV80" s="248"/>
      <c r="AYW80" s="248"/>
      <c r="AYX80" s="248"/>
      <c r="AYY80" s="248"/>
      <c r="AYZ80" s="248"/>
      <c r="AZA80" s="248"/>
      <c r="AZB80" s="248"/>
      <c r="AZC80" s="248"/>
      <c r="AZD80" s="248"/>
      <c r="AZE80" s="248"/>
      <c r="AZF80" s="248"/>
      <c r="AZG80" s="248"/>
      <c r="AZH80" s="248"/>
      <c r="AZI80" s="248"/>
      <c r="AZJ80" s="248"/>
      <c r="AZK80" s="248"/>
      <c r="AZL80" s="248"/>
      <c r="AZM80" s="248"/>
      <c r="AZN80" s="248"/>
      <c r="AZO80" s="248"/>
      <c r="AZP80" s="248"/>
      <c r="AZQ80" s="248"/>
      <c r="AZR80" s="248"/>
      <c r="AZS80" s="248"/>
      <c r="AZT80" s="248"/>
      <c r="AZU80" s="248"/>
      <c r="AZV80" s="248"/>
      <c r="AZW80" s="248"/>
      <c r="AZX80" s="248"/>
      <c r="AZY80" s="248"/>
      <c r="AZZ80" s="248"/>
      <c r="BAA80" s="248"/>
      <c r="BAB80" s="248"/>
      <c r="BAC80" s="248"/>
      <c r="BAD80" s="248"/>
      <c r="BAE80" s="248"/>
      <c r="BAF80" s="248"/>
      <c r="BAG80" s="248"/>
      <c r="BAH80" s="248"/>
      <c r="BAI80" s="248"/>
      <c r="BAJ80" s="248"/>
      <c r="BAK80" s="248"/>
      <c r="BAL80" s="248"/>
      <c r="BAM80" s="248"/>
      <c r="BAN80" s="248"/>
      <c r="BAO80" s="248"/>
      <c r="BAP80" s="248"/>
      <c r="BAQ80" s="248"/>
      <c r="BAR80" s="248"/>
      <c r="BAS80" s="248"/>
      <c r="BAT80" s="248"/>
      <c r="BAU80" s="248"/>
      <c r="BAV80" s="248"/>
      <c r="BAW80" s="248"/>
      <c r="BAX80" s="248"/>
      <c r="BAY80" s="248"/>
      <c r="BAZ80" s="248"/>
      <c r="BBA80" s="248"/>
      <c r="BBB80" s="248"/>
      <c r="BBC80" s="248"/>
      <c r="BBD80" s="248"/>
      <c r="BBE80" s="248"/>
      <c r="BBF80" s="248"/>
      <c r="BBG80" s="248"/>
      <c r="BBH80" s="248"/>
      <c r="BBI80" s="248"/>
      <c r="BBJ80" s="248"/>
      <c r="BBK80" s="248"/>
      <c r="BBL80" s="248"/>
      <c r="BBM80" s="248"/>
      <c r="BBN80" s="248"/>
      <c r="BBO80" s="248"/>
      <c r="BBP80" s="248"/>
      <c r="BBQ80" s="248"/>
      <c r="BBR80" s="248"/>
      <c r="BBS80" s="248"/>
      <c r="BBT80" s="248"/>
      <c r="BBU80" s="248"/>
      <c r="BBV80" s="248"/>
      <c r="BBW80" s="248"/>
      <c r="BBX80" s="248"/>
      <c r="BBY80" s="248"/>
      <c r="BBZ80" s="248"/>
      <c r="BCA80" s="248"/>
      <c r="BCB80" s="248"/>
      <c r="BCC80" s="248"/>
      <c r="BCD80" s="248"/>
      <c r="BCE80" s="248"/>
      <c r="BCF80" s="248"/>
      <c r="BCG80" s="248"/>
      <c r="BCH80" s="248"/>
      <c r="BCI80" s="248"/>
      <c r="BCJ80" s="248"/>
      <c r="BCK80" s="248"/>
      <c r="BCL80" s="248"/>
      <c r="BCM80" s="248"/>
      <c r="BCN80" s="248"/>
      <c r="BCO80" s="248"/>
      <c r="BCP80" s="248"/>
      <c r="BCQ80" s="248"/>
      <c r="BCR80" s="248"/>
      <c r="BCS80" s="248"/>
      <c r="BCT80" s="248"/>
      <c r="BCU80" s="248"/>
      <c r="BCV80" s="248"/>
      <c r="BCW80" s="248"/>
      <c r="BCX80" s="248"/>
      <c r="BCY80" s="248"/>
      <c r="BCZ80" s="248"/>
      <c r="BDA80" s="248"/>
      <c r="BDB80" s="248"/>
      <c r="BDC80" s="248"/>
      <c r="BDD80" s="248"/>
      <c r="BDE80" s="248"/>
      <c r="BDF80" s="248"/>
      <c r="BDG80" s="248"/>
      <c r="BDH80" s="248"/>
      <c r="BDI80" s="248"/>
      <c r="BDJ80" s="248"/>
      <c r="BDK80" s="248"/>
      <c r="BDL80" s="248"/>
      <c r="BDM80" s="248"/>
      <c r="BDN80" s="248"/>
      <c r="BDO80" s="248"/>
      <c r="BDP80" s="248"/>
      <c r="BDQ80" s="248"/>
      <c r="BDR80" s="248"/>
      <c r="BDS80" s="248"/>
      <c r="BDT80" s="248"/>
      <c r="BDU80" s="248"/>
      <c r="BDV80" s="248"/>
      <c r="BDW80" s="248"/>
      <c r="BDX80" s="248"/>
      <c r="BDY80" s="248"/>
      <c r="BDZ80" s="248"/>
      <c r="BEA80" s="248"/>
      <c r="BEB80" s="248"/>
      <c r="BEC80" s="248"/>
      <c r="BED80" s="248"/>
      <c r="BEE80" s="248"/>
      <c r="BEF80" s="248"/>
      <c r="BEG80" s="248"/>
      <c r="BEH80" s="248"/>
      <c r="BEI80" s="248"/>
      <c r="BEJ80" s="248"/>
      <c r="BEK80" s="248"/>
      <c r="BEL80" s="248"/>
      <c r="BEM80" s="248"/>
      <c r="BEN80" s="248"/>
      <c r="BEO80" s="248"/>
      <c r="BEP80" s="248"/>
      <c r="BEQ80" s="248"/>
      <c r="BER80" s="248"/>
      <c r="BES80" s="248"/>
      <c r="BET80" s="248"/>
      <c r="BEU80" s="248"/>
      <c r="BEV80" s="248"/>
      <c r="BEW80" s="248"/>
      <c r="BEX80" s="248"/>
      <c r="BEY80" s="248"/>
      <c r="BEZ80" s="248"/>
      <c r="BFA80" s="248"/>
      <c r="BFB80" s="248"/>
      <c r="BFC80" s="248"/>
      <c r="BFD80" s="248"/>
      <c r="BFE80" s="248"/>
      <c r="BFF80" s="248"/>
      <c r="BFG80" s="248"/>
      <c r="BFH80" s="248"/>
      <c r="BFI80" s="248"/>
      <c r="BFJ80" s="248"/>
      <c r="BFK80" s="248"/>
      <c r="BFL80" s="248"/>
      <c r="BFM80" s="248"/>
      <c r="BFN80" s="248"/>
      <c r="BFO80" s="248"/>
      <c r="BFP80" s="248"/>
      <c r="BFQ80" s="248"/>
      <c r="BFR80" s="248"/>
      <c r="BFS80" s="248"/>
      <c r="BFT80" s="248"/>
      <c r="BFU80" s="248"/>
      <c r="BFV80" s="248"/>
      <c r="BFW80" s="248"/>
      <c r="BFX80" s="248"/>
      <c r="BFY80" s="248"/>
      <c r="BFZ80" s="248"/>
      <c r="BGA80" s="248"/>
      <c r="BGB80" s="248"/>
      <c r="BGC80" s="248"/>
      <c r="BGD80" s="248"/>
      <c r="BGE80" s="248"/>
      <c r="BGF80" s="248"/>
      <c r="BGG80" s="248"/>
      <c r="BGH80" s="248"/>
      <c r="BGI80" s="248"/>
      <c r="BGJ80" s="248"/>
      <c r="BGK80" s="248"/>
      <c r="BGL80" s="248"/>
      <c r="BGM80" s="248"/>
      <c r="BGN80" s="248"/>
      <c r="BGO80" s="248"/>
      <c r="BGP80" s="248"/>
      <c r="BGQ80" s="248"/>
      <c r="BGR80" s="248"/>
      <c r="BGS80" s="248"/>
      <c r="BGT80" s="248"/>
      <c r="BGU80" s="248"/>
      <c r="BGV80" s="248"/>
      <c r="BGW80" s="248"/>
      <c r="BGX80" s="248"/>
      <c r="BGY80" s="248"/>
      <c r="BGZ80" s="248"/>
      <c r="BHA80" s="248"/>
      <c r="BHB80" s="248"/>
      <c r="BHC80" s="248"/>
      <c r="BHD80" s="248"/>
      <c r="BHE80" s="248"/>
      <c r="BHF80" s="248"/>
      <c r="BHG80" s="248"/>
      <c r="BHH80" s="248"/>
      <c r="BHI80" s="248"/>
      <c r="BHJ80" s="248"/>
      <c r="BHK80" s="248"/>
      <c r="BHL80" s="248"/>
      <c r="BHM80" s="248"/>
      <c r="BHN80" s="248"/>
      <c r="BHO80" s="248"/>
      <c r="BHP80" s="248"/>
      <c r="BHQ80" s="248"/>
      <c r="BHR80" s="248"/>
      <c r="BHS80" s="248"/>
      <c r="BHT80" s="248"/>
      <c r="BHU80" s="248"/>
      <c r="BHV80" s="248"/>
      <c r="BHW80" s="248"/>
      <c r="BHX80" s="248"/>
      <c r="BHY80" s="248"/>
      <c r="BHZ80" s="248"/>
      <c r="BIA80" s="248"/>
      <c r="BIB80" s="248"/>
      <c r="BIC80" s="248"/>
      <c r="BID80" s="248"/>
      <c r="BIE80" s="248"/>
      <c r="BIF80" s="248"/>
      <c r="BIG80" s="248"/>
      <c r="BIH80" s="248"/>
      <c r="BII80" s="248"/>
      <c r="BIJ80" s="248"/>
      <c r="BIK80" s="248"/>
      <c r="BIL80" s="248"/>
      <c r="BIM80" s="248"/>
      <c r="BIN80" s="248"/>
      <c r="BIO80" s="248"/>
      <c r="BIP80" s="248"/>
      <c r="BIQ80" s="248"/>
      <c r="BIR80" s="248"/>
      <c r="BIS80" s="248"/>
      <c r="BIT80" s="248"/>
      <c r="BIU80" s="248"/>
      <c r="BIV80" s="248"/>
      <c r="BIW80" s="248"/>
      <c r="BIX80" s="248"/>
      <c r="BIY80" s="248"/>
      <c r="BIZ80" s="248"/>
      <c r="BJA80" s="248"/>
      <c r="BJB80" s="248"/>
      <c r="BJC80" s="248"/>
      <c r="BJD80" s="248"/>
      <c r="BJE80" s="248"/>
      <c r="BJF80" s="248"/>
      <c r="BJG80" s="248"/>
      <c r="BJH80" s="248"/>
      <c r="BJI80" s="248"/>
      <c r="BJJ80" s="248"/>
      <c r="BJK80" s="248"/>
      <c r="BJL80" s="248"/>
      <c r="BJM80" s="248"/>
      <c r="BJN80" s="248"/>
      <c r="BJO80" s="248"/>
      <c r="BJP80" s="248"/>
      <c r="BJQ80" s="248"/>
      <c r="BJR80" s="248"/>
      <c r="BJS80" s="248"/>
      <c r="BJT80" s="248"/>
      <c r="BJU80" s="248"/>
      <c r="BJV80" s="248"/>
      <c r="BJW80" s="248"/>
      <c r="BJX80" s="248"/>
      <c r="BJY80" s="248"/>
      <c r="BJZ80" s="248"/>
      <c r="BKA80" s="248"/>
      <c r="BKB80" s="248"/>
      <c r="BKC80" s="248"/>
      <c r="BKD80" s="248"/>
      <c r="BKE80" s="248"/>
      <c r="BKF80" s="248"/>
      <c r="BKG80" s="248"/>
      <c r="BKH80" s="248"/>
      <c r="BKI80" s="248"/>
      <c r="BKJ80" s="248"/>
      <c r="BKK80" s="248"/>
      <c r="BKL80" s="248"/>
      <c r="BKM80" s="248"/>
      <c r="BKN80" s="248"/>
      <c r="BKO80" s="248"/>
      <c r="BKP80" s="248"/>
      <c r="BKQ80" s="248"/>
      <c r="BKR80" s="248"/>
      <c r="BKS80" s="248"/>
      <c r="BKT80" s="248"/>
      <c r="BKU80" s="248"/>
      <c r="BKV80" s="248"/>
    </row>
    <row r="81" spans="1:1660" ht="20.100000000000001" customHeight="1" x14ac:dyDescent="0.25">
      <c r="A81" s="78" t="s">
        <v>26</v>
      </c>
      <c r="B81" s="51"/>
      <c r="C81" s="209"/>
      <c r="D81" s="119" t="str">
        <f t="shared" si="1"/>
        <v>2h 50 min</v>
      </c>
      <c r="E81" s="26">
        <v>34</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73"/>
      <c r="AYA81" s="248"/>
      <c r="AYB81" s="248"/>
      <c r="AYC81" s="248"/>
      <c r="AYD81" s="248"/>
      <c r="AYE81" s="248"/>
      <c r="AYF81" s="248"/>
      <c r="AYG81" s="248"/>
      <c r="AYH81" s="248"/>
      <c r="AYI81" s="248"/>
      <c r="AYJ81" s="248"/>
      <c r="AYK81" s="248"/>
      <c r="AYL81" s="248"/>
      <c r="AYM81" s="248"/>
      <c r="AYN81" s="248"/>
      <c r="AYO81" s="248"/>
      <c r="AYP81" s="248"/>
      <c r="AYQ81" s="248"/>
      <c r="AYR81" s="248"/>
      <c r="AYS81" s="248"/>
      <c r="AYT81" s="248"/>
      <c r="AYU81" s="248"/>
      <c r="AYV81" s="248"/>
      <c r="AYW81" s="248"/>
      <c r="AYX81" s="248"/>
      <c r="AYY81" s="248"/>
      <c r="AYZ81" s="248"/>
      <c r="AZA81" s="248"/>
      <c r="AZB81" s="248"/>
      <c r="AZC81" s="248"/>
      <c r="AZD81" s="248"/>
      <c r="AZE81" s="248"/>
      <c r="AZF81" s="248"/>
      <c r="AZG81" s="248"/>
      <c r="AZH81" s="248"/>
      <c r="AZI81" s="248"/>
      <c r="AZJ81" s="248"/>
      <c r="AZK81" s="248"/>
      <c r="AZL81" s="248"/>
      <c r="AZM81" s="248"/>
      <c r="AZN81" s="248"/>
      <c r="AZO81" s="248"/>
      <c r="AZP81" s="248"/>
      <c r="AZQ81" s="248"/>
      <c r="AZR81" s="248"/>
      <c r="AZS81" s="248"/>
      <c r="AZT81" s="248"/>
      <c r="AZU81" s="248"/>
      <c r="AZV81" s="248"/>
      <c r="AZW81" s="248"/>
      <c r="AZX81" s="248"/>
      <c r="AZY81" s="248"/>
      <c r="AZZ81" s="248"/>
      <c r="BAA81" s="248"/>
      <c r="BAB81" s="248"/>
      <c r="BAC81" s="248"/>
      <c r="BAD81" s="248"/>
      <c r="BAE81" s="248"/>
      <c r="BAF81" s="248"/>
      <c r="BAG81" s="248"/>
      <c r="BAH81" s="248"/>
      <c r="BAI81" s="248"/>
      <c r="BAJ81" s="248"/>
      <c r="BAK81" s="248"/>
      <c r="BAL81" s="248"/>
      <c r="BAM81" s="248"/>
      <c r="BAN81" s="248"/>
      <c r="BAO81" s="248"/>
      <c r="BAP81" s="248"/>
      <c r="BAQ81" s="248"/>
      <c r="BAR81" s="248"/>
      <c r="BAS81" s="248"/>
      <c r="BAT81" s="248"/>
      <c r="BAU81" s="248"/>
      <c r="BAV81" s="248"/>
      <c r="BAW81" s="248"/>
      <c r="BAX81" s="248"/>
      <c r="BAY81" s="248"/>
      <c r="BAZ81" s="248"/>
      <c r="BBA81" s="248"/>
      <c r="BBB81" s="248"/>
      <c r="BBC81" s="248"/>
      <c r="BBD81" s="248"/>
      <c r="BBE81" s="248"/>
      <c r="BBF81" s="248"/>
      <c r="BBG81" s="248"/>
      <c r="BBH81" s="248"/>
      <c r="BBI81" s="248"/>
      <c r="BBJ81" s="248"/>
      <c r="BBK81" s="248"/>
      <c r="BBL81" s="248"/>
      <c r="BBM81" s="248"/>
      <c r="BBN81" s="248"/>
      <c r="BBO81" s="248"/>
      <c r="BBP81" s="248"/>
      <c r="BBQ81" s="248"/>
      <c r="BBR81" s="248"/>
      <c r="BBS81" s="248"/>
      <c r="BBT81" s="248"/>
      <c r="BBU81" s="248"/>
      <c r="BBV81" s="248"/>
      <c r="BBW81" s="248"/>
      <c r="BBX81" s="248"/>
      <c r="BBY81" s="248"/>
      <c r="BBZ81" s="248"/>
      <c r="BCA81" s="248"/>
      <c r="BCB81" s="248"/>
      <c r="BCC81" s="248"/>
      <c r="BCD81" s="248"/>
      <c r="BCE81" s="248"/>
      <c r="BCF81" s="248"/>
      <c r="BCG81" s="248"/>
      <c r="BCH81" s="248"/>
      <c r="BCI81" s="248"/>
      <c r="BCJ81" s="248"/>
      <c r="BCK81" s="248"/>
      <c r="BCL81" s="248"/>
      <c r="BCM81" s="248"/>
      <c r="BCN81" s="248"/>
      <c r="BCO81" s="248"/>
      <c r="BCP81" s="248"/>
      <c r="BCQ81" s="248"/>
      <c r="BCR81" s="248"/>
      <c r="BCS81" s="248"/>
      <c r="BCT81" s="248"/>
      <c r="BCU81" s="248"/>
      <c r="BCV81" s="248"/>
      <c r="BCW81" s="248"/>
      <c r="BCX81" s="248"/>
      <c r="BCY81" s="248"/>
      <c r="BCZ81" s="248"/>
      <c r="BDA81" s="248"/>
      <c r="BDB81" s="248"/>
      <c r="BDC81" s="248"/>
      <c r="BDD81" s="248"/>
      <c r="BDE81" s="248"/>
      <c r="BDF81" s="248"/>
      <c r="BDG81" s="248"/>
      <c r="BDH81" s="248"/>
      <c r="BDI81" s="248"/>
      <c r="BDJ81" s="248"/>
      <c r="BDK81" s="248"/>
      <c r="BDL81" s="248"/>
      <c r="BDM81" s="248"/>
      <c r="BDN81" s="248"/>
      <c r="BDO81" s="248"/>
      <c r="BDP81" s="248"/>
      <c r="BDQ81" s="248"/>
      <c r="BDR81" s="248"/>
      <c r="BDS81" s="248"/>
      <c r="BDT81" s="248"/>
      <c r="BDU81" s="248"/>
      <c r="BDV81" s="248"/>
      <c r="BDW81" s="248"/>
      <c r="BDX81" s="248"/>
      <c r="BDY81" s="248"/>
      <c r="BDZ81" s="248"/>
      <c r="BEA81" s="248"/>
      <c r="BEB81" s="248"/>
      <c r="BEC81" s="248"/>
      <c r="BED81" s="248"/>
      <c r="BEE81" s="248"/>
      <c r="BEF81" s="248"/>
      <c r="BEG81" s="248"/>
      <c r="BEH81" s="248"/>
      <c r="BEI81" s="248"/>
      <c r="BEJ81" s="248"/>
      <c r="BEK81" s="248"/>
      <c r="BEL81" s="248"/>
      <c r="BEM81" s="248"/>
      <c r="BEN81" s="248"/>
      <c r="BEO81" s="248"/>
      <c r="BEP81" s="248"/>
      <c r="BEQ81" s="248"/>
      <c r="BER81" s="248"/>
      <c r="BES81" s="248"/>
      <c r="BET81" s="248"/>
      <c r="BEU81" s="248"/>
      <c r="BEV81" s="248"/>
      <c r="BEW81" s="248"/>
      <c r="BEX81" s="248"/>
      <c r="BEY81" s="248"/>
      <c r="BEZ81" s="248"/>
      <c r="BFA81" s="248"/>
      <c r="BFB81" s="248"/>
      <c r="BFC81" s="248"/>
      <c r="BFD81" s="248"/>
      <c r="BFE81" s="248"/>
      <c r="BFF81" s="248"/>
      <c r="BFG81" s="248"/>
      <c r="BFH81" s="248"/>
      <c r="BFI81" s="248"/>
      <c r="BFJ81" s="248"/>
      <c r="BFK81" s="248"/>
      <c r="BFL81" s="248"/>
      <c r="BFM81" s="248"/>
      <c r="BFN81" s="248"/>
      <c r="BFO81" s="248"/>
      <c r="BFP81" s="248"/>
      <c r="BFQ81" s="248"/>
      <c r="BFR81" s="248"/>
      <c r="BFS81" s="248"/>
      <c r="BFT81" s="248"/>
      <c r="BFU81" s="248"/>
      <c r="BFV81" s="248"/>
      <c r="BFW81" s="248"/>
      <c r="BFX81" s="248"/>
      <c r="BFY81" s="248"/>
      <c r="BFZ81" s="248"/>
      <c r="BGA81" s="248"/>
      <c r="BGB81" s="248"/>
      <c r="BGC81" s="248"/>
      <c r="BGD81" s="248"/>
      <c r="BGE81" s="248"/>
      <c r="BGF81" s="248"/>
      <c r="BGG81" s="248"/>
      <c r="BGH81" s="248"/>
      <c r="BGI81" s="248"/>
      <c r="BGJ81" s="248"/>
      <c r="BGK81" s="248"/>
      <c r="BGL81" s="248"/>
      <c r="BGM81" s="248"/>
      <c r="BGN81" s="248"/>
      <c r="BGO81" s="248"/>
      <c r="BGP81" s="248"/>
      <c r="BGQ81" s="248"/>
      <c r="BGR81" s="248"/>
      <c r="BGS81" s="248"/>
      <c r="BGT81" s="248"/>
      <c r="BGU81" s="248"/>
      <c r="BGV81" s="248"/>
      <c r="BGW81" s="248"/>
      <c r="BGX81" s="248"/>
      <c r="BGY81" s="248"/>
      <c r="BGZ81" s="248"/>
      <c r="BHA81" s="248"/>
      <c r="BHB81" s="248"/>
      <c r="BHC81" s="248"/>
      <c r="BHD81" s="248"/>
      <c r="BHE81" s="248"/>
      <c r="BHF81" s="248"/>
      <c r="BHG81" s="248"/>
      <c r="BHH81" s="248"/>
      <c r="BHI81" s="248"/>
      <c r="BHJ81" s="248"/>
      <c r="BHK81" s="248"/>
      <c r="BHL81" s="248"/>
      <c r="BHM81" s="248"/>
      <c r="BHN81" s="248"/>
      <c r="BHO81" s="248"/>
      <c r="BHP81" s="248"/>
      <c r="BHQ81" s="248"/>
      <c r="BHR81" s="248"/>
      <c r="BHS81" s="248"/>
      <c r="BHT81" s="248"/>
      <c r="BHU81" s="248"/>
      <c r="BHV81" s="248"/>
      <c r="BHW81" s="248"/>
      <c r="BHX81" s="248"/>
      <c r="BHY81" s="248"/>
      <c r="BHZ81" s="248"/>
      <c r="BIA81" s="248"/>
      <c r="BIB81" s="248"/>
      <c r="BIC81" s="248"/>
      <c r="BID81" s="248"/>
      <c r="BIE81" s="248"/>
      <c r="BIF81" s="248"/>
      <c r="BIG81" s="248"/>
      <c r="BIH81" s="248"/>
      <c r="BII81" s="248"/>
      <c r="BIJ81" s="248"/>
      <c r="BIK81" s="248"/>
      <c r="BIL81" s="248"/>
      <c r="BIM81" s="248"/>
      <c r="BIN81" s="248"/>
      <c r="BIO81" s="248"/>
      <c r="BIP81" s="248"/>
      <c r="BIQ81" s="248"/>
      <c r="BIR81" s="248"/>
      <c r="BIS81" s="248"/>
      <c r="BIT81" s="248"/>
      <c r="BIU81" s="248"/>
      <c r="BIV81" s="248"/>
      <c r="BIW81" s="248"/>
      <c r="BIX81" s="248"/>
      <c r="BIY81" s="248"/>
      <c r="BIZ81" s="248"/>
      <c r="BJA81" s="248"/>
      <c r="BJB81" s="248"/>
      <c r="BJC81" s="248"/>
      <c r="BJD81" s="248"/>
      <c r="BJE81" s="248"/>
      <c r="BJF81" s="248"/>
      <c r="BJG81" s="248"/>
      <c r="BJH81" s="248"/>
      <c r="BJI81" s="248"/>
      <c r="BJJ81" s="248"/>
      <c r="BJK81" s="248"/>
      <c r="BJL81" s="248"/>
      <c r="BJM81" s="248"/>
      <c r="BJN81" s="248"/>
    </row>
    <row r="82" spans="1:1660" ht="20.100000000000001" customHeight="1" x14ac:dyDescent="0.3">
      <c r="A82" s="78" t="s">
        <v>28</v>
      </c>
      <c r="B82" s="51"/>
      <c r="C82" s="21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73"/>
      <c r="AYA82" s="248"/>
      <c r="AYB82" s="248"/>
      <c r="AYC82" s="248"/>
      <c r="AYD82" s="248"/>
      <c r="AYE82" s="248"/>
      <c r="AYF82" s="248"/>
      <c r="AYG82" s="248"/>
      <c r="AYH82" s="248"/>
      <c r="AYI82" s="248"/>
      <c r="AYJ82" s="248"/>
      <c r="AYK82" s="248"/>
      <c r="AYL82" s="248"/>
      <c r="AYM82" s="248"/>
      <c r="AYN82" s="248"/>
      <c r="AYO82" s="248"/>
      <c r="AYP82" s="248"/>
      <c r="AYQ82" s="248"/>
      <c r="AYR82" s="248"/>
      <c r="AYS82" s="248"/>
      <c r="AYT82" s="248"/>
      <c r="AYU82" s="248"/>
      <c r="AYV82" s="248"/>
      <c r="AYW82" s="248"/>
      <c r="AYX82" s="248"/>
      <c r="AYY82" s="248"/>
      <c r="AYZ82" s="248"/>
      <c r="AZA82" s="248"/>
      <c r="AZB82" s="248"/>
      <c r="AZC82" s="248"/>
      <c r="AZD82" s="248"/>
      <c r="AZE82" s="248"/>
      <c r="AZF82" s="248"/>
      <c r="AZG82" s="248"/>
      <c r="AZH82" s="248"/>
      <c r="AZI82" s="248"/>
      <c r="AZJ82" s="248"/>
      <c r="AZK82" s="248"/>
      <c r="AZL82" s="248"/>
      <c r="AZM82" s="248"/>
      <c r="AZN82" s="248"/>
      <c r="AZO82" s="248"/>
      <c r="AZP82" s="248"/>
      <c r="AZQ82" s="248"/>
      <c r="AZR82" s="248"/>
      <c r="AZS82" s="248"/>
      <c r="AZT82" s="248"/>
      <c r="AZU82" s="248"/>
      <c r="AZV82" s="248"/>
      <c r="AZW82" s="248"/>
      <c r="AZX82" s="248"/>
      <c r="AZY82" s="248"/>
      <c r="AZZ82" s="248"/>
      <c r="BAA82" s="248"/>
      <c r="BAB82" s="248"/>
      <c r="BAC82" s="248"/>
      <c r="BAD82" s="248"/>
      <c r="BAE82" s="248"/>
      <c r="BAF82" s="248"/>
      <c r="BAG82" s="248"/>
      <c r="BAH82" s="248"/>
      <c r="BAI82" s="248"/>
      <c r="BAJ82" s="248"/>
      <c r="BAK82" s="248"/>
      <c r="BAL82" s="248"/>
      <c r="BAM82" s="248"/>
      <c r="BAN82" s="248"/>
      <c r="BAO82" s="248"/>
      <c r="BAP82" s="248"/>
      <c r="BAQ82" s="248"/>
      <c r="BAR82" s="248"/>
      <c r="BAS82" s="248"/>
      <c r="BAT82" s="248"/>
      <c r="BAU82" s="248"/>
      <c r="BAV82" s="248"/>
      <c r="BAW82" s="248"/>
      <c r="BAX82" s="248"/>
      <c r="BAY82" s="248"/>
      <c r="BAZ82" s="248"/>
      <c r="BBA82" s="248"/>
      <c r="BBB82" s="248"/>
      <c r="BBC82" s="248"/>
      <c r="BBD82" s="248"/>
      <c r="BBE82" s="248"/>
      <c r="BBF82" s="248"/>
      <c r="BBG82" s="248"/>
      <c r="BBH82" s="248"/>
      <c r="BBI82" s="248"/>
      <c r="BBJ82" s="248"/>
      <c r="BBK82" s="248"/>
      <c r="BBL82" s="248"/>
      <c r="BBM82" s="248"/>
      <c r="BBN82" s="248"/>
      <c r="BBO82" s="248"/>
      <c r="BBP82" s="248"/>
      <c r="BBQ82" s="248"/>
      <c r="BBR82" s="248"/>
      <c r="BBS82" s="248"/>
      <c r="BBT82" s="248"/>
      <c r="BBU82" s="248"/>
      <c r="BBV82" s="248"/>
      <c r="BBW82" s="248"/>
      <c r="BBX82" s="248"/>
      <c r="BBY82" s="248"/>
      <c r="BBZ82" s="248"/>
      <c r="BCA82" s="248"/>
      <c r="BCB82" s="248"/>
      <c r="BCC82" s="248"/>
      <c r="BCD82" s="248"/>
      <c r="BCE82" s="248"/>
      <c r="BCF82" s="248"/>
      <c r="BCG82" s="248"/>
      <c r="BCH82" s="248"/>
      <c r="BCI82" s="248"/>
      <c r="BCJ82" s="248"/>
      <c r="BCK82" s="248"/>
      <c r="BCL82" s="248"/>
      <c r="BCM82" s="248"/>
      <c r="BCN82" s="248"/>
      <c r="BCO82" s="248"/>
      <c r="BCP82" s="248"/>
      <c r="BCQ82" s="248"/>
      <c r="BCR82" s="248"/>
      <c r="BCS82" s="248"/>
      <c r="BCT82" s="248"/>
      <c r="BCU82" s="248"/>
      <c r="BCV82" s="248"/>
      <c r="BCW82" s="248"/>
      <c r="BCX82" s="248"/>
      <c r="BCY82" s="248"/>
      <c r="BCZ82" s="248"/>
      <c r="BDA82" s="248"/>
      <c r="BDB82" s="248"/>
      <c r="BDC82" s="248"/>
      <c r="BDD82" s="248"/>
      <c r="BDE82" s="248"/>
      <c r="BDF82" s="248"/>
      <c r="BDG82" s="248"/>
      <c r="BDH82" s="248"/>
      <c r="BDI82" s="248"/>
      <c r="BDJ82" s="248"/>
      <c r="BDK82" s="248"/>
      <c r="BDL82" s="248"/>
      <c r="BDM82" s="248"/>
      <c r="BDN82" s="248"/>
      <c r="BDO82" s="248"/>
      <c r="BDP82" s="248"/>
      <c r="BDQ82" s="248"/>
      <c r="BDR82" s="248"/>
      <c r="BDS82" s="248"/>
      <c r="BDT82" s="248"/>
      <c r="BDU82" s="248"/>
      <c r="BDV82" s="248"/>
      <c r="BDW82" s="248"/>
      <c r="BDX82" s="248"/>
      <c r="BDY82" s="248"/>
      <c r="BDZ82" s="248"/>
      <c r="BEA82" s="248"/>
      <c r="BEB82" s="248"/>
      <c r="BEC82" s="248"/>
      <c r="BED82" s="248"/>
      <c r="BEE82" s="248"/>
      <c r="BEF82" s="248"/>
      <c r="BEG82" s="248"/>
      <c r="BEH82" s="248"/>
      <c r="BEI82" s="248"/>
      <c r="BEJ82" s="248"/>
      <c r="BEK82" s="248"/>
      <c r="BEL82" s="248"/>
      <c r="BEM82" s="248"/>
      <c r="BEN82" s="248"/>
      <c r="BEO82" s="248"/>
      <c r="BEP82" s="248"/>
      <c r="BEQ82" s="248"/>
      <c r="BER82" s="248"/>
      <c r="BES82" s="248"/>
      <c r="BET82" s="248"/>
      <c r="BEU82" s="248"/>
      <c r="BEV82" s="248"/>
      <c r="BEW82" s="248"/>
      <c r="BEX82" s="248"/>
      <c r="BEY82" s="248"/>
      <c r="BEZ82" s="248"/>
      <c r="BFA82" s="248"/>
      <c r="BFB82" s="248"/>
      <c r="BFC82" s="248"/>
      <c r="BFD82" s="248"/>
      <c r="BFE82" s="248"/>
      <c r="BFF82" s="248"/>
      <c r="BFG82" s="248"/>
      <c r="BFH82" s="248"/>
      <c r="BFI82" s="248"/>
      <c r="BFJ82" s="248"/>
      <c r="BFK82" s="248"/>
      <c r="BFL82" s="248"/>
      <c r="BFM82" s="248"/>
      <c r="BFN82" s="248"/>
      <c r="BFO82" s="248"/>
      <c r="BFP82" s="248"/>
      <c r="BFQ82" s="248"/>
      <c r="BFR82" s="248"/>
      <c r="BFS82" s="248"/>
      <c r="BFT82" s="248"/>
      <c r="BFU82" s="248"/>
      <c r="BFV82" s="248"/>
      <c r="BFW82" s="248"/>
      <c r="BFX82" s="248"/>
      <c r="BFY82" s="248"/>
      <c r="BFZ82" s="248"/>
      <c r="BGA82" s="248"/>
      <c r="BGB82" s="248"/>
      <c r="BGC82" s="248"/>
      <c r="BGD82" s="248"/>
      <c r="BGE82" s="248"/>
      <c r="BGF82" s="248"/>
      <c r="BGG82" s="248"/>
      <c r="BGH82" s="248"/>
      <c r="BGI82" s="248"/>
      <c r="BGJ82" s="248"/>
      <c r="BGK82" s="248"/>
      <c r="BGL82" s="248"/>
      <c r="BGM82" s="248"/>
      <c r="BGN82" s="248"/>
      <c r="BGO82" s="248"/>
      <c r="BGP82" s="248"/>
      <c r="BGQ82" s="248"/>
      <c r="BGR82" s="248"/>
      <c r="BGS82" s="248"/>
      <c r="BGT82" s="248"/>
      <c r="BGU82" s="248"/>
      <c r="BGV82" s="248"/>
      <c r="BGW82" s="248"/>
      <c r="BGX82" s="248"/>
      <c r="BGY82" s="248"/>
      <c r="BGZ82" s="248"/>
      <c r="BHA82" s="248"/>
      <c r="BHB82" s="248"/>
      <c r="BHC82" s="248"/>
      <c r="BHD82" s="248"/>
      <c r="BHE82" s="248"/>
      <c r="BHF82" s="248"/>
      <c r="BHG82" s="248"/>
      <c r="BHH82" s="248"/>
      <c r="BHI82" s="248"/>
      <c r="BHJ82" s="248"/>
      <c r="BHK82" s="248"/>
      <c r="BHL82" s="248"/>
      <c r="BHM82" s="248"/>
      <c r="BHN82" s="248"/>
      <c r="BHO82" s="248"/>
      <c r="BHP82" s="248"/>
      <c r="BHQ82" s="248"/>
      <c r="BHR82" s="248"/>
      <c r="BHS82" s="248"/>
      <c r="BHT82" s="248"/>
      <c r="BHU82" s="248"/>
      <c r="BHV82" s="248"/>
      <c r="BHW82" s="248"/>
      <c r="BHX82" s="248"/>
      <c r="BHY82" s="248"/>
      <c r="BHZ82" s="248"/>
      <c r="BIA82" s="248"/>
      <c r="BIB82" s="248"/>
      <c r="BIC82" s="248"/>
      <c r="BID82" s="248"/>
      <c r="BIE82" s="248"/>
      <c r="BIF82" s="248"/>
      <c r="BIG82" s="248"/>
      <c r="BIH82" s="248"/>
      <c r="BII82" s="248"/>
      <c r="BIJ82" s="248"/>
      <c r="BIK82" s="248"/>
      <c r="BIL82" s="248"/>
      <c r="BIM82" s="248"/>
      <c r="BIN82" s="248"/>
      <c r="BIO82" s="248"/>
      <c r="BIP82" s="248"/>
      <c r="BIQ82" s="248"/>
      <c r="BIR82" s="248"/>
      <c r="BIS82" s="248"/>
      <c r="BIT82" s="248"/>
      <c r="BIU82" s="248"/>
      <c r="BIV82" s="248"/>
      <c r="BIW82" s="248"/>
      <c r="BIX82" s="248"/>
      <c r="BIY82" s="248"/>
      <c r="BIZ82" s="248"/>
      <c r="BJA82" s="248"/>
      <c r="BJB82" s="248"/>
      <c r="BJC82" s="248"/>
      <c r="BJD82" s="248"/>
      <c r="BJE82" s="248"/>
      <c r="BJF82" s="248"/>
      <c r="BJG82" s="248"/>
      <c r="BJH82" s="248"/>
      <c r="BJI82" s="248"/>
      <c r="BJJ82" s="248"/>
      <c r="BJK82" s="248"/>
      <c r="BJL82" s="248"/>
      <c r="BJM82" s="248"/>
      <c r="BJN82" s="248"/>
      <c r="BJO82" s="248"/>
      <c r="BJP82" s="248"/>
      <c r="BJQ82" s="248"/>
      <c r="BJR82" s="248"/>
      <c r="BJS82" s="248"/>
      <c r="BJT82" s="248"/>
      <c r="BJU82" s="248"/>
      <c r="BJV82" s="248"/>
      <c r="BJW82" s="248"/>
      <c r="BJX82" s="248"/>
      <c r="BJY82" s="248"/>
      <c r="BJZ82" s="248"/>
      <c r="BKA82" s="248"/>
      <c r="BKB82" s="248"/>
      <c r="BKC82" s="248"/>
      <c r="BKD82" s="248"/>
      <c r="BKE82" s="248"/>
      <c r="BKF82" s="248"/>
      <c r="BKG82" s="248"/>
      <c r="BKH82" s="248"/>
      <c r="BKI82" s="248"/>
      <c r="BKJ82" s="248"/>
      <c r="BKK82" s="248"/>
      <c r="BKL82" s="248"/>
      <c r="BKM82" s="248"/>
      <c r="BKN82" s="248"/>
      <c r="BKO82" s="248"/>
      <c r="BKP82" s="248"/>
      <c r="BKQ82" s="248"/>
      <c r="BKR82" s="248"/>
      <c r="BKS82" s="248"/>
      <c r="BKT82" s="248"/>
      <c r="BKU82" s="248"/>
      <c r="BKV82" s="248"/>
    </row>
    <row r="83" spans="1:1660" ht="20.100000000000001" customHeight="1" x14ac:dyDescent="0.25">
      <c r="A83" s="78" t="s">
        <v>26</v>
      </c>
      <c r="B83" s="51"/>
      <c r="C83" s="209"/>
      <c r="D83" s="119" t="str">
        <f t="shared" si="1"/>
        <v>2h 50 min</v>
      </c>
      <c r="E83" s="34">
        <v>34</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73"/>
      <c r="AYA83" s="248"/>
      <c r="AYB83" s="248"/>
      <c r="AYC83" s="248"/>
      <c r="AYD83" s="248"/>
      <c r="AYE83" s="248"/>
      <c r="AYF83" s="248"/>
      <c r="AYG83" s="248"/>
      <c r="AYH83" s="248"/>
      <c r="AYI83" s="248"/>
      <c r="AYJ83" s="248"/>
      <c r="AYK83" s="248"/>
      <c r="AYL83" s="248"/>
      <c r="AYM83" s="248"/>
      <c r="AYN83" s="248"/>
      <c r="AYO83" s="248"/>
      <c r="AYP83" s="248"/>
      <c r="AYQ83" s="248"/>
      <c r="AYR83" s="248"/>
      <c r="AYS83" s="248"/>
      <c r="AYT83" s="248"/>
      <c r="AYU83" s="248"/>
      <c r="AYV83" s="248"/>
      <c r="AYW83" s="248"/>
      <c r="AYX83" s="248"/>
      <c r="AYY83" s="248"/>
      <c r="AYZ83" s="248"/>
      <c r="AZA83" s="248"/>
      <c r="AZB83" s="248"/>
      <c r="AZC83" s="248"/>
      <c r="AZD83" s="248"/>
      <c r="AZE83" s="248"/>
      <c r="AZF83" s="248"/>
      <c r="AZG83" s="248"/>
      <c r="AZH83" s="248"/>
      <c r="AZI83" s="248"/>
      <c r="AZJ83" s="248"/>
      <c r="AZK83" s="248"/>
      <c r="AZL83" s="248"/>
      <c r="AZM83" s="248"/>
      <c r="AZN83" s="248"/>
      <c r="AZO83" s="248"/>
      <c r="AZP83" s="248"/>
      <c r="AZQ83" s="248"/>
      <c r="AZR83" s="248"/>
      <c r="AZS83" s="248"/>
      <c r="AZT83" s="248"/>
      <c r="AZU83" s="248"/>
      <c r="AZV83" s="248"/>
      <c r="AZW83" s="248"/>
      <c r="AZX83" s="248"/>
      <c r="AZY83" s="248"/>
      <c r="AZZ83" s="248"/>
      <c r="BAA83" s="248"/>
      <c r="BAB83" s="248"/>
      <c r="BAC83" s="248"/>
      <c r="BAD83" s="248"/>
      <c r="BAE83" s="248"/>
      <c r="BAF83" s="248"/>
      <c r="BAG83" s="248"/>
      <c r="BAH83" s="248"/>
      <c r="BAI83" s="248"/>
      <c r="BAJ83" s="248"/>
      <c r="BAK83" s="248"/>
      <c r="BAL83" s="248"/>
      <c r="BAM83" s="248"/>
      <c r="BAN83" s="248"/>
      <c r="BAO83" s="248"/>
      <c r="BAP83" s="248"/>
      <c r="BAQ83" s="248"/>
      <c r="BAR83" s="248"/>
      <c r="BAS83" s="248"/>
      <c r="BAT83" s="248"/>
      <c r="BAU83" s="248"/>
      <c r="BAV83" s="248"/>
      <c r="BAW83" s="248"/>
      <c r="BAX83" s="248"/>
      <c r="BAY83" s="248"/>
      <c r="BAZ83" s="248"/>
      <c r="BBA83" s="248"/>
      <c r="BBB83" s="248"/>
      <c r="BBC83" s="248"/>
      <c r="BBD83" s="248"/>
      <c r="BBE83" s="248"/>
      <c r="BBF83" s="248"/>
      <c r="BBG83" s="248"/>
      <c r="BBH83" s="248"/>
      <c r="BBI83" s="248"/>
      <c r="BBJ83" s="248"/>
      <c r="BBK83" s="248"/>
      <c r="BBL83" s="248"/>
      <c r="BBM83" s="248"/>
      <c r="BBN83" s="248"/>
      <c r="BBO83" s="248"/>
      <c r="BBP83" s="248"/>
      <c r="BBQ83" s="248"/>
      <c r="BBR83" s="248"/>
      <c r="BBS83" s="248"/>
      <c r="BBT83" s="248"/>
      <c r="BBU83" s="248"/>
      <c r="BBV83" s="248"/>
      <c r="BBW83" s="248"/>
      <c r="BBX83" s="248"/>
      <c r="BBY83" s="248"/>
      <c r="BBZ83" s="248"/>
      <c r="BCA83" s="248"/>
      <c r="BCB83" s="248"/>
      <c r="BCC83" s="248"/>
      <c r="BCD83" s="248"/>
      <c r="BCE83" s="248"/>
      <c r="BCF83" s="248"/>
      <c r="BCG83" s="248"/>
      <c r="BCH83" s="248"/>
      <c r="BCI83" s="248"/>
      <c r="BCJ83" s="248"/>
      <c r="BCK83" s="248"/>
      <c r="BCL83" s="248"/>
      <c r="BCM83" s="248"/>
      <c r="BCN83" s="248"/>
      <c r="BCO83" s="248"/>
      <c r="BCP83" s="248"/>
      <c r="BCQ83" s="248"/>
      <c r="BCR83" s="248"/>
      <c r="BCS83" s="248"/>
      <c r="BCT83" s="248"/>
      <c r="BCU83" s="248"/>
      <c r="BCV83" s="248"/>
      <c r="BCW83" s="248"/>
      <c r="BCX83" s="248"/>
      <c r="BCY83" s="248"/>
      <c r="BCZ83" s="248"/>
      <c r="BDA83" s="248"/>
      <c r="BDB83" s="248"/>
      <c r="BDC83" s="248"/>
      <c r="BDD83" s="248"/>
      <c r="BDE83" s="248"/>
      <c r="BDF83" s="248"/>
      <c r="BDG83" s="248"/>
      <c r="BDH83" s="248"/>
      <c r="BDI83" s="248"/>
      <c r="BDJ83" s="248"/>
      <c r="BDK83" s="248"/>
      <c r="BDL83" s="248"/>
      <c r="BDM83" s="248"/>
      <c r="BDN83" s="248"/>
      <c r="BDO83" s="248"/>
      <c r="BDP83" s="248"/>
      <c r="BDQ83" s="248"/>
      <c r="BDR83" s="248"/>
      <c r="BDS83" s="248"/>
      <c r="BDT83" s="248"/>
      <c r="BDU83" s="248"/>
      <c r="BDV83" s="248"/>
      <c r="BDW83" s="248"/>
      <c r="BDX83" s="248"/>
      <c r="BDY83" s="248"/>
      <c r="BDZ83" s="248"/>
      <c r="BEA83" s="248"/>
      <c r="BEB83" s="248"/>
      <c r="BEC83" s="248"/>
      <c r="BED83" s="248"/>
      <c r="BEE83" s="248"/>
      <c r="BEF83" s="248"/>
      <c r="BEG83" s="248"/>
      <c r="BEH83" s="248"/>
      <c r="BEI83" s="248"/>
      <c r="BEJ83" s="248"/>
      <c r="BEK83" s="248"/>
      <c r="BEL83" s="248"/>
      <c r="BEM83" s="248"/>
      <c r="BEN83" s="248"/>
      <c r="BEO83" s="248"/>
      <c r="BEP83" s="248"/>
      <c r="BEQ83" s="248"/>
      <c r="BER83" s="248"/>
      <c r="BES83" s="248"/>
      <c r="BET83" s="248"/>
      <c r="BEU83" s="248"/>
      <c r="BEV83" s="248"/>
      <c r="BEW83" s="248"/>
      <c r="BEX83" s="248"/>
      <c r="BEY83" s="248"/>
      <c r="BEZ83" s="248"/>
      <c r="BFA83" s="248"/>
      <c r="BFB83" s="248"/>
      <c r="BFC83" s="248"/>
      <c r="BFD83" s="248"/>
      <c r="BFE83" s="248"/>
      <c r="BFF83" s="248"/>
      <c r="BFG83" s="248"/>
      <c r="BFH83" s="248"/>
      <c r="BFI83" s="248"/>
      <c r="BFJ83" s="248"/>
      <c r="BFK83" s="248"/>
      <c r="BFL83" s="248"/>
      <c r="BFM83" s="248"/>
      <c r="BFN83" s="248"/>
      <c r="BFO83" s="248"/>
      <c r="BFP83" s="248"/>
      <c r="BFQ83" s="248"/>
      <c r="BFR83" s="248"/>
      <c r="BFS83" s="248"/>
      <c r="BFT83" s="248"/>
      <c r="BFU83" s="248"/>
      <c r="BFV83" s="248"/>
      <c r="BFW83" s="248"/>
      <c r="BFX83" s="248"/>
      <c r="BFY83" s="248"/>
      <c r="BFZ83" s="248"/>
      <c r="BGA83" s="248"/>
      <c r="BGB83" s="248"/>
      <c r="BGC83" s="248"/>
      <c r="BGD83" s="248"/>
      <c r="BGE83" s="248"/>
      <c r="BGF83" s="248"/>
      <c r="BGG83" s="248"/>
      <c r="BGH83" s="248"/>
      <c r="BGI83" s="248"/>
      <c r="BGJ83" s="248"/>
      <c r="BGK83" s="248"/>
      <c r="BGL83" s="248"/>
      <c r="BGM83" s="248"/>
      <c r="BGN83" s="248"/>
      <c r="BGO83" s="248"/>
      <c r="BGP83" s="248"/>
      <c r="BGQ83" s="248"/>
      <c r="BGR83" s="248"/>
      <c r="BGS83" s="248"/>
      <c r="BGT83" s="248"/>
      <c r="BGU83" s="248"/>
      <c r="BGV83" s="248"/>
      <c r="BGW83" s="248"/>
      <c r="BGX83" s="248"/>
      <c r="BGY83" s="248"/>
      <c r="BGZ83" s="248"/>
      <c r="BHA83" s="248"/>
      <c r="BHB83" s="248"/>
      <c r="BHC83" s="248"/>
      <c r="BHD83" s="248"/>
      <c r="BHE83" s="248"/>
      <c r="BHF83" s="248"/>
      <c r="BHG83" s="248"/>
      <c r="BHH83" s="248"/>
      <c r="BHI83" s="248"/>
      <c r="BHJ83" s="248"/>
      <c r="BHK83" s="248"/>
      <c r="BHL83" s="248"/>
      <c r="BHM83" s="248"/>
      <c r="BHN83" s="248"/>
      <c r="BHO83" s="248"/>
      <c r="BHP83" s="248"/>
      <c r="BHQ83" s="248"/>
      <c r="BHR83" s="248"/>
      <c r="BHS83" s="248"/>
      <c r="BHT83" s="248"/>
      <c r="BHU83" s="248"/>
      <c r="BHV83" s="248"/>
      <c r="BHW83" s="248"/>
      <c r="BHX83" s="248"/>
      <c r="BHY83" s="248"/>
      <c r="BHZ83" s="248"/>
      <c r="BIA83" s="248"/>
      <c r="BIB83" s="248"/>
      <c r="BIC83" s="248"/>
      <c r="BID83" s="248"/>
      <c r="BIE83" s="248"/>
      <c r="BIF83" s="248"/>
      <c r="BIG83" s="248"/>
      <c r="BIH83" s="248"/>
      <c r="BII83" s="248"/>
      <c r="BIJ83" s="248"/>
      <c r="BIK83" s="248"/>
      <c r="BIL83" s="248"/>
      <c r="BIM83" s="248"/>
      <c r="BIN83" s="248"/>
      <c r="BIO83" s="248"/>
      <c r="BIP83" s="248"/>
      <c r="BIQ83" s="248"/>
      <c r="BIR83" s="248"/>
      <c r="BIS83" s="248"/>
      <c r="BIT83" s="248"/>
      <c r="BIU83" s="248"/>
      <c r="BIV83" s="248"/>
      <c r="BIW83" s="248"/>
      <c r="BIX83" s="248"/>
      <c r="BIY83" s="248"/>
      <c r="BIZ83" s="248"/>
      <c r="BJA83" s="248"/>
      <c r="BJB83" s="248"/>
      <c r="BJC83" s="248"/>
      <c r="BJD83" s="248"/>
      <c r="BJE83" s="248"/>
      <c r="BJF83" s="248"/>
      <c r="BJG83" s="248"/>
      <c r="BJH83" s="248"/>
      <c r="BJI83" s="248"/>
      <c r="BJJ83" s="248"/>
      <c r="BJK83" s="248"/>
      <c r="BJL83" s="248"/>
      <c r="BJM83" s="248"/>
      <c r="BJN83" s="248"/>
    </row>
    <row r="84" spans="1:1660" ht="20.100000000000001" customHeight="1" x14ac:dyDescent="0.25">
      <c r="A84" s="78" t="s">
        <v>28</v>
      </c>
      <c r="B84" s="51"/>
      <c r="C84" s="216"/>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73"/>
      <c r="AYA84" s="248"/>
      <c r="AYB84" s="248"/>
      <c r="AYC84" s="248"/>
      <c r="AYD84" s="248"/>
      <c r="AYE84" s="248"/>
      <c r="AYF84" s="248"/>
      <c r="AYG84" s="248"/>
      <c r="AYH84" s="248"/>
      <c r="AYI84" s="248"/>
      <c r="AYJ84" s="248"/>
      <c r="AYK84" s="248"/>
      <c r="AYL84" s="248"/>
      <c r="AYM84" s="248"/>
      <c r="AYN84" s="248"/>
      <c r="AYO84" s="248"/>
      <c r="AYP84" s="248"/>
      <c r="AYQ84" s="248"/>
      <c r="AYR84" s="248"/>
      <c r="AYS84" s="248"/>
      <c r="AYT84" s="248"/>
      <c r="AYU84" s="248"/>
      <c r="AYV84" s="248"/>
      <c r="AYW84" s="248"/>
      <c r="AYX84" s="248"/>
      <c r="AYY84" s="248"/>
      <c r="AYZ84" s="248"/>
      <c r="AZA84" s="248"/>
      <c r="AZB84" s="248"/>
      <c r="AZC84" s="248"/>
      <c r="AZD84" s="248"/>
      <c r="AZE84" s="248"/>
      <c r="AZF84" s="248"/>
      <c r="AZG84" s="248"/>
      <c r="AZH84" s="248"/>
      <c r="AZI84" s="248"/>
      <c r="AZJ84" s="248"/>
      <c r="AZK84" s="248"/>
      <c r="AZL84" s="248"/>
      <c r="AZM84" s="248"/>
      <c r="AZN84" s="248"/>
      <c r="AZO84" s="248"/>
      <c r="AZP84" s="248"/>
      <c r="AZQ84" s="248"/>
      <c r="AZR84" s="248"/>
      <c r="AZS84" s="248"/>
      <c r="AZT84" s="248"/>
      <c r="AZU84" s="248"/>
      <c r="AZV84" s="248"/>
      <c r="AZW84" s="248"/>
      <c r="AZX84" s="248"/>
      <c r="AZY84" s="248"/>
      <c r="AZZ84" s="248"/>
      <c r="BAA84" s="248"/>
      <c r="BAB84" s="248"/>
      <c r="BAC84" s="248"/>
      <c r="BAD84" s="248"/>
      <c r="BAE84" s="248"/>
      <c r="BAF84" s="248"/>
      <c r="BAG84" s="248"/>
      <c r="BAH84" s="248"/>
      <c r="BAI84" s="248"/>
      <c r="BAJ84" s="248"/>
      <c r="BAK84" s="248"/>
      <c r="BAL84" s="248"/>
      <c r="BAM84" s="248"/>
      <c r="BAN84" s="248"/>
      <c r="BAO84" s="248"/>
      <c r="BAP84" s="248"/>
      <c r="BAQ84" s="248"/>
      <c r="BAR84" s="248"/>
      <c r="BAS84" s="248"/>
      <c r="BAT84" s="248"/>
      <c r="BAU84" s="248"/>
      <c r="BAV84" s="248"/>
      <c r="BAW84" s="248"/>
      <c r="BAX84" s="248"/>
      <c r="BAY84" s="248"/>
      <c r="BAZ84" s="248"/>
      <c r="BBA84" s="248"/>
      <c r="BBB84" s="248"/>
      <c r="BBC84" s="248"/>
      <c r="BBD84" s="248"/>
      <c r="BBE84" s="248"/>
      <c r="BBF84" s="248"/>
      <c r="BBG84" s="248"/>
      <c r="BBH84" s="248"/>
      <c r="BBI84" s="248"/>
      <c r="BBJ84" s="248"/>
      <c r="BBK84" s="248"/>
      <c r="BBL84" s="248"/>
      <c r="BBM84" s="248"/>
      <c r="BBN84" s="248"/>
      <c r="BBO84" s="248"/>
      <c r="BBP84" s="248"/>
      <c r="BBQ84" s="248"/>
      <c r="BBR84" s="248"/>
      <c r="BBS84" s="248"/>
      <c r="BBT84" s="248"/>
      <c r="BBU84" s="248"/>
      <c r="BBV84" s="248"/>
      <c r="BBW84" s="248"/>
      <c r="BBX84" s="248"/>
      <c r="BBY84" s="248"/>
      <c r="BBZ84" s="248"/>
      <c r="BCA84" s="248"/>
      <c r="BCB84" s="248"/>
      <c r="BCC84" s="248"/>
      <c r="BCD84" s="248"/>
      <c r="BCE84" s="248"/>
      <c r="BCF84" s="248"/>
      <c r="BCG84" s="248"/>
      <c r="BCH84" s="248"/>
      <c r="BCI84" s="248"/>
      <c r="BCJ84" s="248"/>
      <c r="BCK84" s="248"/>
      <c r="BCL84" s="248"/>
      <c r="BCM84" s="248"/>
      <c r="BCN84" s="248"/>
      <c r="BCO84" s="248"/>
      <c r="BCP84" s="248"/>
      <c r="BCQ84" s="248"/>
      <c r="BCR84" s="248"/>
      <c r="BCS84" s="248"/>
      <c r="BCT84" s="248"/>
      <c r="BCU84" s="248"/>
      <c r="BCV84" s="248"/>
      <c r="BCW84" s="248"/>
      <c r="BCX84" s="248"/>
      <c r="BCY84" s="248"/>
      <c r="BCZ84" s="248"/>
      <c r="BDA84" s="248"/>
      <c r="BDB84" s="248"/>
      <c r="BDC84" s="248"/>
      <c r="BDD84" s="248"/>
      <c r="BDE84" s="248"/>
      <c r="BDF84" s="248"/>
      <c r="BDG84" s="248"/>
      <c r="BDH84" s="248"/>
      <c r="BDI84" s="248"/>
      <c r="BDJ84" s="248"/>
      <c r="BDK84" s="248"/>
      <c r="BDL84" s="248"/>
      <c r="BDM84" s="248"/>
      <c r="BDN84" s="248"/>
      <c r="BDO84" s="248"/>
      <c r="BDP84" s="248"/>
      <c r="BDQ84" s="248"/>
      <c r="BDR84" s="248"/>
      <c r="BDS84" s="248"/>
      <c r="BDT84" s="248"/>
      <c r="BDU84" s="248"/>
      <c r="BDV84" s="248"/>
      <c r="BDW84" s="248"/>
      <c r="BDX84" s="248"/>
      <c r="BDY84" s="248"/>
      <c r="BDZ84" s="248"/>
      <c r="BEA84" s="248"/>
      <c r="BEB84" s="248"/>
      <c r="BEC84" s="248"/>
      <c r="BED84" s="248"/>
      <c r="BEE84" s="248"/>
      <c r="BEF84" s="248"/>
      <c r="BEG84" s="248"/>
      <c r="BEH84" s="248"/>
      <c r="BEI84" s="248"/>
      <c r="BEJ84" s="248"/>
      <c r="BEK84" s="248"/>
      <c r="BEL84" s="248"/>
      <c r="BEM84" s="248"/>
      <c r="BEN84" s="248"/>
      <c r="BEO84" s="248"/>
      <c r="BEP84" s="248"/>
      <c r="BEQ84" s="248"/>
      <c r="BER84" s="248"/>
      <c r="BES84" s="248"/>
      <c r="BET84" s="248"/>
      <c r="BEU84" s="248"/>
      <c r="BEV84" s="248"/>
      <c r="BEW84" s="248"/>
      <c r="BEX84" s="248"/>
      <c r="BEY84" s="248"/>
      <c r="BEZ84" s="248"/>
      <c r="BFA84" s="248"/>
      <c r="BFB84" s="248"/>
      <c r="BFC84" s="248"/>
      <c r="BFD84" s="248"/>
      <c r="BFE84" s="248"/>
      <c r="BFF84" s="248"/>
      <c r="BFG84" s="248"/>
      <c r="BFH84" s="248"/>
      <c r="BFI84" s="248"/>
      <c r="BFJ84" s="248"/>
      <c r="BFK84" s="248"/>
      <c r="BFL84" s="248"/>
      <c r="BFM84" s="248"/>
      <c r="BFN84" s="248"/>
      <c r="BFO84" s="248"/>
      <c r="BFP84" s="248"/>
      <c r="BFQ84" s="248"/>
      <c r="BFR84" s="248"/>
      <c r="BFS84" s="248"/>
      <c r="BFT84" s="248"/>
      <c r="BFU84" s="248"/>
      <c r="BFV84" s="248"/>
      <c r="BFW84" s="248"/>
      <c r="BFX84" s="248"/>
      <c r="BFY84" s="248"/>
      <c r="BFZ84" s="248"/>
      <c r="BGA84" s="248"/>
      <c r="BGB84" s="248"/>
      <c r="BGC84" s="248"/>
      <c r="BGD84" s="248"/>
      <c r="BGE84" s="248"/>
      <c r="BGF84" s="248"/>
      <c r="BGG84" s="248"/>
      <c r="BGH84" s="248"/>
      <c r="BGI84" s="248"/>
      <c r="BGJ84" s="248"/>
      <c r="BGK84" s="248"/>
      <c r="BGL84" s="248"/>
      <c r="BGM84" s="248"/>
      <c r="BGN84" s="248"/>
      <c r="BGO84" s="248"/>
      <c r="BGP84" s="248"/>
      <c r="BGQ84" s="248"/>
      <c r="BGR84" s="248"/>
      <c r="BGS84" s="248"/>
      <c r="BGT84" s="248"/>
      <c r="BGU84" s="248"/>
      <c r="BGV84" s="248"/>
      <c r="BGW84" s="248"/>
      <c r="BGX84" s="248"/>
      <c r="BGY84" s="248"/>
      <c r="BGZ84" s="248"/>
      <c r="BHA84" s="248"/>
      <c r="BHB84" s="248"/>
      <c r="BHC84" s="248"/>
      <c r="BHD84" s="248"/>
      <c r="BHE84" s="248"/>
      <c r="BHF84" s="248"/>
      <c r="BHG84" s="248"/>
      <c r="BHH84" s="248"/>
      <c r="BHI84" s="248"/>
      <c r="BHJ84" s="248"/>
      <c r="BHK84" s="248"/>
      <c r="BHL84" s="248"/>
      <c r="BHM84" s="248"/>
      <c r="BHN84" s="248"/>
      <c r="BHO84" s="248"/>
      <c r="BHP84" s="248"/>
      <c r="BHQ84" s="248"/>
      <c r="BHR84" s="248"/>
      <c r="BHS84" s="248"/>
      <c r="BHT84" s="248"/>
      <c r="BHU84" s="248"/>
      <c r="BHV84" s="248"/>
      <c r="BHW84" s="248"/>
      <c r="BHX84" s="248"/>
      <c r="BHY84" s="248"/>
      <c r="BHZ84" s="248"/>
      <c r="BIA84" s="248"/>
      <c r="BIB84" s="248"/>
      <c r="BIC84" s="248"/>
      <c r="BID84" s="248"/>
      <c r="BIE84" s="248"/>
      <c r="BIF84" s="248"/>
      <c r="BIG84" s="248"/>
      <c r="BIH84" s="248"/>
      <c r="BII84" s="248"/>
      <c r="BIJ84" s="248"/>
      <c r="BIK84" s="248"/>
      <c r="BIL84" s="248"/>
      <c r="BIM84" s="248"/>
      <c r="BIN84" s="248"/>
      <c r="BIO84" s="248"/>
      <c r="BIP84" s="248"/>
      <c r="BIQ84" s="248"/>
      <c r="BIR84" s="248"/>
      <c r="BIS84" s="248"/>
      <c r="BIT84" s="248"/>
      <c r="BIU84" s="248"/>
      <c r="BIV84" s="248"/>
      <c r="BIW84" s="248"/>
      <c r="BIX84" s="248"/>
      <c r="BIY84" s="248"/>
      <c r="BIZ84" s="248"/>
      <c r="BJA84" s="248"/>
      <c r="BJB84" s="248"/>
      <c r="BJC84" s="248"/>
      <c r="BJD84" s="248"/>
      <c r="BJE84" s="248"/>
      <c r="BJF84" s="248"/>
      <c r="BJG84" s="248"/>
      <c r="BJH84" s="248"/>
      <c r="BJI84" s="248"/>
      <c r="BJJ84" s="248"/>
      <c r="BJK84" s="248"/>
      <c r="BJL84" s="248"/>
      <c r="BJM84" s="248"/>
      <c r="BJN84" s="248"/>
      <c r="BJO84" s="248"/>
      <c r="BJP84" s="248"/>
      <c r="BJQ84" s="248"/>
      <c r="BJR84" s="248"/>
      <c r="BJS84" s="248"/>
      <c r="BJT84" s="248"/>
      <c r="BJU84" s="248"/>
      <c r="BJV84" s="248"/>
      <c r="BJW84" s="248"/>
      <c r="BJX84" s="248"/>
      <c r="BJY84" s="248"/>
      <c r="BJZ84" s="248"/>
      <c r="BKA84" s="248"/>
      <c r="BKB84" s="248"/>
      <c r="BKC84" s="248"/>
      <c r="BKD84" s="248"/>
      <c r="BKE84" s="248"/>
      <c r="BKF84" s="248"/>
      <c r="BKG84" s="248"/>
      <c r="BKH84" s="248"/>
      <c r="BKI84" s="248"/>
      <c r="BKJ84" s="248"/>
      <c r="BKK84" s="248"/>
      <c r="BKL84" s="248"/>
      <c r="BKM84" s="248"/>
      <c r="BKN84" s="248"/>
      <c r="BKO84" s="248"/>
      <c r="BKP84" s="248"/>
      <c r="BKQ84" s="248"/>
      <c r="BKR84" s="248"/>
      <c r="BKS84" s="248"/>
      <c r="BKT84" s="248"/>
      <c r="BKU84" s="248"/>
      <c r="BKV84" s="248"/>
    </row>
    <row r="85" spans="1:1660" ht="20.100000000000001" customHeight="1" x14ac:dyDescent="0.25">
      <c r="A85" s="78" t="s">
        <v>26</v>
      </c>
      <c r="B85" s="51"/>
      <c r="C85" s="209"/>
      <c r="D85" s="119" t="str">
        <f t="shared" si="1"/>
        <v>2h 50 min</v>
      </c>
      <c r="E85" s="26">
        <v>34</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73"/>
      <c r="AYA85" s="248"/>
      <c r="AYB85" s="248"/>
      <c r="AYC85" s="248"/>
      <c r="AYD85" s="248"/>
      <c r="AYE85" s="248"/>
      <c r="AYF85" s="248"/>
      <c r="AYG85" s="248"/>
      <c r="AYH85" s="248"/>
      <c r="AYI85" s="248"/>
      <c r="AYJ85" s="248"/>
      <c r="AYK85" s="248"/>
      <c r="AYL85" s="248"/>
      <c r="AYM85" s="248"/>
      <c r="AYN85" s="248"/>
      <c r="AYO85" s="248"/>
      <c r="AYP85" s="248"/>
      <c r="AYQ85" s="248"/>
      <c r="AYR85" s="248"/>
      <c r="AYS85" s="248"/>
      <c r="AYT85" s="248"/>
      <c r="AYU85" s="248"/>
      <c r="AYV85" s="248"/>
      <c r="AYW85" s="248"/>
      <c r="AYX85" s="248"/>
      <c r="AYY85" s="248"/>
      <c r="AYZ85" s="248"/>
      <c r="AZA85" s="248"/>
      <c r="AZB85" s="248"/>
      <c r="AZC85" s="248"/>
      <c r="AZD85" s="248"/>
      <c r="AZE85" s="248"/>
      <c r="AZF85" s="248"/>
      <c r="AZG85" s="248"/>
      <c r="AZH85" s="248"/>
      <c r="AZI85" s="248"/>
      <c r="AZJ85" s="248"/>
      <c r="AZK85" s="248"/>
      <c r="AZL85" s="248"/>
      <c r="AZM85" s="248"/>
      <c r="AZN85" s="248"/>
      <c r="AZO85" s="248"/>
      <c r="AZP85" s="248"/>
      <c r="AZQ85" s="248"/>
      <c r="AZR85" s="248"/>
      <c r="AZS85" s="248"/>
      <c r="AZT85" s="248"/>
      <c r="AZU85" s="248"/>
      <c r="AZV85" s="248"/>
      <c r="AZW85" s="248"/>
      <c r="AZX85" s="248"/>
      <c r="AZY85" s="248"/>
      <c r="AZZ85" s="248"/>
      <c r="BAA85" s="248"/>
      <c r="BAB85" s="248"/>
      <c r="BAC85" s="248"/>
      <c r="BAD85" s="248"/>
      <c r="BAE85" s="248"/>
      <c r="BAF85" s="248"/>
      <c r="BAG85" s="248"/>
      <c r="BAH85" s="248"/>
      <c r="BAI85" s="248"/>
      <c r="BAJ85" s="248"/>
      <c r="BAK85" s="248"/>
      <c r="BAL85" s="248"/>
      <c r="BAM85" s="248"/>
      <c r="BAN85" s="248"/>
      <c r="BAO85" s="248"/>
      <c r="BAP85" s="248"/>
      <c r="BAQ85" s="248"/>
      <c r="BAR85" s="248"/>
      <c r="BAS85" s="248"/>
      <c r="BAT85" s="248"/>
      <c r="BAU85" s="248"/>
      <c r="BAV85" s="248"/>
      <c r="BAW85" s="248"/>
      <c r="BAX85" s="248"/>
      <c r="BAY85" s="248"/>
      <c r="BAZ85" s="248"/>
      <c r="BBA85" s="248"/>
      <c r="BBB85" s="248"/>
      <c r="BBC85" s="248"/>
      <c r="BBD85" s="248"/>
      <c r="BBE85" s="248"/>
      <c r="BBF85" s="248"/>
      <c r="BBG85" s="248"/>
      <c r="BBH85" s="248"/>
      <c r="BBI85" s="248"/>
      <c r="BBJ85" s="248"/>
      <c r="BBK85" s="248"/>
      <c r="BBL85" s="248"/>
      <c r="BBM85" s="248"/>
      <c r="BBN85" s="248"/>
      <c r="BBO85" s="248"/>
      <c r="BBP85" s="248"/>
      <c r="BBQ85" s="248"/>
      <c r="BBR85" s="248"/>
      <c r="BBS85" s="248"/>
      <c r="BBT85" s="248"/>
      <c r="BBU85" s="248"/>
      <c r="BBV85" s="248"/>
      <c r="BBW85" s="248"/>
      <c r="BBX85" s="248"/>
      <c r="BBY85" s="248"/>
      <c r="BBZ85" s="248"/>
      <c r="BCA85" s="248"/>
      <c r="BCB85" s="248"/>
      <c r="BCC85" s="248"/>
      <c r="BCD85" s="248"/>
      <c r="BCE85" s="248"/>
      <c r="BCF85" s="248"/>
      <c r="BCG85" s="248"/>
      <c r="BCH85" s="248"/>
      <c r="BCI85" s="248"/>
      <c r="BCJ85" s="248"/>
      <c r="BCK85" s="248"/>
      <c r="BCL85" s="248"/>
      <c r="BCM85" s="248"/>
      <c r="BCN85" s="248"/>
      <c r="BCO85" s="248"/>
      <c r="BCP85" s="248"/>
      <c r="BCQ85" s="248"/>
      <c r="BCR85" s="248"/>
      <c r="BCS85" s="248"/>
      <c r="BCT85" s="248"/>
      <c r="BCU85" s="248"/>
      <c r="BCV85" s="248"/>
      <c r="BCW85" s="248"/>
      <c r="BCX85" s="248"/>
      <c r="BCY85" s="248"/>
      <c r="BCZ85" s="248"/>
      <c r="BDA85" s="248"/>
      <c r="BDB85" s="248"/>
      <c r="BDC85" s="248"/>
      <c r="BDD85" s="248"/>
      <c r="BDE85" s="248"/>
      <c r="BDF85" s="248"/>
      <c r="BDG85" s="248"/>
      <c r="BDH85" s="248"/>
      <c r="BDI85" s="248"/>
      <c r="BDJ85" s="248"/>
      <c r="BDK85" s="248"/>
      <c r="BDL85" s="248"/>
      <c r="BDM85" s="248"/>
      <c r="BDN85" s="248"/>
      <c r="BDO85" s="248"/>
      <c r="BDP85" s="248"/>
      <c r="BDQ85" s="248"/>
      <c r="BDR85" s="248"/>
      <c r="BDS85" s="248"/>
      <c r="BDT85" s="248"/>
      <c r="BDU85" s="248"/>
      <c r="BDV85" s="248"/>
      <c r="BDW85" s="248"/>
      <c r="BDX85" s="248"/>
      <c r="BDY85" s="248"/>
      <c r="BDZ85" s="248"/>
      <c r="BEA85" s="248"/>
      <c r="BEB85" s="248"/>
      <c r="BEC85" s="248"/>
      <c r="BED85" s="248"/>
      <c r="BEE85" s="248"/>
      <c r="BEF85" s="248"/>
      <c r="BEG85" s="248"/>
      <c r="BEH85" s="248"/>
      <c r="BEI85" s="248"/>
      <c r="BEJ85" s="248"/>
      <c r="BEK85" s="248"/>
      <c r="BEL85" s="248"/>
      <c r="BEM85" s="248"/>
      <c r="BEN85" s="248"/>
      <c r="BEO85" s="248"/>
      <c r="BEP85" s="248"/>
      <c r="BEQ85" s="248"/>
      <c r="BER85" s="248"/>
      <c r="BES85" s="248"/>
      <c r="BET85" s="248"/>
      <c r="BEU85" s="248"/>
      <c r="BEV85" s="248"/>
      <c r="BEW85" s="248"/>
      <c r="BEX85" s="248"/>
      <c r="BEY85" s="248"/>
      <c r="BEZ85" s="248"/>
      <c r="BFA85" s="248"/>
      <c r="BFB85" s="248"/>
      <c r="BFC85" s="248"/>
      <c r="BFD85" s="248"/>
      <c r="BFE85" s="248"/>
      <c r="BFF85" s="248"/>
      <c r="BFG85" s="248"/>
      <c r="BFH85" s="248"/>
      <c r="BFI85" s="248"/>
      <c r="BFJ85" s="248"/>
      <c r="BFK85" s="248"/>
      <c r="BFL85" s="248"/>
      <c r="BFM85" s="248"/>
      <c r="BFN85" s="248"/>
      <c r="BFO85" s="248"/>
      <c r="BFP85" s="248"/>
      <c r="BFQ85" s="248"/>
      <c r="BFR85" s="248"/>
      <c r="BFS85" s="248"/>
      <c r="BFT85" s="248"/>
      <c r="BFU85" s="248"/>
      <c r="BFV85" s="248"/>
      <c r="BFW85" s="248"/>
      <c r="BFX85" s="248"/>
      <c r="BFY85" s="248"/>
      <c r="BFZ85" s="248"/>
      <c r="BGA85" s="248"/>
      <c r="BGB85" s="248"/>
      <c r="BGC85" s="248"/>
      <c r="BGD85" s="248"/>
      <c r="BGE85" s="248"/>
      <c r="BGF85" s="248"/>
      <c r="BGG85" s="248"/>
      <c r="BGH85" s="248"/>
      <c r="BGI85" s="248"/>
      <c r="BGJ85" s="248"/>
      <c r="BGK85" s="248"/>
      <c r="BGL85" s="248"/>
      <c r="BGM85" s="248"/>
      <c r="BGN85" s="248"/>
      <c r="BGO85" s="248"/>
      <c r="BGP85" s="248"/>
      <c r="BGQ85" s="248"/>
      <c r="BGR85" s="248"/>
      <c r="BGS85" s="248"/>
      <c r="BGT85" s="248"/>
      <c r="BGU85" s="248"/>
      <c r="BGV85" s="248"/>
      <c r="BGW85" s="248"/>
      <c r="BGX85" s="248"/>
      <c r="BGY85" s="248"/>
      <c r="BGZ85" s="248"/>
      <c r="BHA85" s="248"/>
      <c r="BHB85" s="248"/>
      <c r="BHC85" s="248"/>
      <c r="BHD85" s="248"/>
      <c r="BHE85" s="248"/>
      <c r="BHF85" s="248"/>
      <c r="BHG85" s="248"/>
      <c r="BHH85" s="248"/>
      <c r="BHI85" s="248"/>
      <c r="BHJ85" s="248"/>
      <c r="BHK85" s="248"/>
      <c r="BHL85" s="248"/>
      <c r="BHM85" s="248"/>
      <c r="BHN85" s="248"/>
      <c r="BHO85" s="248"/>
      <c r="BHP85" s="248"/>
      <c r="BHQ85" s="248"/>
      <c r="BHR85" s="248"/>
      <c r="BHS85" s="248"/>
      <c r="BHT85" s="248"/>
      <c r="BHU85" s="248"/>
      <c r="BHV85" s="248"/>
      <c r="BHW85" s="248"/>
      <c r="BHX85" s="248"/>
      <c r="BHY85" s="248"/>
      <c r="BHZ85" s="248"/>
      <c r="BIA85" s="248"/>
      <c r="BIB85" s="248"/>
      <c r="BIC85" s="248"/>
      <c r="BID85" s="248"/>
      <c r="BIE85" s="248"/>
      <c r="BIF85" s="248"/>
      <c r="BIG85" s="248"/>
      <c r="BIH85" s="248"/>
      <c r="BII85" s="248"/>
      <c r="BIJ85" s="248"/>
      <c r="BIK85" s="248"/>
      <c r="BIL85" s="248"/>
      <c r="BIM85" s="248"/>
      <c r="BIN85" s="248"/>
      <c r="BIO85" s="248"/>
      <c r="BIP85" s="248"/>
      <c r="BIQ85" s="248"/>
      <c r="BIR85" s="248"/>
      <c r="BIS85" s="248"/>
      <c r="BIT85" s="248"/>
      <c r="BIU85" s="248"/>
      <c r="BIV85" s="248"/>
      <c r="BIW85" s="248"/>
      <c r="BIX85" s="248"/>
      <c r="BIY85" s="248"/>
      <c r="BIZ85" s="248"/>
      <c r="BJA85" s="248"/>
      <c r="BJB85" s="248"/>
      <c r="BJC85" s="248"/>
      <c r="BJD85" s="248"/>
      <c r="BJE85" s="248"/>
      <c r="BJF85" s="248"/>
      <c r="BJG85" s="248"/>
      <c r="BJH85" s="248"/>
      <c r="BJI85" s="248"/>
      <c r="BJJ85" s="248"/>
      <c r="BJK85" s="248"/>
      <c r="BJL85" s="248"/>
      <c r="BJM85" s="248"/>
      <c r="BJN85" s="248"/>
    </row>
    <row r="86" spans="1:1660" ht="20.100000000000001" customHeight="1" x14ac:dyDescent="0.3">
      <c r="A86" s="78" t="s">
        <v>28</v>
      </c>
      <c r="B86" s="51"/>
      <c r="C86" s="21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73"/>
      <c r="AYA86" s="248"/>
      <c r="AYB86" s="248"/>
      <c r="AYC86" s="248"/>
      <c r="AYD86" s="248"/>
      <c r="AYE86" s="248"/>
      <c r="AYF86" s="248"/>
      <c r="AYG86" s="248"/>
      <c r="AYH86" s="248"/>
      <c r="AYI86" s="248"/>
      <c r="AYJ86" s="248"/>
      <c r="AYK86" s="248"/>
      <c r="AYL86" s="248"/>
      <c r="AYM86" s="248"/>
      <c r="AYN86" s="248"/>
      <c r="AYO86" s="248"/>
      <c r="AYP86" s="248"/>
      <c r="AYQ86" s="248"/>
      <c r="AYR86" s="248"/>
      <c r="AYS86" s="248"/>
      <c r="AYT86" s="248"/>
      <c r="AYU86" s="248"/>
      <c r="AYV86" s="248"/>
      <c r="AYW86" s="248"/>
      <c r="AYX86" s="248"/>
      <c r="AYY86" s="248"/>
      <c r="AYZ86" s="248"/>
      <c r="AZA86" s="248"/>
      <c r="AZB86" s="248"/>
      <c r="AZC86" s="248"/>
      <c r="AZD86" s="248"/>
      <c r="AZE86" s="248"/>
      <c r="AZF86" s="248"/>
      <c r="AZG86" s="248"/>
      <c r="AZH86" s="248"/>
      <c r="AZI86" s="248"/>
      <c r="AZJ86" s="248"/>
      <c r="AZK86" s="248"/>
      <c r="AZL86" s="248"/>
      <c r="AZM86" s="248"/>
      <c r="AZN86" s="248"/>
      <c r="AZO86" s="248"/>
      <c r="AZP86" s="248"/>
      <c r="AZQ86" s="248"/>
      <c r="AZR86" s="248"/>
      <c r="AZS86" s="248"/>
      <c r="AZT86" s="248"/>
      <c r="AZU86" s="248"/>
      <c r="AZV86" s="248"/>
      <c r="AZW86" s="248"/>
      <c r="AZX86" s="248"/>
      <c r="AZY86" s="248"/>
      <c r="AZZ86" s="248"/>
      <c r="BAA86" s="248"/>
      <c r="BAB86" s="248"/>
      <c r="BAC86" s="248"/>
      <c r="BAD86" s="248"/>
      <c r="BAE86" s="248"/>
      <c r="BAF86" s="248"/>
      <c r="BAG86" s="248"/>
      <c r="BAH86" s="248"/>
      <c r="BAI86" s="248"/>
      <c r="BAJ86" s="248"/>
      <c r="BAK86" s="248"/>
      <c r="BAL86" s="248"/>
      <c r="BAM86" s="248"/>
      <c r="BAN86" s="248"/>
      <c r="BAO86" s="248"/>
      <c r="BAP86" s="248"/>
      <c r="BAQ86" s="248"/>
      <c r="BAR86" s="248"/>
      <c r="BAS86" s="248"/>
      <c r="BAT86" s="248"/>
      <c r="BAU86" s="248"/>
      <c r="BAV86" s="248"/>
      <c r="BAW86" s="248"/>
      <c r="BAX86" s="248"/>
      <c r="BAY86" s="248"/>
      <c r="BAZ86" s="248"/>
      <c r="BBA86" s="248"/>
      <c r="BBB86" s="248"/>
      <c r="BBC86" s="248"/>
      <c r="BBD86" s="248"/>
      <c r="BBE86" s="248"/>
      <c r="BBF86" s="248"/>
      <c r="BBG86" s="248"/>
      <c r="BBH86" s="248"/>
      <c r="BBI86" s="248"/>
      <c r="BBJ86" s="248"/>
      <c r="BBK86" s="248"/>
      <c r="BBL86" s="248"/>
      <c r="BBM86" s="248"/>
      <c r="BBN86" s="248"/>
      <c r="BBO86" s="248"/>
      <c r="BBP86" s="248"/>
      <c r="BBQ86" s="248"/>
      <c r="BBR86" s="248"/>
      <c r="BBS86" s="248"/>
      <c r="BBT86" s="248"/>
      <c r="BBU86" s="248"/>
      <c r="BBV86" s="248"/>
      <c r="BBW86" s="248"/>
      <c r="BBX86" s="248"/>
      <c r="BBY86" s="248"/>
      <c r="BBZ86" s="248"/>
      <c r="BCA86" s="248"/>
      <c r="BCB86" s="248"/>
      <c r="BCC86" s="248"/>
      <c r="BCD86" s="248"/>
      <c r="BCE86" s="248"/>
      <c r="BCF86" s="248"/>
      <c r="BCG86" s="248"/>
      <c r="BCH86" s="248"/>
      <c r="BCI86" s="248"/>
      <c r="BCJ86" s="248"/>
      <c r="BCK86" s="248"/>
      <c r="BCL86" s="248"/>
      <c r="BCM86" s="248"/>
      <c r="BCN86" s="248"/>
      <c r="BCO86" s="248"/>
      <c r="BCP86" s="248"/>
      <c r="BCQ86" s="248"/>
      <c r="BCR86" s="248"/>
      <c r="BCS86" s="248"/>
      <c r="BCT86" s="248"/>
      <c r="BCU86" s="248"/>
      <c r="BCV86" s="248"/>
      <c r="BCW86" s="248"/>
      <c r="BCX86" s="248"/>
      <c r="BCY86" s="248"/>
      <c r="BCZ86" s="248"/>
      <c r="BDA86" s="248"/>
      <c r="BDB86" s="248"/>
      <c r="BDC86" s="248"/>
      <c r="BDD86" s="248"/>
      <c r="BDE86" s="248"/>
      <c r="BDF86" s="248"/>
      <c r="BDG86" s="248"/>
      <c r="BDH86" s="248"/>
      <c r="BDI86" s="248"/>
      <c r="BDJ86" s="248"/>
      <c r="BDK86" s="248"/>
      <c r="BDL86" s="248"/>
      <c r="BDM86" s="248"/>
      <c r="BDN86" s="248"/>
      <c r="BDO86" s="248"/>
      <c r="BDP86" s="248"/>
      <c r="BDQ86" s="248"/>
      <c r="BDR86" s="248"/>
      <c r="BDS86" s="248"/>
      <c r="BDT86" s="248"/>
      <c r="BDU86" s="248"/>
      <c r="BDV86" s="248"/>
      <c r="BDW86" s="248"/>
      <c r="BDX86" s="248"/>
      <c r="BDY86" s="248"/>
      <c r="BDZ86" s="248"/>
      <c r="BEA86" s="248"/>
      <c r="BEB86" s="248"/>
      <c r="BEC86" s="248"/>
      <c r="BED86" s="248"/>
      <c r="BEE86" s="248"/>
      <c r="BEF86" s="248"/>
      <c r="BEG86" s="248"/>
      <c r="BEH86" s="248"/>
      <c r="BEI86" s="248"/>
      <c r="BEJ86" s="248"/>
      <c r="BEK86" s="248"/>
      <c r="BEL86" s="248"/>
      <c r="BEM86" s="248"/>
      <c r="BEN86" s="248"/>
      <c r="BEO86" s="248"/>
      <c r="BEP86" s="248"/>
      <c r="BEQ86" s="248"/>
      <c r="BER86" s="248"/>
      <c r="BES86" s="248"/>
      <c r="BET86" s="248"/>
      <c r="BEU86" s="248"/>
      <c r="BEV86" s="248"/>
      <c r="BEW86" s="248"/>
      <c r="BEX86" s="248"/>
      <c r="BEY86" s="248"/>
      <c r="BEZ86" s="248"/>
      <c r="BFA86" s="248"/>
      <c r="BFB86" s="248"/>
      <c r="BFC86" s="248"/>
      <c r="BFD86" s="248"/>
      <c r="BFE86" s="248"/>
      <c r="BFF86" s="248"/>
      <c r="BFG86" s="248"/>
      <c r="BFH86" s="248"/>
      <c r="BFI86" s="248"/>
      <c r="BFJ86" s="248"/>
      <c r="BFK86" s="248"/>
      <c r="BFL86" s="248"/>
      <c r="BFM86" s="248"/>
      <c r="BFN86" s="248"/>
      <c r="BFO86" s="248"/>
      <c r="BFP86" s="248"/>
      <c r="BFQ86" s="248"/>
      <c r="BFR86" s="248"/>
      <c r="BFS86" s="248"/>
      <c r="BFT86" s="248"/>
      <c r="BFU86" s="248"/>
      <c r="BFV86" s="248"/>
      <c r="BFW86" s="248"/>
      <c r="BFX86" s="248"/>
      <c r="BFY86" s="248"/>
      <c r="BFZ86" s="248"/>
      <c r="BGA86" s="248"/>
      <c r="BGB86" s="248"/>
      <c r="BGC86" s="248"/>
      <c r="BGD86" s="248"/>
      <c r="BGE86" s="248"/>
      <c r="BGF86" s="248"/>
      <c r="BGG86" s="248"/>
      <c r="BGH86" s="248"/>
      <c r="BGI86" s="248"/>
      <c r="BGJ86" s="248"/>
      <c r="BGK86" s="248"/>
      <c r="BGL86" s="248"/>
      <c r="BGM86" s="248"/>
      <c r="BGN86" s="248"/>
      <c r="BGO86" s="248"/>
      <c r="BGP86" s="248"/>
      <c r="BGQ86" s="248"/>
      <c r="BGR86" s="248"/>
      <c r="BGS86" s="248"/>
      <c r="BGT86" s="248"/>
      <c r="BGU86" s="248"/>
      <c r="BGV86" s="248"/>
      <c r="BGW86" s="248"/>
      <c r="BGX86" s="248"/>
      <c r="BGY86" s="248"/>
      <c r="BGZ86" s="248"/>
      <c r="BHA86" s="248"/>
      <c r="BHB86" s="248"/>
      <c r="BHC86" s="248"/>
      <c r="BHD86" s="248"/>
      <c r="BHE86" s="248"/>
      <c r="BHF86" s="248"/>
      <c r="BHG86" s="248"/>
      <c r="BHH86" s="248"/>
      <c r="BHI86" s="248"/>
      <c r="BHJ86" s="248"/>
      <c r="BHK86" s="248"/>
      <c r="BHL86" s="248"/>
      <c r="BHM86" s="248"/>
      <c r="BHN86" s="248"/>
      <c r="BHO86" s="248"/>
      <c r="BHP86" s="248"/>
      <c r="BHQ86" s="248"/>
      <c r="BHR86" s="248"/>
      <c r="BHS86" s="248"/>
      <c r="BHT86" s="248"/>
      <c r="BHU86" s="248"/>
      <c r="BHV86" s="248"/>
      <c r="BHW86" s="248"/>
      <c r="BHX86" s="248"/>
      <c r="BHY86" s="248"/>
      <c r="BHZ86" s="248"/>
      <c r="BIA86" s="248"/>
      <c r="BIB86" s="248"/>
      <c r="BIC86" s="248"/>
      <c r="BID86" s="248"/>
      <c r="BIE86" s="248"/>
      <c r="BIF86" s="248"/>
      <c r="BIG86" s="248"/>
      <c r="BIH86" s="248"/>
      <c r="BII86" s="248"/>
      <c r="BIJ86" s="248"/>
      <c r="BIK86" s="248"/>
      <c r="BIL86" s="248"/>
      <c r="BIM86" s="248"/>
      <c r="BIN86" s="248"/>
      <c r="BIO86" s="248"/>
      <c r="BIP86" s="248"/>
      <c r="BIQ86" s="248"/>
      <c r="BIR86" s="248"/>
      <c r="BIS86" s="248"/>
      <c r="BIT86" s="248"/>
      <c r="BIU86" s="248"/>
      <c r="BIV86" s="248"/>
      <c r="BIW86" s="248"/>
      <c r="BIX86" s="248"/>
      <c r="BIY86" s="248"/>
      <c r="BIZ86" s="248"/>
      <c r="BJA86" s="248"/>
      <c r="BJB86" s="248"/>
      <c r="BJC86" s="248"/>
      <c r="BJD86" s="248"/>
      <c r="BJE86" s="248"/>
      <c r="BJF86" s="248"/>
      <c r="BJG86" s="248"/>
      <c r="BJH86" s="248"/>
      <c r="BJI86" s="248"/>
      <c r="BJJ86" s="248"/>
      <c r="BJK86" s="248"/>
      <c r="BJL86" s="248"/>
      <c r="BJM86" s="248"/>
      <c r="BJN86" s="248"/>
      <c r="BJO86" s="248"/>
      <c r="BJP86" s="248"/>
      <c r="BJQ86" s="248"/>
      <c r="BJR86" s="248"/>
      <c r="BJS86" s="248"/>
      <c r="BJT86" s="248"/>
      <c r="BJU86" s="248"/>
      <c r="BJV86" s="248"/>
      <c r="BJW86" s="248"/>
      <c r="BJX86" s="248"/>
      <c r="BJY86" s="248"/>
      <c r="BJZ86" s="248"/>
      <c r="BKA86" s="248"/>
      <c r="BKB86" s="248"/>
      <c r="BKC86" s="248"/>
      <c r="BKD86" s="248"/>
      <c r="BKE86" s="248"/>
      <c r="BKF86" s="248"/>
      <c r="BKG86" s="248"/>
      <c r="BKH86" s="248"/>
      <c r="BKI86" s="248"/>
      <c r="BKJ86" s="248"/>
      <c r="BKK86" s="248"/>
      <c r="BKL86" s="248"/>
      <c r="BKM86" s="248"/>
      <c r="BKN86" s="248"/>
      <c r="BKO86" s="248"/>
      <c r="BKP86" s="248"/>
      <c r="BKQ86" s="248"/>
      <c r="BKR86" s="248"/>
      <c r="BKS86" s="248"/>
      <c r="BKT86" s="248"/>
      <c r="BKU86" s="248"/>
      <c r="BKV86" s="248"/>
    </row>
    <row r="87" spans="1:1660" ht="20.100000000000001" customHeight="1" x14ac:dyDescent="0.25">
      <c r="A87" s="78" t="s">
        <v>26</v>
      </c>
      <c r="B87" s="51"/>
      <c r="C87" s="209"/>
      <c r="D87" s="119" t="str">
        <f t="shared" si="1"/>
        <v>2h 50 min</v>
      </c>
      <c r="E87" s="34">
        <v>34</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73"/>
      <c r="AYA87" s="248"/>
      <c r="AYB87" s="248"/>
      <c r="AYC87" s="248"/>
      <c r="AYD87" s="248"/>
      <c r="AYE87" s="248"/>
      <c r="AYF87" s="248"/>
      <c r="AYG87" s="248"/>
      <c r="AYH87" s="248"/>
      <c r="AYI87" s="248"/>
      <c r="AYJ87" s="248"/>
      <c r="AYK87" s="248"/>
      <c r="AYL87" s="248"/>
      <c r="AYM87" s="248"/>
      <c r="AYN87" s="248"/>
      <c r="AYO87" s="248"/>
      <c r="AYP87" s="248"/>
      <c r="AYQ87" s="248"/>
      <c r="AYR87" s="248"/>
      <c r="AYS87" s="248"/>
      <c r="AYT87" s="248"/>
      <c r="AYU87" s="248"/>
      <c r="AYV87" s="248"/>
      <c r="AYW87" s="248"/>
      <c r="AYX87" s="248"/>
      <c r="AYY87" s="248"/>
      <c r="AYZ87" s="248"/>
      <c r="AZA87" s="248"/>
      <c r="AZB87" s="248"/>
      <c r="AZC87" s="248"/>
      <c r="AZD87" s="248"/>
      <c r="AZE87" s="248"/>
      <c r="AZF87" s="248"/>
      <c r="AZG87" s="248"/>
      <c r="AZH87" s="248"/>
      <c r="AZI87" s="248"/>
      <c r="AZJ87" s="248"/>
      <c r="AZK87" s="248"/>
      <c r="AZL87" s="248"/>
      <c r="AZM87" s="248"/>
      <c r="AZN87" s="248"/>
      <c r="AZO87" s="248"/>
      <c r="AZP87" s="248"/>
      <c r="AZQ87" s="248"/>
      <c r="AZR87" s="248"/>
      <c r="AZS87" s="248"/>
      <c r="AZT87" s="248"/>
      <c r="AZU87" s="248"/>
      <c r="AZV87" s="248"/>
      <c r="AZW87" s="248"/>
      <c r="AZX87" s="248"/>
      <c r="AZY87" s="248"/>
      <c r="AZZ87" s="248"/>
      <c r="BAA87" s="248"/>
      <c r="BAB87" s="248"/>
      <c r="BAC87" s="248"/>
      <c r="BAD87" s="248"/>
      <c r="BAE87" s="248"/>
      <c r="BAF87" s="248"/>
      <c r="BAG87" s="248"/>
      <c r="BAH87" s="248"/>
      <c r="BAI87" s="248"/>
      <c r="BAJ87" s="248"/>
      <c r="BAK87" s="248"/>
      <c r="BAL87" s="248"/>
      <c r="BAM87" s="248"/>
      <c r="BAN87" s="248"/>
      <c r="BAO87" s="248"/>
      <c r="BAP87" s="248"/>
      <c r="BAQ87" s="248"/>
      <c r="BAR87" s="248"/>
      <c r="BAS87" s="248"/>
      <c r="BAT87" s="248"/>
      <c r="BAU87" s="248"/>
      <c r="BAV87" s="248"/>
      <c r="BAW87" s="248"/>
      <c r="BAX87" s="248"/>
      <c r="BAY87" s="248"/>
      <c r="BAZ87" s="248"/>
      <c r="BBA87" s="248"/>
      <c r="BBB87" s="248"/>
      <c r="BBC87" s="248"/>
      <c r="BBD87" s="248"/>
      <c r="BBE87" s="248"/>
      <c r="BBF87" s="248"/>
      <c r="BBG87" s="248"/>
      <c r="BBH87" s="248"/>
      <c r="BBI87" s="248"/>
      <c r="BBJ87" s="248"/>
      <c r="BBK87" s="248"/>
      <c r="BBL87" s="248"/>
      <c r="BBM87" s="248"/>
      <c r="BBN87" s="248"/>
      <c r="BBO87" s="248"/>
      <c r="BBP87" s="248"/>
      <c r="BBQ87" s="248"/>
      <c r="BBR87" s="248"/>
      <c r="BBS87" s="248"/>
      <c r="BBT87" s="248"/>
      <c r="BBU87" s="248"/>
      <c r="BBV87" s="248"/>
      <c r="BBW87" s="248"/>
      <c r="BBX87" s="248"/>
      <c r="BBY87" s="248"/>
      <c r="BBZ87" s="248"/>
      <c r="BCA87" s="248"/>
      <c r="BCB87" s="248"/>
      <c r="BCC87" s="248"/>
      <c r="BCD87" s="248"/>
      <c r="BCE87" s="248"/>
      <c r="BCF87" s="248"/>
      <c r="BCG87" s="248"/>
      <c r="BCH87" s="248"/>
      <c r="BCI87" s="248"/>
      <c r="BCJ87" s="248"/>
      <c r="BCK87" s="248"/>
      <c r="BCL87" s="248"/>
      <c r="BCM87" s="248"/>
      <c r="BCN87" s="248"/>
      <c r="BCO87" s="248"/>
      <c r="BCP87" s="248"/>
      <c r="BCQ87" s="248"/>
      <c r="BCR87" s="248"/>
      <c r="BCS87" s="248"/>
      <c r="BCT87" s="248"/>
      <c r="BCU87" s="248"/>
      <c r="BCV87" s="248"/>
      <c r="BCW87" s="248"/>
      <c r="BCX87" s="248"/>
      <c r="BCY87" s="248"/>
      <c r="BCZ87" s="248"/>
      <c r="BDA87" s="248"/>
      <c r="BDB87" s="248"/>
      <c r="BDC87" s="248"/>
      <c r="BDD87" s="248"/>
      <c r="BDE87" s="248"/>
      <c r="BDF87" s="248"/>
      <c r="BDG87" s="248"/>
      <c r="BDH87" s="248"/>
      <c r="BDI87" s="248"/>
      <c r="BDJ87" s="248"/>
      <c r="BDK87" s="248"/>
      <c r="BDL87" s="248"/>
      <c r="BDM87" s="248"/>
      <c r="BDN87" s="248"/>
      <c r="BDO87" s="248"/>
      <c r="BDP87" s="248"/>
      <c r="BDQ87" s="248"/>
      <c r="BDR87" s="248"/>
      <c r="BDS87" s="248"/>
      <c r="BDT87" s="248"/>
      <c r="BDU87" s="248"/>
      <c r="BDV87" s="248"/>
      <c r="BDW87" s="248"/>
      <c r="BDX87" s="248"/>
      <c r="BDY87" s="248"/>
      <c r="BDZ87" s="248"/>
      <c r="BEA87" s="248"/>
      <c r="BEB87" s="248"/>
      <c r="BEC87" s="248"/>
      <c r="BED87" s="248"/>
      <c r="BEE87" s="248"/>
      <c r="BEF87" s="248"/>
      <c r="BEG87" s="248"/>
      <c r="BEH87" s="248"/>
      <c r="BEI87" s="248"/>
      <c r="BEJ87" s="248"/>
      <c r="BEK87" s="248"/>
      <c r="BEL87" s="248"/>
      <c r="BEM87" s="248"/>
      <c r="BEN87" s="248"/>
      <c r="BEO87" s="248"/>
      <c r="BEP87" s="248"/>
      <c r="BEQ87" s="248"/>
      <c r="BER87" s="248"/>
      <c r="BES87" s="248"/>
      <c r="BET87" s="248"/>
      <c r="BEU87" s="248"/>
      <c r="BEV87" s="248"/>
      <c r="BEW87" s="248"/>
      <c r="BEX87" s="248"/>
      <c r="BEY87" s="248"/>
      <c r="BEZ87" s="248"/>
      <c r="BFA87" s="248"/>
      <c r="BFB87" s="248"/>
      <c r="BFC87" s="248"/>
      <c r="BFD87" s="248"/>
      <c r="BFE87" s="248"/>
      <c r="BFF87" s="248"/>
      <c r="BFG87" s="248"/>
      <c r="BFH87" s="248"/>
      <c r="BFI87" s="248"/>
      <c r="BFJ87" s="248"/>
      <c r="BFK87" s="248"/>
      <c r="BFL87" s="248"/>
      <c r="BFM87" s="248"/>
      <c r="BFN87" s="248"/>
      <c r="BFO87" s="248"/>
      <c r="BFP87" s="248"/>
      <c r="BFQ87" s="248"/>
      <c r="BFR87" s="248"/>
      <c r="BFS87" s="248"/>
      <c r="BFT87" s="248"/>
      <c r="BFU87" s="248"/>
      <c r="BFV87" s="248"/>
      <c r="BFW87" s="248"/>
      <c r="BFX87" s="248"/>
      <c r="BFY87" s="248"/>
      <c r="BFZ87" s="248"/>
      <c r="BGA87" s="248"/>
      <c r="BGB87" s="248"/>
      <c r="BGC87" s="248"/>
      <c r="BGD87" s="248"/>
      <c r="BGE87" s="248"/>
      <c r="BGF87" s="248"/>
      <c r="BGG87" s="248"/>
      <c r="BGH87" s="248"/>
      <c r="BGI87" s="248"/>
      <c r="BGJ87" s="248"/>
      <c r="BGK87" s="248"/>
      <c r="BGL87" s="248"/>
      <c r="BGM87" s="248"/>
      <c r="BGN87" s="248"/>
      <c r="BGO87" s="248"/>
      <c r="BGP87" s="248"/>
      <c r="BGQ87" s="248"/>
      <c r="BGR87" s="248"/>
      <c r="BGS87" s="248"/>
      <c r="BGT87" s="248"/>
      <c r="BGU87" s="248"/>
      <c r="BGV87" s="248"/>
      <c r="BGW87" s="248"/>
      <c r="BGX87" s="248"/>
      <c r="BGY87" s="248"/>
      <c r="BGZ87" s="248"/>
      <c r="BHA87" s="248"/>
      <c r="BHB87" s="248"/>
      <c r="BHC87" s="248"/>
      <c r="BHD87" s="248"/>
      <c r="BHE87" s="248"/>
      <c r="BHF87" s="248"/>
      <c r="BHG87" s="248"/>
      <c r="BHH87" s="248"/>
      <c r="BHI87" s="248"/>
      <c r="BHJ87" s="248"/>
      <c r="BHK87" s="248"/>
      <c r="BHL87" s="248"/>
      <c r="BHM87" s="248"/>
      <c r="BHN87" s="248"/>
      <c r="BHO87" s="248"/>
      <c r="BHP87" s="248"/>
      <c r="BHQ87" s="248"/>
      <c r="BHR87" s="248"/>
      <c r="BHS87" s="248"/>
      <c r="BHT87" s="248"/>
      <c r="BHU87" s="248"/>
      <c r="BHV87" s="248"/>
      <c r="BHW87" s="248"/>
      <c r="BHX87" s="248"/>
      <c r="BHY87" s="248"/>
      <c r="BHZ87" s="248"/>
      <c r="BIA87" s="248"/>
      <c r="BIB87" s="248"/>
      <c r="BIC87" s="248"/>
      <c r="BID87" s="248"/>
      <c r="BIE87" s="248"/>
      <c r="BIF87" s="248"/>
      <c r="BIG87" s="248"/>
      <c r="BIH87" s="248"/>
      <c r="BII87" s="248"/>
      <c r="BIJ87" s="248"/>
      <c r="BIK87" s="248"/>
      <c r="BIL87" s="248"/>
      <c r="BIM87" s="248"/>
      <c r="BIN87" s="248"/>
      <c r="BIO87" s="248"/>
      <c r="BIP87" s="248"/>
      <c r="BIQ87" s="248"/>
      <c r="BIR87" s="248"/>
      <c r="BIS87" s="248"/>
      <c r="BIT87" s="248"/>
      <c r="BIU87" s="248"/>
      <c r="BIV87" s="248"/>
      <c r="BIW87" s="248"/>
      <c r="BIX87" s="248"/>
      <c r="BIY87" s="248"/>
      <c r="BIZ87" s="248"/>
      <c r="BJA87" s="248"/>
      <c r="BJB87" s="248"/>
      <c r="BJC87" s="248"/>
      <c r="BJD87" s="248"/>
      <c r="BJE87" s="248"/>
      <c r="BJF87" s="248"/>
      <c r="BJG87" s="248"/>
      <c r="BJH87" s="248"/>
      <c r="BJI87" s="248"/>
      <c r="BJJ87" s="248"/>
      <c r="BJK87" s="248"/>
      <c r="BJL87" s="248"/>
      <c r="BJM87" s="248"/>
      <c r="BJN87" s="248"/>
    </row>
    <row r="88" spans="1:1660" ht="20.100000000000001" customHeight="1" x14ac:dyDescent="0.25">
      <c r="A88" s="78" t="s">
        <v>28</v>
      </c>
      <c r="B88" s="51"/>
      <c r="C88" s="216"/>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73"/>
      <c r="AYA88" s="248"/>
      <c r="AYB88" s="248"/>
      <c r="AYC88" s="248"/>
      <c r="AYD88" s="248"/>
      <c r="AYE88" s="248"/>
      <c r="AYF88" s="248"/>
      <c r="AYG88" s="248"/>
      <c r="AYH88" s="248"/>
      <c r="AYI88" s="248"/>
      <c r="AYJ88" s="248"/>
      <c r="AYK88" s="248"/>
      <c r="AYL88" s="248"/>
      <c r="AYM88" s="248"/>
      <c r="AYN88" s="248"/>
      <c r="AYO88" s="248"/>
      <c r="AYP88" s="248"/>
      <c r="AYQ88" s="248"/>
      <c r="AYR88" s="248"/>
      <c r="AYS88" s="248"/>
      <c r="AYT88" s="248"/>
      <c r="AYU88" s="248"/>
      <c r="AYV88" s="248"/>
      <c r="AYW88" s="248"/>
      <c r="AYX88" s="248"/>
      <c r="AYY88" s="248"/>
      <c r="AYZ88" s="248"/>
      <c r="AZA88" s="248"/>
      <c r="AZB88" s="248"/>
      <c r="AZC88" s="248"/>
      <c r="AZD88" s="248"/>
      <c r="AZE88" s="248"/>
      <c r="AZF88" s="248"/>
      <c r="AZG88" s="248"/>
      <c r="AZH88" s="248"/>
      <c r="AZI88" s="248"/>
      <c r="AZJ88" s="248"/>
      <c r="AZK88" s="248"/>
      <c r="AZL88" s="248"/>
      <c r="AZM88" s="248"/>
      <c r="AZN88" s="248"/>
      <c r="AZO88" s="248"/>
      <c r="AZP88" s="248"/>
      <c r="AZQ88" s="248"/>
      <c r="AZR88" s="248"/>
      <c r="AZS88" s="248"/>
      <c r="AZT88" s="248"/>
      <c r="AZU88" s="248"/>
      <c r="AZV88" s="248"/>
      <c r="AZW88" s="248"/>
      <c r="AZX88" s="248"/>
      <c r="AZY88" s="248"/>
      <c r="AZZ88" s="248"/>
      <c r="BAA88" s="248"/>
      <c r="BAB88" s="248"/>
      <c r="BAC88" s="248"/>
      <c r="BAD88" s="248"/>
      <c r="BAE88" s="248"/>
      <c r="BAF88" s="248"/>
      <c r="BAG88" s="248"/>
      <c r="BAH88" s="248"/>
      <c r="BAI88" s="248"/>
      <c r="BAJ88" s="248"/>
      <c r="BAK88" s="248"/>
      <c r="BAL88" s="248"/>
      <c r="BAM88" s="248"/>
      <c r="BAN88" s="248"/>
      <c r="BAO88" s="248"/>
      <c r="BAP88" s="248"/>
      <c r="BAQ88" s="248"/>
      <c r="BAR88" s="248"/>
      <c r="BAS88" s="248"/>
      <c r="BAT88" s="248"/>
      <c r="BAU88" s="248"/>
      <c r="BAV88" s="248"/>
      <c r="BAW88" s="248"/>
      <c r="BAX88" s="248"/>
      <c r="BAY88" s="248"/>
      <c r="BAZ88" s="248"/>
      <c r="BBA88" s="248"/>
      <c r="BBB88" s="248"/>
      <c r="BBC88" s="248"/>
      <c r="BBD88" s="248"/>
      <c r="BBE88" s="248"/>
      <c r="BBF88" s="248"/>
      <c r="BBG88" s="248"/>
      <c r="BBH88" s="248"/>
      <c r="BBI88" s="248"/>
      <c r="BBJ88" s="248"/>
      <c r="BBK88" s="248"/>
      <c r="BBL88" s="248"/>
      <c r="BBM88" s="248"/>
      <c r="BBN88" s="248"/>
      <c r="BBO88" s="248"/>
      <c r="BBP88" s="248"/>
      <c r="BBQ88" s="248"/>
      <c r="BBR88" s="248"/>
      <c r="BBS88" s="248"/>
      <c r="BBT88" s="248"/>
      <c r="BBU88" s="248"/>
      <c r="BBV88" s="248"/>
      <c r="BBW88" s="248"/>
      <c r="BBX88" s="248"/>
      <c r="BBY88" s="248"/>
      <c r="BBZ88" s="248"/>
      <c r="BCA88" s="248"/>
      <c r="BCB88" s="248"/>
      <c r="BCC88" s="248"/>
      <c r="BCD88" s="248"/>
      <c r="BCE88" s="248"/>
      <c r="BCF88" s="248"/>
      <c r="BCG88" s="248"/>
      <c r="BCH88" s="248"/>
      <c r="BCI88" s="248"/>
      <c r="BCJ88" s="248"/>
      <c r="BCK88" s="248"/>
      <c r="BCL88" s="248"/>
      <c r="BCM88" s="248"/>
      <c r="BCN88" s="248"/>
      <c r="BCO88" s="248"/>
      <c r="BCP88" s="248"/>
      <c r="BCQ88" s="248"/>
      <c r="BCR88" s="248"/>
      <c r="BCS88" s="248"/>
      <c r="BCT88" s="248"/>
      <c r="BCU88" s="248"/>
      <c r="BCV88" s="248"/>
      <c r="BCW88" s="248"/>
      <c r="BCX88" s="248"/>
      <c r="BCY88" s="248"/>
      <c r="BCZ88" s="248"/>
      <c r="BDA88" s="248"/>
      <c r="BDB88" s="248"/>
      <c r="BDC88" s="248"/>
      <c r="BDD88" s="248"/>
      <c r="BDE88" s="248"/>
      <c r="BDF88" s="248"/>
      <c r="BDG88" s="248"/>
      <c r="BDH88" s="248"/>
      <c r="BDI88" s="248"/>
      <c r="BDJ88" s="248"/>
      <c r="BDK88" s="248"/>
      <c r="BDL88" s="248"/>
      <c r="BDM88" s="248"/>
      <c r="BDN88" s="248"/>
      <c r="BDO88" s="248"/>
      <c r="BDP88" s="248"/>
      <c r="BDQ88" s="248"/>
      <c r="BDR88" s="248"/>
      <c r="BDS88" s="248"/>
      <c r="BDT88" s="248"/>
      <c r="BDU88" s="248"/>
      <c r="BDV88" s="248"/>
      <c r="BDW88" s="248"/>
      <c r="BDX88" s="248"/>
      <c r="BDY88" s="248"/>
      <c r="BDZ88" s="248"/>
      <c r="BEA88" s="248"/>
      <c r="BEB88" s="248"/>
      <c r="BEC88" s="248"/>
      <c r="BED88" s="248"/>
      <c r="BEE88" s="248"/>
      <c r="BEF88" s="248"/>
      <c r="BEG88" s="248"/>
      <c r="BEH88" s="248"/>
      <c r="BEI88" s="248"/>
      <c r="BEJ88" s="248"/>
      <c r="BEK88" s="248"/>
      <c r="BEL88" s="248"/>
      <c r="BEM88" s="248"/>
      <c r="BEN88" s="248"/>
      <c r="BEO88" s="248"/>
      <c r="BEP88" s="248"/>
      <c r="BEQ88" s="248"/>
      <c r="BER88" s="248"/>
      <c r="BES88" s="248"/>
      <c r="BET88" s="248"/>
      <c r="BEU88" s="248"/>
      <c r="BEV88" s="248"/>
      <c r="BEW88" s="248"/>
      <c r="BEX88" s="248"/>
      <c r="BEY88" s="248"/>
      <c r="BEZ88" s="248"/>
      <c r="BFA88" s="248"/>
      <c r="BFB88" s="248"/>
      <c r="BFC88" s="248"/>
      <c r="BFD88" s="248"/>
      <c r="BFE88" s="248"/>
      <c r="BFF88" s="248"/>
      <c r="BFG88" s="248"/>
      <c r="BFH88" s="248"/>
      <c r="BFI88" s="248"/>
      <c r="BFJ88" s="248"/>
      <c r="BFK88" s="248"/>
      <c r="BFL88" s="248"/>
      <c r="BFM88" s="248"/>
      <c r="BFN88" s="248"/>
      <c r="BFO88" s="248"/>
      <c r="BFP88" s="248"/>
      <c r="BFQ88" s="248"/>
      <c r="BFR88" s="248"/>
      <c r="BFS88" s="248"/>
      <c r="BFT88" s="248"/>
      <c r="BFU88" s="248"/>
      <c r="BFV88" s="248"/>
      <c r="BFW88" s="248"/>
      <c r="BFX88" s="248"/>
      <c r="BFY88" s="248"/>
      <c r="BFZ88" s="248"/>
      <c r="BGA88" s="248"/>
      <c r="BGB88" s="248"/>
      <c r="BGC88" s="248"/>
      <c r="BGD88" s="248"/>
      <c r="BGE88" s="248"/>
      <c r="BGF88" s="248"/>
      <c r="BGG88" s="248"/>
      <c r="BGH88" s="248"/>
      <c r="BGI88" s="248"/>
      <c r="BGJ88" s="248"/>
      <c r="BGK88" s="248"/>
      <c r="BGL88" s="248"/>
      <c r="BGM88" s="248"/>
      <c r="BGN88" s="248"/>
      <c r="BGO88" s="248"/>
      <c r="BGP88" s="248"/>
      <c r="BGQ88" s="248"/>
      <c r="BGR88" s="248"/>
      <c r="BGS88" s="248"/>
      <c r="BGT88" s="248"/>
      <c r="BGU88" s="248"/>
      <c r="BGV88" s="248"/>
      <c r="BGW88" s="248"/>
      <c r="BGX88" s="248"/>
      <c r="BGY88" s="248"/>
      <c r="BGZ88" s="248"/>
      <c r="BHA88" s="248"/>
      <c r="BHB88" s="248"/>
      <c r="BHC88" s="248"/>
      <c r="BHD88" s="248"/>
      <c r="BHE88" s="248"/>
      <c r="BHF88" s="248"/>
      <c r="BHG88" s="248"/>
      <c r="BHH88" s="248"/>
      <c r="BHI88" s="248"/>
      <c r="BHJ88" s="248"/>
      <c r="BHK88" s="248"/>
      <c r="BHL88" s="248"/>
      <c r="BHM88" s="248"/>
      <c r="BHN88" s="248"/>
      <c r="BHO88" s="248"/>
      <c r="BHP88" s="248"/>
      <c r="BHQ88" s="248"/>
      <c r="BHR88" s="248"/>
      <c r="BHS88" s="248"/>
      <c r="BHT88" s="248"/>
      <c r="BHU88" s="248"/>
      <c r="BHV88" s="248"/>
      <c r="BHW88" s="248"/>
      <c r="BHX88" s="248"/>
      <c r="BHY88" s="248"/>
      <c r="BHZ88" s="248"/>
      <c r="BIA88" s="248"/>
      <c r="BIB88" s="248"/>
      <c r="BIC88" s="248"/>
      <c r="BID88" s="248"/>
      <c r="BIE88" s="248"/>
      <c r="BIF88" s="248"/>
      <c r="BIG88" s="248"/>
      <c r="BIH88" s="248"/>
      <c r="BII88" s="248"/>
      <c r="BIJ88" s="248"/>
      <c r="BIK88" s="248"/>
      <c r="BIL88" s="248"/>
      <c r="BIM88" s="248"/>
      <c r="BIN88" s="248"/>
      <c r="BIO88" s="248"/>
      <c r="BIP88" s="248"/>
      <c r="BIQ88" s="248"/>
      <c r="BIR88" s="248"/>
      <c r="BIS88" s="248"/>
      <c r="BIT88" s="248"/>
      <c r="BIU88" s="248"/>
      <c r="BIV88" s="248"/>
      <c r="BIW88" s="248"/>
      <c r="BIX88" s="248"/>
      <c r="BIY88" s="248"/>
      <c r="BIZ88" s="248"/>
      <c r="BJA88" s="248"/>
      <c r="BJB88" s="248"/>
      <c r="BJC88" s="248"/>
      <c r="BJD88" s="248"/>
      <c r="BJE88" s="248"/>
      <c r="BJF88" s="248"/>
      <c r="BJG88" s="248"/>
      <c r="BJH88" s="248"/>
      <c r="BJI88" s="248"/>
      <c r="BJJ88" s="248"/>
      <c r="BJK88" s="248"/>
      <c r="BJL88" s="248"/>
      <c r="BJM88" s="248"/>
      <c r="BJN88" s="248"/>
      <c r="BJO88" s="248"/>
      <c r="BJP88" s="248"/>
      <c r="BJQ88" s="248"/>
      <c r="BJR88" s="248"/>
      <c r="BJS88" s="248"/>
      <c r="BJT88" s="248"/>
      <c r="BJU88" s="248"/>
      <c r="BJV88" s="248"/>
      <c r="BJW88" s="248"/>
      <c r="BJX88" s="248"/>
      <c r="BJY88" s="248"/>
      <c r="BJZ88" s="248"/>
      <c r="BKA88" s="248"/>
      <c r="BKB88" s="248"/>
      <c r="BKC88" s="248"/>
      <c r="BKD88" s="248"/>
      <c r="BKE88" s="248"/>
      <c r="BKF88" s="248"/>
      <c r="BKG88" s="248"/>
      <c r="BKH88" s="248"/>
      <c r="BKI88" s="248"/>
      <c r="BKJ88" s="248"/>
      <c r="BKK88" s="248"/>
      <c r="BKL88" s="248"/>
      <c r="BKM88" s="248"/>
      <c r="BKN88" s="248"/>
      <c r="BKO88" s="248"/>
      <c r="BKP88" s="248"/>
      <c r="BKQ88" s="248"/>
      <c r="BKR88" s="248"/>
      <c r="BKS88" s="248"/>
      <c r="BKT88" s="248"/>
      <c r="BKU88" s="248"/>
      <c r="BKV88" s="248"/>
    </row>
    <row r="89" spans="1:1660" ht="20.100000000000001" customHeight="1" x14ac:dyDescent="0.25">
      <c r="A89" s="78" t="s">
        <v>26</v>
      </c>
      <c r="B89" s="51"/>
      <c r="C89" s="209"/>
      <c r="D89" s="119" t="str">
        <f t="shared" si="1"/>
        <v>2h 50 min</v>
      </c>
      <c r="E89" s="26">
        <v>34</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73"/>
      <c r="AYA89" s="248"/>
      <c r="AYB89" s="248"/>
      <c r="AYC89" s="248"/>
      <c r="AYD89" s="248"/>
      <c r="AYE89" s="248"/>
      <c r="AYF89" s="248"/>
      <c r="AYG89" s="248"/>
      <c r="AYH89" s="248"/>
      <c r="AYI89" s="248"/>
      <c r="AYJ89" s="248"/>
      <c r="AYK89" s="248"/>
      <c r="AYL89" s="248"/>
      <c r="AYM89" s="248"/>
      <c r="AYN89" s="248"/>
      <c r="AYO89" s="248"/>
      <c r="AYP89" s="248"/>
      <c r="AYQ89" s="248"/>
      <c r="AYR89" s="248"/>
      <c r="AYS89" s="248"/>
      <c r="AYT89" s="248"/>
      <c r="AYU89" s="248"/>
      <c r="AYV89" s="248"/>
      <c r="AYW89" s="248"/>
      <c r="AYX89" s="248"/>
      <c r="AYY89" s="248"/>
      <c r="AYZ89" s="248"/>
      <c r="AZA89" s="248"/>
      <c r="AZB89" s="248"/>
      <c r="AZC89" s="248"/>
      <c r="AZD89" s="248"/>
      <c r="AZE89" s="248"/>
      <c r="AZF89" s="248"/>
      <c r="AZG89" s="248"/>
      <c r="AZH89" s="248"/>
      <c r="AZI89" s="248"/>
      <c r="AZJ89" s="248"/>
      <c r="AZK89" s="248"/>
      <c r="AZL89" s="248"/>
      <c r="AZM89" s="248"/>
      <c r="AZN89" s="248"/>
      <c r="AZO89" s="248"/>
      <c r="AZP89" s="248"/>
      <c r="AZQ89" s="248"/>
      <c r="AZR89" s="248"/>
      <c r="AZS89" s="248"/>
      <c r="AZT89" s="248"/>
      <c r="AZU89" s="248"/>
      <c r="AZV89" s="248"/>
      <c r="AZW89" s="248"/>
      <c r="AZX89" s="248"/>
      <c r="AZY89" s="248"/>
      <c r="AZZ89" s="248"/>
      <c r="BAA89" s="248"/>
      <c r="BAB89" s="248"/>
      <c r="BAC89" s="248"/>
      <c r="BAD89" s="248"/>
      <c r="BAE89" s="248"/>
      <c r="BAF89" s="248"/>
      <c r="BAG89" s="248"/>
      <c r="BAH89" s="248"/>
      <c r="BAI89" s="248"/>
      <c r="BAJ89" s="248"/>
      <c r="BAK89" s="248"/>
      <c r="BAL89" s="248"/>
      <c r="BAM89" s="248"/>
      <c r="BAN89" s="248"/>
      <c r="BAO89" s="248"/>
      <c r="BAP89" s="248"/>
      <c r="BAQ89" s="248"/>
      <c r="BAR89" s="248"/>
      <c r="BAS89" s="248"/>
      <c r="BAT89" s="248"/>
      <c r="BAU89" s="248"/>
      <c r="BAV89" s="248"/>
      <c r="BAW89" s="248"/>
      <c r="BAX89" s="248"/>
      <c r="BAY89" s="248"/>
      <c r="BAZ89" s="248"/>
      <c r="BBA89" s="248"/>
      <c r="BBB89" s="248"/>
      <c r="BBC89" s="248"/>
      <c r="BBD89" s="248"/>
      <c r="BBE89" s="248"/>
      <c r="BBF89" s="248"/>
      <c r="BBG89" s="248"/>
      <c r="BBH89" s="248"/>
      <c r="BBI89" s="248"/>
      <c r="BBJ89" s="248"/>
      <c r="BBK89" s="248"/>
      <c r="BBL89" s="248"/>
      <c r="BBM89" s="248"/>
      <c r="BBN89" s="248"/>
      <c r="BBO89" s="248"/>
      <c r="BBP89" s="248"/>
      <c r="BBQ89" s="248"/>
      <c r="BBR89" s="248"/>
      <c r="BBS89" s="248"/>
      <c r="BBT89" s="248"/>
      <c r="BBU89" s="248"/>
      <c r="BBV89" s="248"/>
      <c r="BBW89" s="248"/>
      <c r="BBX89" s="248"/>
      <c r="BBY89" s="248"/>
      <c r="BBZ89" s="248"/>
      <c r="BCA89" s="248"/>
      <c r="BCB89" s="248"/>
      <c r="BCC89" s="248"/>
      <c r="BCD89" s="248"/>
      <c r="BCE89" s="248"/>
      <c r="BCF89" s="248"/>
      <c r="BCG89" s="248"/>
      <c r="BCH89" s="248"/>
      <c r="BCI89" s="248"/>
      <c r="BCJ89" s="248"/>
      <c r="BCK89" s="248"/>
      <c r="BCL89" s="248"/>
      <c r="BCM89" s="248"/>
      <c r="BCN89" s="248"/>
      <c r="BCO89" s="248"/>
      <c r="BCP89" s="248"/>
      <c r="BCQ89" s="248"/>
      <c r="BCR89" s="248"/>
      <c r="BCS89" s="248"/>
      <c r="BCT89" s="248"/>
      <c r="BCU89" s="248"/>
      <c r="BCV89" s="248"/>
      <c r="BCW89" s="248"/>
      <c r="BCX89" s="248"/>
      <c r="BCY89" s="248"/>
      <c r="BCZ89" s="248"/>
      <c r="BDA89" s="248"/>
      <c r="BDB89" s="248"/>
      <c r="BDC89" s="248"/>
      <c r="BDD89" s="248"/>
      <c r="BDE89" s="248"/>
      <c r="BDF89" s="248"/>
      <c r="BDG89" s="248"/>
      <c r="BDH89" s="248"/>
      <c r="BDI89" s="248"/>
      <c r="BDJ89" s="248"/>
      <c r="BDK89" s="248"/>
      <c r="BDL89" s="248"/>
      <c r="BDM89" s="248"/>
      <c r="BDN89" s="248"/>
      <c r="BDO89" s="248"/>
      <c r="BDP89" s="248"/>
      <c r="BDQ89" s="248"/>
      <c r="BDR89" s="248"/>
      <c r="BDS89" s="248"/>
      <c r="BDT89" s="248"/>
      <c r="BDU89" s="248"/>
      <c r="BDV89" s="248"/>
      <c r="BDW89" s="248"/>
      <c r="BDX89" s="248"/>
      <c r="BDY89" s="248"/>
      <c r="BDZ89" s="248"/>
      <c r="BEA89" s="248"/>
      <c r="BEB89" s="248"/>
      <c r="BEC89" s="248"/>
      <c r="BED89" s="248"/>
      <c r="BEE89" s="248"/>
      <c r="BEF89" s="248"/>
      <c r="BEG89" s="248"/>
      <c r="BEH89" s="248"/>
      <c r="BEI89" s="248"/>
      <c r="BEJ89" s="248"/>
      <c r="BEK89" s="248"/>
      <c r="BEL89" s="248"/>
      <c r="BEM89" s="248"/>
      <c r="BEN89" s="248"/>
      <c r="BEO89" s="248"/>
      <c r="BEP89" s="248"/>
      <c r="BEQ89" s="248"/>
      <c r="BER89" s="248"/>
      <c r="BES89" s="248"/>
      <c r="BET89" s="248"/>
      <c r="BEU89" s="248"/>
      <c r="BEV89" s="248"/>
      <c r="BEW89" s="248"/>
      <c r="BEX89" s="248"/>
      <c r="BEY89" s="248"/>
      <c r="BEZ89" s="248"/>
      <c r="BFA89" s="248"/>
      <c r="BFB89" s="248"/>
      <c r="BFC89" s="248"/>
      <c r="BFD89" s="248"/>
      <c r="BFE89" s="248"/>
      <c r="BFF89" s="248"/>
      <c r="BFG89" s="248"/>
      <c r="BFH89" s="248"/>
      <c r="BFI89" s="248"/>
      <c r="BFJ89" s="248"/>
      <c r="BFK89" s="248"/>
      <c r="BFL89" s="248"/>
      <c r="BFM89" s="248"/>
      <c r="BFN89" s="248"/>
      <c r="BFO89" s="248"/>
      <c r="BFP89" s="248"/>
      <c r="BFQ89" s="248"/>
      <c r="BFR89" s="248"/>
      <c r="BFS89" s="248"/>
      <c r="BFT89" s="248"/>
      <c r="BFU89" s="248"/>
      <c r="BFV89" s="248"/>
      <c r="BFW89" s="248"/>
      <c r="BFX89" s="248"/>
      <c r="BFY89" s="248"/>
      <c r="BFZ89" s="248"/>
      <c r="BGA89" s="248"/>
      <c r="BGB89" s="248"/>
      <c r="BGC89" s="248"/>
      <c r="BGD89" s="248"/>
      <c r="BGE89" s="248"/>
      <c r="BGF89" s="248"/>
      <c r="BGG89" s="248"/>
      <c r="BGH89" s="248"/>
      <c r="BGI89" s="248"/>
      <c r="BGJ89" s="248"/>
      <c r="BGK89" s="248"/>
      <c r="BGL89" s="248"/>
      <c r="BGM89" s="248"/>
      <c r="BGN89" s="248"/>
      <c r="BGO89" s="248"/>
      <c r="BGP89" s="248"/>
      <c r="BGQ89" s="248"/>
      <c r="BGR89" s="248"/>
      <c r="BGS89" s="248"/>
      <c r="BGT89" s="248"/>
      <c r="BGU89" s="248"/>
      <c r="BGV89" s="248"/>
      <c r="BGW89" s="248"/>
      <c r="BGX89" s="248"/>
      <c r="BGY89" s="248"/>
      <c r="BGZ89" s="248"/>
      <c r="BHA89" s="248"/>
      <c r="BHB89" s="248"/>
      <c r="BHC89" s="248"/>
      <c r="BHD89" s="248"/>
      <c r="BHE89" s="248"/>
      <c r="BHF89" s="248"/>
      <c r="BHG89" s="248"/>
      <c r="BHH89" s="248"/>
      <c r="BHI89" s="248"/>
      <c r="BHJ89" s="248"/>
      <c r="BHK89" s="248"/>
      <c r="BHL89" s="248"/>
      <c r="BHM89" s="248"/>
      <c r="BHN89" s="248"/>
      <c r="BHO89" s="248"/>
      <c r="BHP89" s="248"/>
      <c r="BHQ89" s="248"/>
      <c r="BHR89" s="248"/>
      <c r="BHS89" s="248"/>
      <c r="BHT89" s="248"/>
      <c r="BHU89" s="248"/>
      <c r="BHV89" s="248"/>
      <c r="BHW89" s="248"/>
      <c r="BHX89" s="248"/>
      <c r="BHY89" s="248"/>
      <c r="BHZ89" s="248"/>
      <c r="BIA89" s="248"/>
      <c r="BIB89" s="248"/>
      <c r="BIC89" s="248"/>
      <c r="BID89" s="248"/>
      <c r="BIE89" s="248"/>
      <c r="BIF89" s="248"/>
      <c r="BIG89" s="248"/>
      <c r="BIH89" s="248"/>
      <c r="BII89" s="248"/>
      <c r="BIJ89" s="248"/>
      <c r="BIK89" s="248"/>
      <c r="BIL89" s="248"/>
      <c r="BIM89" s="248"/>
      <c r="BIN89" s="248"/>
      <c r="BIO89" s="248"/>
      <c r="BIP89" s="248"/>
      <c r="BIQ89" s="248"/>
      <c r="BIR89" s="248"/>
      <c r="BIS89" s="248"/>
      <c r="BIT89" s="248"/>
      <c r="BIU89" s="248"/>
      <c r="BIV89" s="248"/>
      <c r="BIW89" s="248"/>
      <c r="BIX89" s="248"/>
      <c r="BIY89" s="248"/>
      <c r="BIZ89" s="248"/>
      <c r="BJA89" s="248"/>
      <c r="BJB89" s="248"/>
      <c r="BJC89" s="248"/>
      <c r="BJD89" s="248"/>
      <c r="BJE89" s="248"/>
      <c r="BJF89" s="248"/>
      <c r="BJG89" s="248"/>
      <c r="BJH89" s="248"/>
      <c r="BJI89" s="248"/>
      <c r="BJJ89" s="248"/>
      <c r="BJK89" s="248"/>
      <c r="BJL89" s="248"/>
      <c r="BJM89" s="248"/>
      <c r="BJN89" s="248"/>
    </row>
    <row r="90" spans="1:1660" ht="20.100000000000001" customHeight="1" x14ac:dyDescent="0.3">
      <c r="A90" s="78" t="s">
        <v>28</v>
      </c>
      <c r="B90" s="51"/>
      <c r="C90" s="21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73"/>
      <c r="AYA90" s="248"/>
      <c r="AYB90" s="248"/>
      <c r="AYC90" s="248"/>
      <c r="AYD90" s="248"/>
      <c r="AYE90" s="248"/>
      <c r="AYF90" s="248"/>
      <c r="AYG90" s="248"/>
      <c r="AYH90" s="248"/>
      <c r="AYI90" s="248"/>
      <c r="AYJ90" s="248"/>
      <c r="AYK90" s="248"/>
      <c r="AYL90" s="248"/>
      <c r="AYM90" s="248"/>
      <c r="AYN90" s="248"/>
      <c r="AYO90" s="248"/>
      <c r="AYP90" s="248"/>
      <c r="AYQ90" s="248"/>
      <c r="AYR90" s="248"/>
      <c r="AYS90" s="248"/>
      <c r="AYT90" s="248"/>
      <c r="AYU90" s="248"/>
      <c r="AYV90" s="248"/>
      <c r="AYW90" s="248"/>
      <c r="AYX90" s="248"/>
      <c r="AYY90" s="248"/>
      <c r="AYZ90" s="248"/>
      <c r="AZA90" s="248"/>
      <c r="AZB90" s="248"/>
      <c r="AZC90" s="248"/>
      <c r="AZD90" s="248"/>
      <c r="AZE90" s="248"/>
      <c r="AZF90" s="248"/>
      <c r="AZG90" s="248"/>
      <c r="AZH90" s="248"/>
      <c r="AZI90" s="248"/>
      <c r="AZJ90" s="248"/>
      <c r="AZK90" s="248"/>
      <c r="AZL90" s="248"/>
      <c r="AZM90" s="248"/>
      <c r="AZN90" s="248"/>
      <c r="AZO90" s="248"/>
      <c r="AZP90" s="248"/>
      <c r="AZQ90" s="248"/>
      <c r="AZR90" s="248"/>
      <c r="AZS90" s="248"/>
      <c r="AZT90" s="248"/>
      <c r="AZU90" s="248"/>
      <c r="AZV90" s="248"/>
      <c r="AZW90" s="248"/>
      <c r="AZX90" s="248"/>
      <c r="AZY90" s="248"/>
      <c r="AZZ90" s="248"/>
      <c r="BAA90" s="248"/>
      <c r="BAB90" s="248"/>
      <c r="BAC90" s="248"/>
      <c r="BAD90" s="248"/>
      <c r="BAE90" s="248"/>
      <c r="BAF90" s="248"/>
      <c r="BAG90" s="248"/>
      <c r="BAH90" s="248"/>
      <c r="BAI90" s="248"/>
      <c r="BAJ90" s="248"/>
      <c r="BAK90" s="248"/>
      <c r="BAL90" s="248"/>
      <c r="BAM90" s="248"/>
      <c r="BAN90" s="248"/>
      <c r="BAO90" s="248"/>
      <c r="BAP90" s="248"/>
      <c r="BAQ90" s="248"/>
      <c r="BAR90" s="248"/>
      <c r="BAS90" s="248"/>
      <c r="BAT90" s="248"/>
      <c r="BAU90" s="248"/>
      <c r="BAV90" s="248"/>
      <c r="BAW90" s="248"/>
      <c r="BAX90" s="248"/>
      <c r="BAY90" s="248"/>
      <c r="BAZ90" s="248"/>
      <c r="BBA90" s="248"/>
      <c r="BBB90" s="248"/>
      <c r="BBC90" s="248"/>
      <c r="BBD90" s="248"/>
      <c r="BBE90" s="248"/>
      <c r="BBF90" s="248"/>
      <c r="BBG90" s="248"/>
      <c r="BBH90" s="248"/>
      <c r="BBI90" s="248"/>
      <c r="BBJ90" s="248"/>
      <c r="BBK90" s="248"/>
      <c r="BBL90" s="248"/>
      <c r="BBM90" s="248"/>
      <c r="BBN90" s="248"/>
      <c r="BBO90" s="248"/>
      <c r="BBP90" s="248"/>
      <c r="BBQ90" s="248"/>
      <c r="BBR90" s="248"/>
      <c r="BBS90" s="248"/>
      <c r="BBT90" s="248"/>
      <c r="BBU90" s="248"/>
      <c r="BBV90" s="248"/>
      <c r="BBW90" s="248"/>
      <c r="BBX90" s="248"/>
      <c r="BBY90" s="248"/>
      <c r="BBZ90" s="248"/>
      <c r="BCA90" s="248"/>
      <c r="BCB90" s="248"/>
      <c r="BCC90" s="248"/>
      <c r="BCD90" s="248"/>
      <c r="BCE90" s="248"/>
      <c r="BCF90" s="248"/>
      <c r="BCG90" s="248"/>
      <c r="BCH90" s="248"/>
      <c r="BCI90" s="248"/>
      <c r="BCJ90" s="248"/>
      <c r="BCK90" s="248"/>
      <c r="BCL90" s="248"/>
      <c r="BCM90" s="248"/>
      <c r="BCN90" s="248"/>
      <c r="BCO90" s="248"/>
      <c r="BCP90" s="248"/>
      <c r="BCQ90" s="248"/>
      <c r="BCR90" s="248"/>
      <c r="BCS90" s="248"/>
      <c r="BCT90" s="248"/>
      <c r="BCU90" s="248"/>
      <c r="BCV90" s="248"/>
      <c r="BCW90" s="248"/>
      <c r="BCX90" s="248"/>
      <c r="BCY90" s="248"/>
      <c r="BCZ90" s="248"/>
      <c r="BDA90" s="248"/>
      <c r="BDB90" s="248"/>
      <c r="BDC90" s="248"/>
      <c r="BDD90" s="248"/>
      <c r="BDE90" s="248"/>
      <c r="BDF90" s="248"/>
      <c r="BDG90" s="248"/>
      <c r="BDH90" s="248"/>
      <c r="BDI90" s="248"/>
      <c r="BDJ90" s="248"/>
      <c r="BDK90" s="248"/>
      <c r="BDL90" s="248"/>
      <c r="BDM90" s="248"/>
      <c r="BDN90" s="248"/>
      <c r="BDO90" s="248"/>
      <c r="BDP90" s="248"/>
      <c r="BDQ90" s="248"/>
      <c r="BDR90" s="248"/>
      <c r="BDS90" s="248"/>
      <c r="BDT90" s="248"/>
      <c r="BDU90" s="248"/>
      <c r="BDV90" s="248"/>
      <c r="BDW90" s="248"/>
      <c r="BDX90" s="248"/>
      <c r="BDY90" s="248"/>
      <c r="BDZ90" s="248"/>
      <c r="BEA90" s="248"/>
      <c r="BEB90" s="248"/>
      <c r="BEC90" s="248"/>
      <c r="BED90" s="248"/>
      <c r="BEE90" s="248"/>
      <c r="BEF90" s="248"/>
      <c r="BEG90" s="248"/>
      <c r="BEH90" s="248"/>
      <c r="BEI90" s="248"/>
      <c r="BEJ90" s="248"/>
      <c r="BEK90" s="248"/>
      <c r="BEL90" s="248"/>
      <c r="BEM90" s="248"/>
      <c r="BEN90" s="248"/>
      <c r="BEO90" s="248"/>
      <c r="BEP90" s="248"/>
      <c r="BEQ90" s="248"/>
      <c r="BER90" s="248"/>
      <c r="BES90" s="248"/>
      <c r="BET90" s="248"/>
      <c r="BEU90" s="248"/>
      <c r="BEV90" s="248"/>
      <c r="BEW90" s="248"/>
      <c r="BEX90" s="248"/>
      <c r="BEY90" s="248"/>
      <c r="BEZ90" s="248"/>
      <c r="BFA90" s="248"/>
      <c r="BFB90" s="248"/>
      <c r="BFC90" s="248"/>
      <c r="BFD90" s="248"/>
      <c r="BFE90" s="248"/>
      <c r="BFF90" s="248"/>
      <c r="BFG90" s="248"/>
      <c r="BFH90" s="248"/>
      <c r="BFI90" s="248"/>
      <c r="BFJ90" s="248"/>
      <c r="BFK90" s="248"/>
      <c r="BFL90" s="248"/>
      <c r="BFM90" s="248"/>
      <c r="BFN90" s="248"/>
      <c r="BFO90" s="248"/>
      <c r="BFP90" s="248"/>
      <c r="BFQ90" s="248"/>
      <c r="BFR90" s="248"/>
      <c r="BFS90" s="248"/>
      <c r="BFT90" s="248"/>
      <c r="BFU90" s="248"/>
      <c r="BFV90" s="248"/>
      <c r="BFW90" s="248"/>
      <c r="BFX90" s="248"/>
      <c r="BFY90" s="248"/>
      <c r="BFZ90" s="248"/>
      <c r="BGA90" s="248"/>
      <c r="BGB90" s="248"/>
      <c r="BGC90" s="248"/>
      <c r="BGD90" s="248"/>
      <c r="BGE90" s="248"/>
      <c r="BGF90" s="248"/>
      <c r="BGG90" s="248"/>
      <c r="BGH90" s="248"/>
      <c r="BGI90" s="248"/>
      <c r="BGJ90" s="248"/>
      <c r="BGK90" s="248"/>
      <c r="BGL90" s="248"/>
      <c r="BGM90" s="248"/>
      <c r="BGN90" s="248"/>
      <c r="BGO90" s="248"/>
      <c r="BGP90" s="248"/>
      <c r="BGQ90" s="248"/>
      <c r="BGR90" s="248"/>
      <c r="BGS90" s="248"/>
      <c r="BGT90" s="248"/>
      <c r="BGU90" s="248"/>
      <c r="BGV90" s="248"/>
      <c r="BGW90" s="248"/>
      <c r="BGX90" s="248"/>
      <c r="BGY90" s="248"/>
      <c r="BGZ90" s="248"/>
      <c r="BHA90" s="248"/>
      <c r="BHB90" s="248"/>
      <c r="BHC90" s="248"/>
      <c r="BHD90" s="248"/>
      <c r="BHE90" s="248"/>
      <c r="BHF90" s="248"/>
      <c r="BHG90" s="248"/>
      <c r="BHH90" s="248"/>
      <c r="BHI90" s="248"/>
      <c r="BHJ90" s="248"/>
      <c r="BHK90" s="248"/>
      <c r="BHL90" s="248"/>
      <c r="BHM90" s="248"/>
      <c r="BHN90" s="248"/>
      <c r="BHO90" s="248"/>
      <c r="BHP90" s="248"/>
      <c r="BHQ90" s="248"/>
      <c r="BHR90" s="248"/>
      <c r="BHS90" s="248"/>
      <c r="BHT90" s="248"/>
      <c r="BHU90" s="248"/>
      <c r="BHV90" s="248"/>
      <c r="BHW90" s="248"/>
      <c r="BHX90" s="248"/>
      <c r="BHY90" s="248"/>
      <c r="BHZ90" s="248"/>
      <c r="BIA90" s="248"/>
      <c r="BIB90" s="248"/>
      <c r="BIC90" s="248"/>
      <c r="BID90" s="248"/>
      <c r="BIE90" s="248"/>
      <c r="BIF90" s="248"/>
      <c r="BIG90" s="248"/>
      <c r="BIH90" s="248"/>
      <c r="BII90" s="248"/>
      <c r="BIJ90" s="248"/>
      <c r="BIK90" s="248"/>
      <c r="BIL90" s="248"/>
      <c r="BIM90" s="248"/>
      <c r="BIN90" s="248"/>
      <c r="BIO90" s="248"/>
      <c r="BIP90" s="248"/>
      <c r="BIQ90" s="248"/>
      <c r="BIR90" s="248"/>
      <c r="BIS90" s="248"/>
      <c r="BIT90" s="248"/>
      <c r="BIU90" s="248"/>
      <c r="BIV90" s="248"/>
      <c r="BIW90" s="248"/>
      <c r="BIX90" s="248"/>
      <c r="BIY90" s="248"/>
      <c r="BIZ90" s="248"/>
      <c r="BJA90" s="248"/>
      <c r="BJB90" s="248"/>
      <c r="BJC90" s="248"/>
      <c r="BJD90" s="248"/>
      <c r="BJE90" s="248"/>
      <c r="BJF90" s="248"/>
      <c r="BJG90" s="248"/>
      <c r="BJH90" s="248"/>
      <c r="BJI90" s="248"/>
      <c r="BJJ90" s="248"/>
      <c r="BJK90" s="248"/>
      <c r="BJL90" s="248"/>
      <c r="BJM90" s="248"/>
      <c r="BJN90" s="248"/>
      <c r="BJO90" s="248"/>
      <c r="BJP90" s="248"/>
      <c r="BJQ90" s="248"/>
      <c r="BJR90" s="248"/>
      <c r="BJS90" s="248"/>
      <c r="BJT90" s="248"/>
      <c r="BJU90" s="248"/>
      <c r="BJV90" s="248"/>
      <c r="BJW90" s="248"/>
      <c r="BJX90" s="248"/>
      <c r="BJY90" s="248"/>
      <c r="BJZ90" s="248"/>
      <c r="BKA90" s="248"/>
      <c r="BKB90" s="248"/>
      <c r="BKC90" s="248"/>
      <c r="BKD90" s="248"/>
      <c r="BKE90" s="248"/>
      <c r="BKF90" s="248"/>
      <c r="BKG90" s="248"/>
      <c r="BKH90" s="248"/>
      <c r="BKI90" s="248"/>
      <c r="BKJ90" s="248"/>
      <c r="BKK90" s="248"/>
      <c r="BKL90" s="248"/>
      <c r="BKM90" s="248"/>
      <c r="BKN90" s="248"/>
      <c r="BKO90" s="248"/>
      <c r="BKP90" s="248"/>
      <c r="BKQ90" s="248"/>
      <c r="BKR90" s="248"/>
      <c r="BKS90" s="248"/>
      <c r="BKT90" s="248"/>
      <c r="BKU90" s="248"/>
      <c r="BKV90" s="248"/>
    </row>
    <row r="91" spans="1:1660" ht="20.100000000000001" customHeight="1" x14ac:dyDescent="0.25">
      <c r="A91" s="78" t="s">
        <v>26</v>
      </c>
      <c r="B91" s="51"/>
      <c r="C91" s="209"/>
      <c r="D91" s="119" t="str">
        <f t="shared" si="1"/>
        <v>2h 50 min</v>
      </c>
      <c r="E91" s="26">
        <v>34</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73"/>
      <c r="AYA91" s="248"/>
      <c r="AYB91" s="248"/>
      <c r="AYC91" s="248"/>
      <c r="AYD91" s="248"/>
      <c r="AYE91" s="248"/>
      <c r="AYF91" s="248"/>
      <c r="AYG91" s="248"/>
      <c r="AYH91" s="248"/>
      <c r="AYI91" s="248"/>
      <c r="AYJ91" s="248"/>
      <c r="AYK91" s="248"/>
      <c r="AYL91" s="248"/>
      <c r="AYM91" s="248"/>
      <c r="AYN91" s="248"/>
      <c r="AYO91" s="248"/>
      <c r="AYP91" s="248"/>
      <c r="AYQ91" s="248"/>
      <c r="AYR91" s="248"/>
      <c r="AYS91" s="248"/>
      <c r="AYT91" s="248"/>
      <c r="AYU91" s="248"/>
      <c r="AYV91" s="248"/>
      <c r="AYW91" s="248"/>
      <c r="AYX91" s="248"/>
      <c r="AYY91" s="248"/>
      <c r="AYZ91" s="248"/>
      <c r="AZA91" s="248"/>
      <c r="AZB91" s="248"/>
      <c r="AZC91" s="248"/>
      <c r="AZD91" s="248"/>
      <c r="AZE91" s="248"/>
      <c r="AZF91" s="248"/>
      <c r="AZG91" s="248"/>
      <c r="AZH91" s="248"/>
      <c r="AZI91" s="248"/>
      <c r="AZJ91" s="248"/>
      <c r="AZK91" s="248"/>
      <c r="AZL91" s="248"/>
      <c r="AZM91" s="248"/>
      <c r="AZN91" s="248"/>
      <c r="AZO91" s="248"/>
      <c r="AZP91" s="248"/>
      <c r="AZQ91" s="248"/>
      <c r="AZR91" s="248"/>
      <c r="AZS91" s="248"/>
      <c r="AZT91" s="248"/>
      <c r="AZU91" s="248"/>
      <c r="AZV91" s="248"/>
      <c r="AZW91" s="248"/>
      <c r="AZX91" s="248"/>
      <c r="AZY91" s="248"/>
      <c r="AZZ91" s="248"/>
      <c r="BAA91" s="248"/>
      <c r="BAB91" s="248"/>
      <c r="BAC91" s="248"/>
      <c r="BAD91" s="248"/>
      <c r="BAE91" s="248"/>
      <c r="BAF91" s="248"/>
      <c r="BAG91" s="248"/>
      <c r="BAH91" s="248"/>
      <c r="BAI91" s="248"/>
      <c r="BAJ91" s="248"/>
      <c r="BAK91" s="248"/>
      <c r="BAL91" s="248"/>
      <c r="BAM91" s="248"/>
      <c r="BAN91" s="248"/>
      <c r="BAO91" s="248"/>
      <c r="BAP91" s="248"/>
      <c r="BAQ91" s="248"/>
      <c r="BAR91" s="248"/>
      <c r="BAS91" s="248"/>
      <c r="BAT91" s="248"/>
      <c r="BAU91" s="248"/>
      <c r="BAV91" s="248"/>
      <c r="BAW91" s="248"/>
      <c r="BAX91" s="248"/>
      <c r="BAY91" s="248"/>
      <c r="BAZ91" s="248"/>
      <c r="BBA91" s="248"/>
      <c r="BBB91" s="248"/>
      <c r="BBC91" s="248"/>
      <c r="BBD91" s="248"/>
      <c r="BBE91" s="248"/>
      <c r="BBF91" s="248"/>
      <c r="BBG91" s="248"/>
      <c r="BBH91" s="248"/>
      <c r="BBI91" s="248"/>
      <c r="BBJ91" s="248"/>
      <c r="BBK91" s="248"/>
      <c r="BBL91" s="248"/>
      <c r="BBM91" s="248"/>
      <c r="BBN91" s="248"/>
      <c r="BBO91" s="248"/>
      <c r="BBP91" s="248"/>
      <c r="BBQ91" s="248"/>
      <c r="BBR91" s="248"/>
      <c r="BBS91" s="248"/>
      <c r="BBT91" s="248"/>
      <c r="BBU91" s="248"/>
      <c r="BBV91" s="248"/>
      <c r="BBW91" s="248"/>
      <c r="BBX91" s="248"/>
      <c r="BBY91" s="248"/>
      <c r="BBZ91" s="248"/>
      <c r="BCA91" s="248"/>
      <c r="BCB91" s="248"/>
      <c r="BCC91" s="248"/>
      <c r="BCD91" s="248"/>
      <c r="BCE91" s="248"/>
      <c r="BCF91" s="248"/>
      <c r="BCG91" s="248"/>
      <c r="BCH91" s="248"/>
      <c r="BCI91" s="248"/>
      <c r="BCJ91" s="248"/>
      <c r="BCK91" s="248"/>
      <c r="BCL91" s="248"/>
      <c r="BCM91" s="248"/>
      <c r="BCN91" s="248"/>
      <c r="BCO91" s="248"/>
      <c r="BCP91" s="248"/>
      <c r="BCQ91" s="248"/>
      <c r="BCR91" s="248"/>
      <c r="BCS91" s="248"/>
      <c r="BCT91" s="248"/>
      <c r="BCU91" s="248"/>
      <c r="BCV91" s="248"/>
      <c r="BCW91" s="248"/>
      <c r="BCX91" s="248"/>
      <c r="BCY91" s="248"/>
      <c r="BCZ91" s="248"/>
      <c r="BDA91" s="248"/>
      <c r="BDB91" s="248"/>
      <c r="BDC91" s="248"/>
      <c r="BDD91" s="248"/>
      <c r="BDE91" s="248"/>
      <c r="BDF91" s="248"/>
      <c r="BDG91" s="248"/>
      <c r="BDH91" s="248"/>
      <c r="BDI91" s="248"/>
      <c r="BDJ91" s="248"/>
      <c r="BDK91" s="248"/>
      <c r="BDL91" s="248"/>
      <c r="BDM91" s="248"/>
      <c r="BDN91" s="248"/>
      <c r="BDO91" s="248"/>
      <c r="BDP91" s="248"/>
      <c r="BDQ91" s="248"/>
      <c r="BDR91" s="248"/>
      <c r="BDS91" s="248"/>
      <c r="BDT91" s="248"/>
      <c r="BDU91" s="248"/>
      <c r="BDV91" s="248"/>
      <c r="BDW91" s="248"/>
      <c r="BDX91" s="248"/>
      <c r="BDY91" s="248"/>
      <c r="BDZ91" s="248"/>
      <c r="BEA91" s="248"/>
      <c r="BEB91" s="248"/>
      <c r="BEC91" s="248"/>
      <c r="BED91" s="248"/>
      <c r="BEE91" s="248"/>
      <c r="BEF91" s="248"/>
      <c r="BEG91" s="248"/>
      <c r="BEH91" s="248"/>
      <c r="BEI91" s="248"/>
      <c r="BEJ91" s="248"/>
      <c r="BEK91" s="248"/>
      <c r="BEL91" s="248"/>
      <c r="BEM91" s="248"/>
      <c r="BEN91" s="248"/>
      <c r="BEO91" s="248"/>
      <c r="BEP91" s="248"/>
      <c r="BEQ91" s="248"/>
      <c r="BER91" s="248"/>
      <c r="BES91" s="248"/>
      <c r="BET91" s="248"/>
      <c r="BEU91" s="248"/>
      <c r="BEV91" s="248"/>
      <c r="BEW91" s="248"/>
      <c r="BEX91" s="248"/>
      <c r="BEY91" s="248"/>
      <c r="BEZ91" s="248"/>
      <c r="BFA91" s="248"/>
      <c r="BFB91" s="248"/>
      <c r="BFC91" s="248"/>
      <c r="BFD91" s="248"/>
      <c r="BFE91" s="248"/>
      <c r="BFF91" s="248"/>
      <c r="BFG91" s="248"/>
      <c r="BFH91" s="248"/>
      <c r="BFI91" s="248"/>
      <c r="BFJ91" s="248"/>
      <c r="BFK91" s="248"/>
      <c r="BFL91" s="248"/>
      <c r="BFM91" s="248"/>
      <c r="BFN91" s="248"/>
      <c r="BFO91" s="248"/>
      <c r="BFP91" s="248"/>
      <c r="BFQ91" s="248"/>
      <c r="BFR91" s="248"/>
      <c r="BFS91" s="248"/>
      <c r="BFT91" s="248"/>
      <c r="BFU91" s="248"/>
      <c r="BFV91" s="248"/>
      <c r="BFW91" s="248"/>
      <c r="BFX91" s="248"/>
      <c r="BFY91" s="248"/>
      <c r="BFZ91" s="248"/>
      <c r="BGA91" s="248"/>
      <c r="BGB91" s="248"/>
      <c r="BGC91" s="248"/>
      <c r="BGD91" s="248"/>
      <c r="BGE91" s="248"/>
      <c r="BGF91" s="248"/>
      <c r="BGG91" s="248"/>
      <c r="BGH91" s="248"/>
      <c r="BGI91" s="248"/>
      <c r="BGJ91" s="248"/>
      <c r="BGK91" s="248"/>
      <c r="BGL91" s="248"/>
      <c r="BGM91" s="248"/>
      <c r="BGN91" s="248"/>
      <c r="BGO91" s="248"/>
      <c r="BGP91" s="248"/>
      <c r="BGQ91" s="248"/>
      <c r="BGR91" s="248"/>
      <c r="BGS91" s="248"/>
      <c r="BGT91" s="248"/>
      <c r="BGU91" s="248"/>
      <c r="BGV91" s="248"/>
      <c r="BGW91" s="248"/>
      <c r="BGX91" s="248"/>
      <c r="BGY91" s="248"/>
      <c r="BGZ91" s="248"/>
      <c r="BHA91" s="248"/>
      <c r="BHB91" s="248"/>
      <c r="BHC91" s="248"/>
      <c r="BHD91" s="248"/>
      <c r="BHE91" s="248"/>
      <c r="BHF91" s="248"/>
      <c r="BHG91" s="248"/>
      <c r="BHH91" s="248"/>
      <c r="BHI91" s="248"/>
      <c r="BHJ91" s="248"/>
      <c r="BHK91" s="248"/>
      <c r="BHL91" s="248"/>
      <c r="BHM91" s="248"/>
      <c r="BHN91" s="248"/>
      <c r="BHO91" s="248"/>
      <c r="BHP91" s="248"/>
      <c r="BHQ91" s="248"/>
      <c r="BHR91" s="248"/>
      <c r="BHS91" s="248"/>
      <c r="BHT91" s="248"/>
      <c r="BHU91" s="248"/>
      <c r="BHV91" s="248"/>
      <c r="BHW91" s="248"/>
      <c r="BHX91" s="248"/>
      <c r="BHY91" s="248"/>
      <c r="BHZ91" s="248"/>
      <c r="BIA91" s="248"/>
      <c r="BIB91" s="248"/>
      <c r="BIC91" s="248"/>
      <c r="BID91" s="248"/>
      <c r="BIE91" s="248"/>
      <c r="BIF91" s="248"/>
      <c r="BIG91" s="248"/>
      <c r="BIH91" s="248"/>
      <c r="BII91" s="248"/>
      <c r="BIJ91" s="248"/>
      <c r="BIK91" s="248"/>
      <c r="BIL91" s="248"/>
      <c r="BIM91" s="248"/>
      <c r="BIN91" s="248"/>
      <c r="BIO91" s="248"/>
      <c r="BIP91" s="248"/>
      <c r="BIQ91" s="248"/>
      <c r="BIR91" s="248"/>
      <c r="BIS91" s="248"/>
      <c r="BIT91" s="248"/>
      <c r="BIU91" s="248"/>
      <c r="BIV91" s="248"/>
      <c r="BIW91" s="248"/>
      <c r="BIX91" s="248"/>
      <c r="BIY91" s="248"/>
      <c r="BIZ91" s="248"/>
      <c r="BJA91" s="248"/>
      <c r="BJB91" s="248"/>
      <c r="BJC91" s="248"/>
      <c r="BJD91" s="248"/>
      <c r="BJE91" s="248"/>
      <c r="BJF91" s="248"/>
      <c r="BJG91" s="248"/>
      <c r="BJH91" s="248"/>
      <c r="BJI91" s="248"/>
      <c r="BJJ91" s="248"/>
      <c r="BJK91" s="248"/>
      <c r="BJL91" s="248"/>
      <c r="BJM91" s="248"/>
      <c r="BJN91" s="248"/>
    </row>
    <row r="92" spans="1:1660" ht="20.100000000000001" customHeight="1" x14ac:dyDescent="0.3">
      <c r="A92" s="78" t="s">
        <v>28</v>
      </c>
      <c r="B92" s="51"/>
      <c r="C92" s="21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73"/>
      <c r="AYA92" s="248"/>
      <c r="AYB92" s="248"/>
      <c r="AYC92" s="248"/>
      <c r="AYD92" s="248"/>
      <c r="AYE92" s="248"/>
      <c r="AYF92" s="248"/>
      <c r="AYG92" s="248"/>
      <c r="AYH92" s="248"/>
      <c r="AYI92" s="248"/>
      <c r="AYJ92" s="248"/>
      <c r="AYK92" s="248"/>
      <c r="AYL92" s="248"/>
      <c r="AYM92" s="248"/>
      <c r="AYN92" s="248"/>
      <c r="AYO92" s="248"/>
      <c r="AYP92" s="248"/>
      <c r="AYQ92" s="248"/>
      <c r="AYR92" s="248"/>
      <c r="AYS92" s="248"/>
      <c r="AYT92" s="248"/>
      <c r="AYU92" s="248"/>
      <c r="AYV92" s="248"/>
      <c r="AYW92" s="248"/>
      <c r="AYX92" s="248"/>
      <c r="AYY92" s="248"/>
      <c r="AYZ92" s="248"/>
      <c r="AZA92" s="248"/>
      <c r="AZB92" s="248"/>
      <c r="AZC92" s="248"/>
      <c r="AZD92" s="248"/>
      <c r="AZE92" s="248"/>
      <c r="AZF92" s="248"/>
      <c r="AZG92" s="248"/>
      <c r="AZH92" s="248"/>
      <c r="AZI92" s="248"/>
      <c r="AZJ92" s="248"/>
      <c r="AZK92" s="248"/>
      <c r="AZL92" s="248"/>
      <c r="AZM92" s="248"/>
      <c r="AZN92" s="248"/>
      <c r="AZO92" s="248"/>
      <c r="AZP92" s="248"/>
      <c r="AZQ92" s="248"/>
      <c r="AZR92" s="248"/>
      <c r="AZS92" s="248"/>
      <c r="AZT92" s="248"/>
      <c r="AZU92" s="248"/>
      <c r="AZV92" s="248"/>
      <c r="AZW92" s="248"/>
      <c r="AZX92" s="248"/>
      <c r="AZY92" s="248"/>
      <c r="AZZ92" s="248"/>
      <c r="BAA92" s="248"/>
      <c r="BAB92" s="248"/>
      <c r="BAC92" s="248"/>
      <c r="BAD92" s="248"/>
      <c r="BAE92" s="248"/>
      <c r="BAF92" s="248"/>
      <c r="BAG92" s="248"/>
      <c r="BAH92" s="248"/>
      <c r="BAI92" s="248"/>
      <c r="BAJ92" s="248"/>
      <c r="BAK92" s="248"/>
      <c r="BAL92" s="248"/>
      <c r="BAM92" s="248"/>
      <c r="BAN92" s="248"/>
      <c r="BAO92" s="248"/>
      <c r="BAP92" s="248"/>
      <c r="BAQ92" s="248"/>
      <c r="BAR92" s="248"/>
      <c r="BAS92" s="248"/>
      <c r="BAT92" s="248"/>
      <c r="BAU92" s="248"/>
      <c r="BAV92" s="248"/>
      <c r="BAW92" s="248"/>
      <c r="BAX92" s="248"/>
      <c r="BAY92" s="248"/>
      <c r="BAZ92" s="248"/>
      <c r="BBA92" s="248"/>
      <c r="BBB92" s="248"/>
      <c r="BBC92" s="248"/>
      <c r="BBD92" s="248"/>
      <c r="BBE92" s="248"/>
      <c r="BBF92" s="248"/>
      <c r="BBG92" s="248"/>
      <c r="BBH92" s="248"/>
      <c r="BBI92" s="248"/>
      <c r="BBJ92" s="248"/>
      <c r="BBK92" s="248"/>
      <c r="BBL92" s="248"/>
      <c r="BBM92" s="248"/>
      <c r="BBN92" s="248"/>
      <c r="BBO92" s="248"/>
      <c r="BBP92" s="248"/>
      <c r="BBQ92" s="248"/>
      <c r="BBR92" s="248"/>
      <c r="BBS92" s="248"/>
      <c r="BBT92" s="248"/>
      <c r="BBU92" s="248"/>
      <c r="BBV92" s="248"/>
      <c r="BBW92" s="248"/>
      <c r="BBX92" s="248"/>
      <c r="BBY92" s="248"/>
      <c r="BBZ92" s="248"/>
      <c r="BCA92" s="248"/>
      <c r="BCB92" s="248"/>
      <c r="BCC92" s="248"/>
      <c r="BCD92" s="248"/>
      <c r="BCE92" s="248"/>
      <c r="BCF92" s="248"/>
      <c r="BCG92" s="248"/>
      <c r="BCH92" s="248"/>
      <c r="BCI92" s="248"/>
      <c r="BCJ92" s="248"/>
      <c r="BCK92" s="248"/>
      <c r="BCL92" s="248"/>
      <c r="BCM92" s="248"/>
      <c r="BCN92" s="248"/>
      <c r="BCO92" s="248"/>
      <c r="BCP92" s="248"/>
      <c r="BCQ92" s="248"/>
      <c r="BCR92" s="248"/>
      <c r="BCS92" s="248"/>
      <c r="BCT92" s="248"/>
      <c r="BCU92" s="248"/>
      <c r="BCV92" s="248"/>
      <c r="BCW92" s="248"/>
      <c r="BCX92" s="248"/>
      <c r="BCY92" s="248"/>
      <c r="BCZ92" s="248"/>
      <c r="BDA92" s="248"/>
      <c r="BDB92" s="248"/>
      <c r="BDC92" s="248"/>
      <c r="BDD92" s="248"/>
      <c r="BDE92" s="248"/>
      <c r="BDF92" s="248"/>
      <c r="BDG92" s="248"/>
      <c r="BDH92" s="248"/>
      <c r="BDI92" s="248"/>
      <c r="BDJ92" s="248"/>
      <c r="BDK92" s="248"/>
      <c r="BDL92" s="248"/>
      <c r="BDM92" s="248"/>
      <c r="BDN92" s="248"/>
      <c r="BDO92" s="248"/>
      <c r="BDP92" s="248"/>
      <c r="BDQ92" s="248"/>
      <c r="BDR92" s="248"/>
      <c r="BDS92" s="248"/>
      <c r="BDT92" s="248"/>
      <c r="BDU92" s="248"/>
      <c r="BDV92" s="248"/>
      <c r="BDW92" s="248"/>
      <c r="BDX92" s="248"/>
      <c r="BDY92" s="248"/>
      <c r="BDZ92" s="248"/>
      <c r="BEA92" s="248"/>
      <c r="BEB92" s="248"/>
      <c r="BEC92" s="248"/>
      <c r="BED92" s="248"/>
      <c r="BEE92" s="248"/>
      <c r="BEF92" s="248"/>
      <c r="BEG92" s="248"/>
      <c r="BEH92" s="248"/>
      <c r="BEI92" s="248"/>
      <c r="BEJ92" s="248"/>
      <c r="BEK92" s="248"/>
      <c r="BEL92" s="248"/>
      <c r="BEM92" s="248"/>
      <c r="BEN92" s="248"/>
      <c r="BEO92" s="248"/>
      <c r="BEP92" s="248"/>
      <c r="BEQ92" s="248"/>
      <c r="BER92" s="248"/>
      <c r="BES92" s="248"/>
      <c r="BET92" s="248"/>
      <c r="BEU92" s="248"/>
      <c r="BEV92" s="248"/>
      <c r="BEW92" s="248"/>
      <c r="BEX92" s="248"/>
      <c r="BEY92" s="248"/>
      <c r="BEZ92" s="248"/>
      <c r="BFA92" s="248"/>
      <c r="BFB92" s="248"/>
      <c r="BFC92" s="248"/>
      <c r="BFD92" s="248"/>
      <c r="BFE92" s="248"/>
      <c r="BFF92" s="248"/>
      <c r="BFG92" s="248"/>
      <c r="BFH92" s="248"/>
      <c r="BFI92" s="248"/>
      <c r="BFJ92" s="248"/>
      <c r="BFK92" s="248"/>
      <c r="BFL92" s="248"/>
      <c r="BFM92" s="248"/>
      <c r="BFN92" s="248"/>
      <c r="BFO92" s="248"/>
      <c r="BFP92" s="248"/>
      <c r="BFQ92" s="248"/>
      <c r="BFR92" s="248"/>
      <c r="BFS92" s="248"/>
      <c r="BFT92" s="248"/>
      <c r="BFU92" s="248"/>
      <c r="BFV92" s="248"/>
      <c r="BFW92" s="248"/>
      <c r="BFX92" s="248"/>
      <c r="BFY92" s="248"/>
      <c r="BFZ92" s="248"/>
      <c r="BGA92" s="248"/>
      <c r="BGB92" s="248"/>
      <c r="BGC92" s="248"/>
      <c r="BGD92" s="248"/>
      <c r="BGE92" s="248"/>
      <c r="BGF92" s="248"/>
      <c r="BGG92" s="248"/>
      <c r="BGH92" s="248"/>
      <c r="BGI92" s="248"/>
      <c r="BGJ92" s="248"/>
      <c r="BGK92" s="248"/>
      <c r="BGL92" s="248"/>
      <c r="BGM92" s="248"/>
      <c r="BGN92" s="248"/>
      <c r="BGO92" s="248"/>
      <c r="BGP92" s="248"/>
      <c r="BGQ92" s="248"/>
      <c r="BGR92" s="248"/>
      <c r="BGS92" s="248"/>
      <c r="BGT92" s="248"/>
      <c r="BGU92" s="248"/>
      <c r="BGV92" s="248"/>
      <c r="BGW92" s="248"/>
      <c r="BGX92" s="248"/>
      <c r="BGY92" s="248"/>
      <c r="BGZ92" s="248"/>
      <c r="BHA92" s="248"/>
      <c r="BHB92" s="248"/>
      <c r="BHC92" s="248"/>
      <c r="BHD92" s="248"/>
      <c r="BHE92" s="248"/>
      <c r="BHF92" s="248"/>
      <c r="BHG92" s="248"/>
      <c r="BHH92" s="248"/>
      <c r="BHI92" s="248"/>
      <c r="BHJ92" s="248"/>
      <c r="BHK92" s="248"/>
      <c r="BHL92" s="248"/>
      <c r="BHM92" s="248"/>
      <c r="BHN92" s="248"/>
      <c r="BHO92" s="248"/>
      <c r="BHP92" s="248"/>
      <c r="BHQ92" s="248"/>
      <c r="BHR92" s="248"/>
      <c r="BHS92" s="248"/>
      <c r="BHT92" s="248"/>
      <c r="BHU92" s="248"/>
      <c r="BHV92" s="248"/>
      <c r="BHW92" s="248"/>
      <c r="BHX92" s="248"/>
      <c r="BHY92" s="248"/>
      <c r="BHZ92" s="248"/>
      <c r="BIA92" s="248"/>
      <c r="BIB92" s="248"/>
      <c r="BIC92" s="248"/>
      <c r="BID92" s="248"/>
      <c r="BIE92" s="248"/>
      <c r="BIF92" s="248"/>
      <c r="BIG92" s="248"/>
      <c r="BIH92" s="248"/>
      <c r="BII92" s="248"/>
      <c r="BIJ92" s="248"/>
      <c r="BIK92" s="248"/>
      <c r="BIL92" s="248"/>
      <c r="BIM92" s="248"/>
      <c r="BIN92" s="248"/>
      <c r="BIO92" s="248"/>
      <c r="BIP92" s="248"/>
      <c r="BIQ92" s="248"/>
      <c r="BIR92" s="248"/>
      <c r="BIS92" s="248"/>
      <c r="BIT92" s="248"/>
      <c r="BIU92" s="248"/>
      <c r="BIV92" s="248"/>
      <c r="BIW92" s="248"/>
      <c r="BIX92" s="248"/>
      <c r="BIY92" s="248"/>
      <c r="BIZ92" s="248"/>
      <c r="BJA92" s="248"/>
      <c r="BJB92" s="248"/>
      <c r="BJC92" s="248"/>
      <c r="BJD92" s="248"/>
      <c r="BJE92" s="248"/>
      <c r="BJF92" s="248"/>
      <c r="BJG92" s="248"/>
      <c r="BJH92" s="248"/>
      <c r="BJI92" s="248"/>
      <c r="BJJ92" s="248"/>
      <c r="BJK92" s="248"/>
      <c r="BJL92" s="248"/>
      <c r="BJM92" s="248"/>
      <c r="BJN92" s="248"/>
      <c r="BJO92" s="248"/>
      <c r="BJP92" s="248"/>
      <c r="BJQ92" s="248"/>
      <c r="BJR92" s="248"/>
      <c r="BJS92" s="248"/>
      <c r="BJT92" s="248"/>
      <c r="BJU92" s="248"/>
      <c r="BJV92" s="248"/>
      <c r="BJW92" s="248"/>
      <c r="BJX92" s="248"/>
      <c r="BJY92" s="248"/>
      <c r="BJZ92" s="248"/>
      <c r="BKA92" s="248"/>
      <c r="BKB92" s="248"/>
      <c r="BKC92" s="248"/>
      <c r="BKD92" s="248"/>
      <c r="BKE92" s="248"/>
      <c r="BKF92" s="248"/>
      <c r="BKG92" s="248"/>
      <c r="BKH92" s="248"/>
      <c r="BKI92" s="248"/>
      <c r="BKJ92" s="248"/>
      <c r="BKK92" s="248"/>
      <c r="BKL92" s="248"/>
      <c r="BKM92" s="248"/>
      <c r="BKN92" s="248"/>
      <c r="BKO92" s="248"/>
      <c r="BKP92" s="248"/>
      <c r="BKQ92" s="248"/>
      <c r="BKR92" s="248"/>
      <c r="BKS92" s="248"/>
      <c r="BKT92" s="248"/>
      <c r="BKU92" s="248"/>
      <c r="BKV92" s="248"/>
    </row>
    <row r="93" spans="1:1660" ht="20.100000000000001" customHeight="1" x14ac:dyDescent="0.25">
      <c r="A93" s="78" t="s">
        <v>26</v>
      </c>
      <c r="B93" s="51"/>
      <c r="C93" s="209"/>
      <c r="D93" s="119" t="str">
        <f t="shared" si="1"/>
        <v>2h 50 min</v>
      </c>
      <c r="E93" s="34">
        <v>34</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73"/>
      <c r="AYA93" s="248"/>
      <c r="AYB93" s="248"/>
      <c r="AYC93" s="248"/>
      <c r="AYD93" s="248"/>
      <c r="AYE93" s="248"/>
      <c r="AYF93" s="248"/>
      <c r="AYG93" s="248"/>
      <c r="AYH93" s="248"/>
      <c r="AYI93" s="248"/>
      <c r="AYJ93" s="248"/>
      <c r="AYK93" s="248"/>
      <c r="AYL93" s="248"/>
      <c r="AYM93" s="248"/>
      <c r="AYN93" s="248"/>
      <c r="AYO93" s="248"/>
      <c r="AYP93" s="248"/>
      <c r="AYQ93" s="248"/>
      <c r="AYR93" s="248"/>
      <c r="AYS93" s="248"/>
      <c r="AYT93" s="248"/>
      <c r="AYU93" s="248"/>
      <c r="AYV93" s="248"/>
      <c r="AYW93" s="248"/>
      <c r="AYX93" s="248"/>
      <c r="AYY93" s="248"/>
      <c r="AYZ93" s="248"/>
      <c r="AZA93" s="248"/>
      <c r="AZB93" s="248"/>
      <c r="AZC93" s="248"/>
      <c r="AZD93" s="248"/>
      <c r="AZE93" s="248"/>
      <c r="AZF93" s="248"/>
      <c r="AZG93" s="248"/>
      <c r="AZH93" s="248"/>
      <c r="AZI93" s="248"/>
      <c r="AZJ93" s="248"/>
      <c r="AZK93" s="248"/>
      <c r="AZL93" s="248"/>
      <c r="AZM93" s="248"/>
      <c r="AZN93" s="248"/>
      <c r="AZO93" s="248"/>
      <c r="AZP93" s="248"/>
      <c r="AZQ93" s="248"/>
      <c r="AZR93" s="248"/>
      <c r="AZS93" s="248"/>
      <c r="AZT93" s="248"/>
      <c r="AZU93" s="248"/>
      <c r="AZV93" s="248"/>
      <c r="AZW93" s="248"/>
      <c r="AZX93" s="248"/>
      <c r="AZY93" s="248"/>
      <c r="AZZ93" s="248"/>
      <c r="BAA93" s="248"/>
      <c r="BAB93" s="248"/>
      <c r="BAC93" s="248"/>
      <c r="BAD93" s="248"/>
      <c r="BAE93" s="248"/>
      <c r="BAF93" s="248"/>
      <c r="BAG93" s="248"/>
      <c r="BAH93" s="248"/>
      <c r="BAI93" s="248"/>
      <c r="BAJ93" s="248"/>
      <c r="BAK93" s="248"/>
      <c r="BAL93" s="248"/>
      <c r="BAM93" s="248"/>
      <c r="BAN93" s="248"/>
      <c r="BAO93" s="248"/>
      <c r="BAP93" s="248"/>
      <c r="BAQ93" s="248"/>
      <c r="BAR93" s="248"/>
      <c r="BAS93" s="248"/>
      <c r="BAT93" s="248"/>
      <c r="BAU93" s="248"/>
      <c r="BAV93" s="248"/>
      <c r="BAW93" s="248"/>
      <c r="BAX93" s="248"/>
      <c r="BAY93" s="248"/>
      <c r="BAZ93" s="248"/>
      <c r="BBA93" s="248"/>
      <c r="BBB93" s="248"/>
      <c r="BBC93" s="248"/>
      <c r="BBD93" s="248"/>
      <c r="BBE93" s="248"/>
      <c r="BBF93" s="248"/>
      <c r="BBG93" s="248"/>
      <c r="BBH93" s="248"/>
      <c r="BBI93" s="248"/>
      <c r="BBJ93" s="248"/>
      <c r="BBK93" s="248"/>
      <c r="BBL93" s="248"/>
      <c r="BBM93" s="248"/>
      <c r="BBN93" s="248"/>
      <c r="BBO93" s="248"/>
      <c r="BBP93" s="248"/>
      <c r="BBQ93" s="248"/>
      <c r="BBR93" s="248"/>
      <c r="BBS93" s="248"/>
      <c r="BBT93" s="248"/>
      <c r="BBU93" s="248"/>
      <c r="BBV93" s="248"/>
      <c r="BBW93" s="248"/>
      <c r="BBX93" s="248"/>
      <c r="BBY93" s="248"/>
      <c r="BBZ93" s="248"/>
      <c r="BCA93" s="248"/>
      <c r="BCB93" s="248"/>
      <c r="BCC93" s="248"/>
      <c r="BCD93" s="248"/>
      <c r="BCE93" s="248"/>
      <c r="BCF93" s="248"/>
      <c r="BCG93" s="248"/>
      <c r="BCH93" s="248"/>
      <c r="BCI93" s="248"/>
      <c r="BCJ93" s="248"/>
      <c r="BCK93" s="248"/>
      <c r="BCL93" s="248"/>
      <c r="BCM93" s="248"/>
      <c r="BCN93" s="248"/>
      <c r="BCO93" s="248"/>
      <c r="BCP93" s="248"/>
      <c r="BCQ93" s="248"/>
      <c r="BCR93" s="248"/>
      <c r="BCS93" s="248"/>
      <c r="BCT93" s="248"/>
      <c r="BCU93" s="248"/>
      <c r="BCV93" s="248"/>
      <c r="BCW93" s="248"/>
      <c r="BCX93" s="248"/>
      <c r="BCY93" s="248"/>
      <c r="BCZ93" s="248"/>
      <c r="BDA93" s="248"/>
      <c r="BDB93" s="248"/>
      <c r="BDC93" s="248"/>
      <c r="BDD93" s="248"/>
      <c r="BDE93" s="248"/>
      <c r="BDF93" s="248"/>
      <c r="BDG93" s="248"/>
      <c r="BDH93" s="248"/>
      <c r="BDI93" s="248"/>
      <c r="BDJ93" s="248"/>
      <c r="BDK93" s="248"/>
      <c r="BDL93" s="248"/>
      <c r="BDM93" s="248"/>
      <c r="BDN93" s="248"/>
      <c r="BDO93" s="248"/>
      <c r="BDP93" s="248"/>
      <c r="BDQ93" s="248"/>
      <c r="BDR93" s="248"/>
      <c r="BDS93" s="248"/>
      <c r="BDT93" s="248"/>
      <c r="BDU93" s="248"/>
      <c r="BDV93" s="248"/>
      <c r="BDW93" s="248"/>
      <c r="BDX93" s="248"/>
      <c r="BDY93" s="248"/>
      <c r="BDZ93" s="248"/>
      <c r="BEA93" s="248"/>
      <c r="BEB93" s="248"/>
      <c r="BEC93" s="248"/>
      <c r="BED93" s="248"/>
      <c r="BEE93" s="248"/>
      <c r="BEF93" s="248"/>
      <c r="BEG93" s="248"/>
      <c r="BEH93" s="248"/>
      <c r="BEI93" s="248"/>
      <c r="BEJ93" s="248"/>
      <c r="BEK93" s="248"/>
      <c r="BEL93" s="248"/>
      <c r="BEM93" s="248"/>
      <c r="BEN93" s="248"/>
      <c r="BEO93" s="248"/>
      <c r="BEP93" s="248"/>
      <c r="BEQ93" s="248"/>
      <c r="BER93" s="248"/>
      <c r="BES93" s="248"/>
      <c r="BET93" s="248"/>
      <c r="BEU93" s="248"/>
      <c r="BEV93" s="248"/>
      <c r="BEW93" s="248"/>
      <c r="BEX93" s="248"/>
      <c r="BEY93" s="248"/>
      <c r="BEZ93" s="248"/>
      <c r="BFA93" s="248"/>
      <c r="BFB93" s="248"/>
      <c r="BFC93" s="248"/>
      <c r="BFD93" s="248"/>
      <c r="BFE93" s="248"/>
      <c r="BFF93" s="248"/>
      <c r="BFG93" s="248"/>
      <c r="BFH93" s="248"/>
      <c r="BFI93" s="248"/>
      <c r="BFJ93" s="248"/>
      <c r="BFK93" s="248"/>
      <c r="BFL93" s="248"/>
      <c r="BFM93" s="248"/>
      <c r="BFN93" s="248"/>
      <c r="BFO93" s="248"/>
      <c r="BFP93" s="248"/>
      <c r="BFQ93" s="248"/>
      <c r="BFR93" s="248"/>
      <c r="BFS93" s="248"/>
      <c r="BFT93" s="248"/>
      <c r="BFU93" s="248"/>
      <c r="BFV93" s="248"/>
      <c r="BFW93" s="248"/>
      <c r="BFX93" s="248"/>
      <c r="BFY93" s="248"/>
      <c r="BFZ93" s="248"/>
      <c r="BGA93" s="248"/>
      <c r="BGB93" s="248"/>
      <c r="BGC93" s="248"/>
      <c r="BGD93" s="248"/>
      <c r="BGE93" s="248"/>
      <c r="BGF93" s="248"/>
      <c r="BGG93" s="248"/>
      <c r="BGH93" s="248"/>
      <c r="BGI93" s="248"/>
      <c r="BGJ93" s="248"/>
      <c r="BGK93" s="248"/>
      <c r="BGL93" s="248"/>
      <c r="BGM93" s="248"/>
      <c r="BGN93" s="248"/>
      <c r="BGO93" s="248"/>
      <c r="BGP93" s="248"/>
      <c r="BGQ93" s="248"/>
      <c r="BGR93" s="248"/>
      <c r="BGS93" s="248"/>
      <c r="BGT93" s="248"/>
      <c r="BGU93" s="248"/>
      <c r="BGV93" s="248"/>
      <c r="BGW93" s="248"/>
      <c r="BGX93" s="248"/>
      <c r="BGY93" s="248"/>
      <c r="BGZ93" s="248"/>
      <c r="BHA93" s="248"/>
      <c r="BHB93" s="248"/>
      <c r="BHC93" s="248"/>
      <c r="BHD93" s="248"/>
      <c r="BHE93" s="248"/>
      <c r="BHF93" s="248"/>
      <c r="BHG93" s="248"/>
      <c r="BHH93" s="248"/>
      <c r="BHI93" s="248"/>
      <c r="BHJ93" s="248"/>
      <c r="BHK93" s="248"/>
      <c r="BHL93" s="248"/>
      <c r="BHM93" s="248"/>
      <c r="BHN93" s="248"/>
      <c r="BHO93" s="248"/>
      <c r="BHP93" s="248"/>
      <c r="BHQ93" s="248"/>
      <c r="BHR93" s="248"/>
      <c r="BHS93" s="248"/>
      <c r="BHT93" s="248"/>
      <c r="BHU93" s="248"/>
      <c r="BHV93" s="248"/>
      <c r="BHW93" s="248"/>
      <c r="BHX93" s="248"/>
      <c r="BHY93" s="248"/>
      <c r="BHZ93" s="248"/>
      <c r="BIA93" s="248"/>
      <c r="BIB93" s="248"/>
      <c r="BIC93" s="248"/>
      <c r="BID93" s="248"/>
      <c r="BIE93" s="248"/>
      <c r="BIF93" s="248"/>
      <c r="BIG93" s="248"/>
      <c r="BIH93" s="248"/>
      <c r="BII93" s="248"/>
      <c r="BIJ93" s="248"/>
      <c r="BIK93" s="248"/>
      <c r="BIL93" s="248"/>
      <c r="BIM93" s="248"/>
      <c r="BIN93" s="248"/>
      <c r="BIO93" s="248"/>
      <c r="BIP93" s="248"/>
      <c r="BIQ93" s="248"/>
      <c r="BIR93" s="248"/>
      <c r="BIS93" s="248"/>
      <c r="BIT93" s="248"/>
      <c r="BIU93" s="248"/>
      <c r="BIV93" s="248"/>
      <c r="BIW93" s="248"/>
      <c r="BIX93" s="248"/>
      <c r="BIY93" s="248"/>
      <c r="BIZ93" s="248"/>
      <c r="BJA93" s="248"/>
      <c r="BJB93" s="248"/>
      <c r="BJC93" s="248"/>
      <c r="BJD93" s="248"/>
      <c r="BJE93" s="248"/>
      <c r="BJF93" s="248"/>
      <c r="BJG93" s="248"/>
      <c r="BJH93" s="248"/>
      <c r="BJI93" s="248"/>
      <c r="BJJ93" s="248"/>
      <c r="BJK93" s="248"/>
      <c r="BJL93" s="248"/>
      <c r="BJM93" s="248"/>
      <c r="BJN93" s="248"/>
    </row>
    <row r="94" spans="1:1660" ht="20.100000000000001" customHeight="1" x14ac:dyDescent="0.25">
      <c r="A94" s="78" t="s">
        <v>28</v>
      </c>
      <c r="B94" s="51"/>
      <c r="C94" s="216"/>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73"/>
      <c r="AYA94" s="248"/>
      <c r="AYB94" s="248"/>
      <c r="AYC94" s="248"/>
      <c r="AYD94" s="248"/>
      <c r="AYE94" s="248"/>
      <c r="AYF94" s="248"/>
      <c r="AYG94" s="248"/>
      <c r="AYH94" s="248"/>
      <c r="AYI94" s="248"/>
      <c r="AYJ94" s="248"/>
      <c r="AYK94" s="248"/>
      <c r="AYL94" s="248"/>
      <c r="AYM94" s="248"/>
      <c r="AYN94" s="248"/>
      <c r="AYO94" s="248"/>
      <c r="AYP94" s="248"/>
      <c r="AYQ94" s="248"/>
      <c r="AYR94" s="248"/>
      <c r="AYS94" s="248"/>
      <c r="AYT94" s="248"/>
      <c r="AYU94" s="248"/>
      <c r="AYV94" s="248"/>
      <c r="AYW94" s="248"/>
      <c r="AYX94" s="248"/>
      <c r="AYY94" s="248"/>
      <c r="AYZ94" s="248"/>
      <c r="AZA94" s="248"/>
      <c r="AZB94" s="248"/>
      <c r="AZC94" s="248"/>
      <c r="AZD94" s="248"/>
      <c r="AZE94" s="248"/>
      <c r="AZF94" s="248"/>
      <c r="AZG94" s="248"/>
      <c r="AZH94" s="248"/>
      <c r="AZI94" s="248"/>
      <c r="AZJ94" s="248"/>
      <c r="AZK94" s="248"/>
      <c r="AZL94" s="248"/>
      <c r="AZM94" s="248"/>
      <c r="AZN94" s="248"/>
      <c r="AZO94" s="248"/>
      <c r="AZP94" s="248"/>
      <c r="AZQ94" s="248"/>
      <c r="AZR94" s="248"/>
      <c r="AZS94" s="248"/>
      <c r="AZT94" s="248"/>
      <c r="AZU94" s="248"/>
      <c r="AZV94" s="248"/>
      <c r="AZW94" s="248"/>
      <c r="AZX94" s="248"/>
      <c r="AZY94" s="248"/>
      <c r="AZZ94" s="248"/>
      <c r="BAA94" s="248"/>
      <c r="BAB94" s="248"/>
      <c r="BAC94" s="248"/>
      <c r="BAD94" s="248"/>
      <c r="BAE94" s="248"/>
      <c r="BAF94" s="248"/>
      <c r="BAG94" s="248"/>
      <c r="BAH94" s="248"/>
      <c r="BAI94" s="248"/>
      <c r="BAJ94" s="248"/>
      <c r="BAK94" s="248"/>
      <c r="BAL94" s="248"/>
      <c r="BAM94" s="248"/>
      <c r="BAN94" s="248"/>
      <c r="BAO94" s="248"/>
      <c r="BAP94" s="248"/>
      <c r="BAQ94" s="248"/>
      <c r="BAR94" s="248"/>
      <c r="BAS94" s="248"/>
      <c r="BAT94" s="248"/>
      <c r="BAU94" s="248"/>
      <c r="BAV94" s="248"/>
      <c r="BAW94" s="248"/>
      <c r="BAX94" s="248"/>
      <c r="BAY94" s="248"/>
      <c r="BAZ94" s="248"/>
      <c r="BBA94" s="248"/>
      <c r="BBB94" s="248"/>
      <c r="BBC94" s="248"/>
      <c r="BBD94" s="248"/>
      <c r="BBE94" s="248"/>
      <c r="BBF94" s="248"/>
      <c r="BBG94" s="248"/>
      <c r="BBH94" s="248"/>
      <c r="BBI94" s="248"/>
      <c r="BBJ94" s="248"/>
      <c r="BBK94" s="248"/>
      <c r="BBL94" s="248"/>
      <c r="BBM94" s="248"/>
      <c r="BBN94" s="248"/>
      <c r="BBO94" s="248"/>
      <c r="BBP94" s="248"/>
      <c r="BBQ94" s="248"/>
      <c r="BBR94" s="248"/>
      <c r="BBS94" s="248"/>
      <c r="BBT94" s="248"/>
      <c r="BBU94" s="248"/>
      <c r="BBV94" s="248"/>
      <c r="BBW94" s="248"/>
      <c r="BBX94" s="248"/>
      <c r="BBY94" s="248"/>
      <c r="BBZ94" s="248"/>
      <c r="BCA94" s="248"/>
      <c r="BCB94" s="248"/>
      <c r="BCC94" s="248"/>
      <c r="BCD94" s="248"/>
      <c r="BCE94" s="248"/>
      <c r="BCF94" s="248"/>
      <c r="BCG94" s="248"/>
      <c r="BCH94" s="248"/>
      <c r="BCI94" s="248"/>
      <c r="BCJ94" s="248"/>
      <c r="BCK94" s="248"/>
      <c r="BCL94" s="248"/>
      <c r="BCM94" s="248"/>
      <c r="BCN94" s="248"/>
      <c r="BCO94" s="248"/>
      <c r="BCP94" s="248"/>
      <c r="BCQ94" s="248"/>
      <c r="BCR94" s="248"/>
      <c r="BCS94" s="248"/>
      <c r="BCT94" s="248"/>
      <c r="BCU94" s="248"/>
      <c r="BCV94" s="248"/>
      <c r="BCW94" s="248"/>
      <c r="BCX94" s="248"/>
      <c r="BCY94" s="248"/>
      <c r="BCZ94" s="248"/>
      <c r="BDA94" s="248"/>
      <c r="BDB94" s="248"/>
      <c r="BDC94" s="248"/>
      <c r="BDD94" s="248"/>
      <c r="BDE94" s="248"/>
      <c r="BDF94" s="248"/>
      <c r="BDG94" s="248"/>
      <c r="BDH94" s="248"/>
      <c r="BDI94" s="248"/>
      <c r="BDJ94" s="248"/>
      <c r="BDK94" s="248"/>
      <c r="BDL94" s="248"/>
      <c r="BDM94" s="248"/>
      <c r="BDN94" s="248"/>
      <c r="BDO94" s="248"/>
      <c r="BDP94" s="248"/>
      <c r="BDQ94" s="248"/>
      <c r="BDR94" s="248"/>
      <c r="BDS94" s="248"/>
      <c r="BDT94" s="248"/>
      <c r="BDU94" s="248"/>
      <c r="BDV94" s="248"/>
      <c r="BDW94" s="248"/>
      <c r="BDX94" s="248"/>
      <c r="BDY94" s="248"/>
      <c r="BDZ94" s="248"/>
      <c r="BEA94" s="248"/>
      <c r="BEB94" s="248"/>
      <c r="BEC94" s="248"/>
      <c r="BED94" s="248"/>
      <c r="BEE94" s="248"/>
      <c r="BEF94" s="248"/>
      <c r="BEG94" s="248"/>
      <c r="BEH94" s="248"/>
      <c r="BEI94" s="248"/>
      <c r="BEJ94" s="248"/>
      <c r="BEK94" s="248"/>
      <c r="BEL94" s="248"/>
      <c r="BEM94" s="248"/>
      <c r="BEN94" s="248"/>
      <c r="BEO94" s="248"/>
      <c r="BEP94" s="248"/>
      <c r="BEQ94" s="248"/>
      <c r="BER94" s="248"/>
      <c r="BES94" s="248"/>
      <c r="BET94" s="248"/>
      <c r="BEU94" s="248"/>
      <c r="BEV94" s="248"/>
      <c r="BEW94" s="248"/>
      <c r="BEX94" s="248"/>
      <c r="BEY94" s="248"/>
      <c r="BEZ94" s="248"/>
      <c r="BFA94" s="248"/>
      <c r="BFB94" s="248"/>
      <c r="BFC94" s="248"/>
      <c r="BFD94" s="248"/>
      <c r="BFE94" s="248"/>
      <c r="BFF94" s="248"/>
      <c r="BFG94" s="248"/>
      <c r="BFH94" s="248"/>
      <c r="BFI94" s="248"/>
      <c r="BFJ94" s="248"/>
      <c r="BFK94" s="248"/>
      <c r="BFL94" s="248"/>
      <c r="BFM94" s="248"/>
      <c r="BFN94" s="248"/>
      <c r="BFO94" s="248"/>
      <c r="BFP94" s="248"/>
      <c r="BFQ94" s="248"/>
      <c r="BFR94" s="248"/>
      <c r="BFS94" s="248"/>
      <c r="BFT94" s="248"/>
      <c r="BFU94" s="248"/>
      <c r="BFV94" s="248"/>
      <c r="BFW94" s="248"/>
      <c r="BFX94" s="248"/>
      <c r="BFY94" s="248"/>
      <c r="BFZ94" s="248"/>
      <c r="BGA94" s="248"/>
      <c r="BGB94" s="248"/>
      <c r="BGC94" s="248"/>
      <c r="BGD94" s="248"/>
      <c r="BGE94" s="248"/>
      <c r="BGF94" s="248"/>
      <c r="BGG94" s="248"/>
      <c r="BGH94" s="248"/>
      <c r="BGI94" s="248"/>
      <c r="BGJ94" s="248"/>
      <c r="BGK94" s="248"/>
      <c r="BGL94" s="248"/>
      <c r="BGM94" s="248"/>
      <c r="BGN94" s="248"/>
      <c r="BGO94" s="248"/>
      <c r="BGP94" s="248"/>
      <c r="BGQ94" s="248"/>
      <c r="BGR94" s="248"/>
      <c r="BGS94" s="248"/>
      <c r="BGT94" s="248"/>
      <c r="BGU94" s="248"/>
      <c r="BGV94" s="248"/>
      <c r="BGW94" s="248"/>
      <c r="BGX94" s="248"/>
      <c r="BGY94" s="248"/>
      <c r="BGZ94" s="248"/>
      <c r="BHA94" s="248"/>
      <c r="BHB94" s="248"/>
      <c r="BHC94" s="248"/>
      <c r="BHD94" s="248"/>
      <c r="BHE94" s="248"/>
      <c r="BHF94" s="248"/>
      <c r="BHG94" s="248"/>
      <c r="BHH94" s="248"/>
      <c r="BHI94" s="248"/>
      <c r="BHJ94" s="248"/>
      <c r="BHK94" s="248"/>
      <c r="BHL94" s="248"/>
      <c r="BHM94" s="248"/>
      <c r="BHN94" s="248"/>
      <c r="BHO94" s="248"/>
      <c r="BHP94" s="248"/>
      <c r="BHQ94" s="248"/>
      <c r="BHR94" s="248"/>
      <c r="BHS94" s="248"/>
      <c r="BHT94" s="248"/>
      <c r="BHU94" s="248"/>
      <c r="BHV94" s="248"/>
      <c r="BHW94" s="248"/>
      <c r="BHX94" s="248"/>
      <c r="BHY94" s="248"/>
      <c r="BHZ94" s="248"/>
      <c r="BIA94" s="248"/>
      <c r="BIB94" s="248"/>
      <c r="BIC94" s="248"/>
      <c r="BID94" s="248"/>
      <c r="BIE94" s="248"/>
      <c r="BIF94" s="248"/>
      <c r="BIG94" s="248"/>
      <c r="BIH94" s="248"/>
      <c r="BII94" s="248"/>
      <c r="BIJ94" s="248"/>
      <c r="BIK94" s="248"/>
      <c r="BIL94" s="248"/>
      <c r="BIM94" s="248"/>
      <c r="BIN94" s="248"/>
      <c r="BIO94" s="248"/>
      <c r="BIP94" s="248"/>
      <c r="BIQ94" s="248"/>
      <c r="BIR94" s="248"/>
      <c r="BIS94" s="248"/>
      <c r="BIT94" s="248"/>
      <c r="BIU94" s="248"/>
      <c r="BIV94" s="248"/>
      <c r="BIW94" s="248"/>
      <c r="BIX94" s="248"/>
      <c r="BIY94" s="248"/>
      <c r="BIZ94" s="248"/>
      <c r="BJA94" s="248"/>
      <c r="BJB94" s="248"/>
      <c r="BJC94" s="248"/>
      <c r="BJD94" s="248"/>
      <c r="BJE94" s="248"/>
      <c r="BJF94" s="248"/>
      <c r="BJG94" s="248"/>
      <c r="BJH94" s="248"/>
      <c r="BJI94" s="248"/>
      <c r="BJJ94" s="248"/>
      <c r="BJK94" s="248"/>
      <c r="BJL94" s="248"/>
      <c r="BJM94" s="248"/>
      <c r="BJN94" s="248"/>
      <c r="BJO94" s="248"/>
      <c r="BJP94" s="248"/>
      <c r="BJQ94" s="248"/>
      <c r="BJR94" s="248"/>
      <c r="BJS94" s="248"/>
      <c r="BJT94" s="248"/>
      <c r="BJU94" s="248"/>
      <c r="BJV94" s="248"/>
      <c r="BJW94" s="248"/>
      <c r="BJX94" s="248"/>
      <c r="BJY94" s="248"/>
      <c r="BJZ94" s="248"/>
      <c r="BKA94" s="248"/>
      <c r="BKB94" s="248"/>
      <c r="BKC94" s="248"/>
      <c r="BKD94" s="248"/>
      <c r="BKE94" s="248"/>
      <c r="BKF94" s="248"/>
      <c r="BKG94" s="248"/>
      <c r="BKH94" s="248"/>
      <c r="BKI94" s="248"/>
      <c r="BKJ94" s="248"/>
      <c r="BKK94" s="248"/>
      <c r="BKL94" s="248"/>
      <c r="BKM94" s="248"/>
      <c r="BKN94" s="248"/>
      <c r="BKO94" s="248"/>
      <c r="BKP94" s="248"/>
      <c r="BKQ94" s="248"/>
      <c r="BKR94" s="248"/>
      <c r="BKS94" s="248"/>
      <c r="BKT94" s="248"/>
      <c r="BKU94" s="248"/>
      <c r="BKV94" s="248"/>
    </row>
    <row r="95" spans="1:1660" ht="20.100000000000001" customHeight="1" x14ac:dyDescent="0.25">
      <c r="B95" s="51"/>
      <c r="C95" s="211" t="s">
        <v>34</v>
      </c>
      <c r="D95" s="212"/>
      <c r="E95" s="92">
        <f>SUM(E15,E17,E19,E21,E23,E25,E27,E29,E31,E33,E35,E37,E39,E41,E43,E45,E47,E49,E51,E53,E55,E57,E59,E61,E63,E65,E67,E69,E71,E73,E75,E77,E79,E81,E83,E85,E87,E89,E91,E93)</f>
        <v>2331</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73"/>
    </row>
    <row r="96" spans="1:1660" ht="20.100000000000001" customHeight="1" thickBot="1" x14ac:dyDescent="0.3">
      <c r="B96" s="51"/>
      <c r="C96" s="213"/>
      <c r="D96" s="214"/>
      <c r="E96" s="98" t="str">
        <f xml:space="preserve"> setValueToTime(E95)</f>
        <v>194h 15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73"/>
    </row>
    <row r="97" spans="2:1326" ht="20.100000000000001" customHeight="1" x14ac:dyDescent="0.25">
      <c r="B97" s="51"/>
      <c r="C97" s="203" t="s">
        <v>35</v>
      </c>
      <c r="D97" s="204"/>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9"/>
    </row>
    <row r="98" spans="2:1326" ht="20.100000000000001" customHeight="1" thickBot="1" x14ac:dyDescent="0.3">
      <c r="B98" s="51"/>
      <c r="C98" s="205"/>
      <c r="D98" s="206"/>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73"/>
    </row>
    <row r="99" spans="2:13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4"/>
    </row>
  </sheetData>
  <sheetProtection insertRows="0" insertHyperlinks="0" selectLockedCells="1"/>
  <sortState xmlns:xlrd2="http://schemas.microsoft.com/office/spreadsheetml/2017/richdata2" ref="C15:C94">
    <sortCondition ref="C15:C94"/>
  </sortState>
  <mergeCells count="336">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GH14:GK14"/>
    <mergeCell ref="GN14:GQ14"/>
    <mergeCell ref="GT14:GW14"/>
    <mergeCell ref="GZ14:HC14"/>
    <mergeCell ref="HF14:HI14"/>
    <mergeCell ref="DV12:GC12"/>
    <mergeCell ref="GD10:IK10"/>
    <mergeCell ref="GD11:IK11"/>
    <mergeCell ref="GD12:IK12"/>
    <mergeCell ref="GD13:IK13"/>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63:C64"/>
    <mergeCell ref="C51:C52"/>
    <mergeCell ref="C91:C92"/>
    <mergeCell ref="C49:C50"/>
    <mergeCell ref="C47:C48"/>
    <mergeCell ref="DN14:DQ14"/>
    <mergeCell ref="C41:C42"/>
    <mergeCell ref="C39:C40"/>
    <mergeCell ref="C43:C44"/>
    <mergeCell ref="C31:C32"/>
    <mergeCell ref="C79:C80"/>
    <mergeCell ref="C77:C78"/>
    <mergeCell ref="C75:C76"/>
    <mergeCell ref="C73:C74"/>
    <mergeCell ref="C71:C72"/>
    <mergeCell ref="C69:C70"/>
    <mergeCell ref="C67:C68"/>
    <mergeCell ref="C65:C66"/>
    <mergeCell ref="CJ14:CM14"/>
    <mergeCell ref="C1:E1"/>
    <mergeCell ref="C7:E7"/>
    <mergeCell ref="AN14:AQ14"/>
    <mergeCell ref="AT14:AW14"/>
    <mergeCell ref="AZ14:BC14"/>
    <mergeCell ref="BF14:BI14"/>
    <mergeCell ref="BR14:BU14"/>
    <mergeCell ref="BN11:DU11"/>
    <mergeCell ref="F11:BM11"/>
    <mergeCell ref="F12:BM12"/>
    <mergeCell ref="BN12:DU12"/>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R10:DU10"/>
    <mergeCell ref="BN10:CP10"/>
    <mergeCell ref="DV10:GC10"/>
    <mergeCell ref="G9:U9"/>
    <mergeCell ref="W9:AG9"/>
    <mergeCell ref="AH9:AW9"/>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tabSelected="1" zoomScaleNormal="100" zoomScaleSheetLayoutView="98" workbookViewId="0">
      <pane ySplit="1" topLeftCell="A350"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38"/>
      <c r="G3" s="239"/>
      <c r="H3" s="151"/>
    </row>
    <row r="4" spans="1:8" s="43" customFormat="1" hidden="1" x14ac:dyDescent="0.3">
      <c r="B4" s="40"/>
      <c r="C4" s="41"/>
      <c r="D4" s="125"/>
      <c r="E4" s="42"/>
      <c r="F4" s="240"/>
      <c r="G4" s="241"/>
      <c r="H4" s="152"/>
    </row>
    <row r="5" spans="1:8" s="43" customFormat="1" hidden="1" x14ac:dyDescent="0.3">
      <c r="B5" s="44"/>
      <c r="C5" s="45"/>
      <c r="D5" s="126"/>
      <c r="E5" s="46"/>
      <c r="F5" s="232"/>
      <c r="G5" s="233"/>
      <c r="H5" s="152"/>
    </row>
    <row r="6" spans="1:8" s="43" customFormat="1" hidden="1" x14ac:dyDescent="0.3">
      <c r="B6" s="44"/>
      <c r="C6" s="45"/>
      <c r="D6" s="126"/>
      <c r="E6" s="46"/>
      <c r="F6" s="232"/>
      <c r="G6" s="233"/>
      <c r="H6" s="152"/>
    </row>
    <row r="7" spans="1:8" s="43" customFormat="1" hidden="1" x14ac:dyDescent="0.3">
      <c r="B7" s="44"/>
      <c r="C7" s="45"/>
      <c r="D7" s="126"/>
      <c r="E7" s="46"/>
      <c r="F7" s="232"/>
      <c r="G7" s="233"/>
      <c r="H7" s="152"/>
    </row>
    <row r="8" spans="1:8" s="43" customFormat="1" hidden="1" x14ac:dyDescent="0.3">
      <c r="B8" s="44"/>
      <c r="C8" s="45"/>
      <c r="D8" s="127"/>
      <c r="E8" s="46"/>
      <c r="F8" s="232"/>
      <c r="G8" s="233"/>
      <c r="H8" s="152"/>
    </row>
    <row r="9" spans="1:8" s="43" customFormat="1" hidden="1" x14ac:dyDescent="0.3">
      <c r="B9" s="44"/>
      <c r="C9" s="45"/>
      <c r="D9" s="127"/>
      <c r="E9" s="46"/>
      <c r="F9" s="232"/>
      <c r="G9" s="233"/>
      <c r="H9" s="152"/>
    </row>
    <row r="10" spans="1:8" s="43" customFormat="1" hidden="1" x14ac:dyDescent="0.3">
      <c r="B10" s="44"/>
      <c r="C10" s="45"/>
      <c r="D10" s="127"/>
      <c r="E10" s="46"/>
      <c r="F10" s="232"/>
      <c r="G10" s="233"/>
      <c r="H10" s="152"/>
    </row>
    <row r="11" spans="1:8" s="43" customFormat="1" ht="15" hidden="1" thickBot="1" x14ac:dyDescent="0.35">
      <c r="B11" s="44"/>
      <c r="C11" s="47"/>
      <c r="D11" s="128"/>
      <c r="E11" s="48"/>
      <c r="F11" s="234"/>
      <c r="G11" s="235"/>
      <c r="H11" s="152"/>
    </row>
    <row r="12" spans="1:8" s="43" customFormat="1" ht="15" hidden="1" thickBot="1" x14ac:dyDescent="0.35">
      <c r="B12" s="86"/>
      <c r="C12" s="67"/>
      <c r="D12" s="86"/>
      <c r="E12" s="95"/>
      <c r="F12" s="236"/>
      <c r="G12" s="237"/>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38"/>
      <c r="G15" s="239"/>
      <c r="H15" s="151"/>
    </row>
    <row r="16" spans="1:8" s="43" customFormat="1" hidden="1" x14ac:dyDescent="0.3">
      <c r="B16" s="40"/>
      <c r="C16" s="41"/>
      <c r="D16" s="125"/>
      <c r="E16" s="42"/>
      <c r="F16" s="240"/>
      <c r="G16" s="241"/>
      <c r="H16" s="152"/>
    </row>
    <row r="17" spans="2:8" s="43" customFormat="1" hidden="1" x14ac:dyDescent="0.3">
      <c r="B17" s="44"/>
      <c r="C17" s="45"/>
      <c r="D17" s="126"/>
      <c r="E17" s="46"/>
      <c r="F17" s="232"/>
      <c r="G17" s="233"/>
      <c r="H17" s="152"/>
    </row>
    <row r="18" spans="2:8" s="43" customFormat="1" hidden="1" x14ac:dyDescent="0.3">
      <c r="B18" s="44"/>
      <c r="C18" s="45"/>
      <c r="D18" s="126"/>
      <c r="E18" s="46"/>
      <c r="F18" s="232"/>
      <c r="G18" s="233"/>
      <c r="H18" s="152"/>
    </row>
    <row r="19" spans="2:8" s="43" customFormat="1" hidden="1" x14ac:dyDescent="0.3">
      <c r="B19" s="44"/>
      <c r="C19" s="45"/>
      <c r="D19" s="126"/>
      <c r="E19" s="46"/>
      <c r="F19" s="232"/>
      <c r="G19" s="233"/>
      <c r="H19" s="152"/>
    </row>
    <row r="20" spans="2:8" s="43" customFormat="1" hidden="1" x14ac:dyDescent="0.3">
      <c r="B20" s="44"/>
      <c r="C20" s="45"/>
      <c r="D20" s="127"/>
      <c r="E20" s="46"/>
      <c r="F20" s="232"/>
      <c r="G20" s="233"/>
      <c r="H20" s="152"/>
    </row>
    <row r="21" spans="2:8" s="43" customFormat="1" hidden="1" x14ac:dyDescent="0.3">
      <c r="B21" s="44"/>
      <c r="C21" s="45"/>
      <c r="D21" s="127"/>
      <c r="E21" s="46"/>
      <c r="F21" s="232"/>
      <c r="G21" s="233"/>
      <c r="H21" s="152"/>
    </row>
    <row r="22" spans="2:8" s="43" customFormat="1" hidden="1" x14ac:dyDescent="0.3">
      <c r="B22" s="44"/>
      <c r="C22" s="45"/>
      <c r="D22" s="127"/>
      <c r="E22" s="46"/>
      <c r="F22" s="232"/>
      <c r="G22" s="233"/>
      <c r="H22" s="152"/>
    </row>
    <row r="23" spans="2:8" s="43" customFormat="1" ht="15" hidden="1" thickBot="1" x14ac:dyDescent="0.35">
      <c r="B23" s="44"/>
      <c r="C23" s="47"/>
      <c r="D23" s="128"/>
      <c r="E23" s="48"/>
      <c r="F23" s="234"/>
      <c r="G23" s="235"/>
      <c r="H23" s="152"/>
    </row>
    <row r="24" spans="2:8" s="43" customFormat="1" ht="15" hidden="1" thickBot="1" x14ac:dyDescent="0.35">
      <c r="B24" s="86"/>
      <c r="C24" s="67"/>
      <c r="D24" s="86"/>
      <c r="E24" s="95"/>
      <c r="F24" s="236"/>
      <c r="G24" s="237"/>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38"/>
      <c r="G27" s="239"/>
      <c r="H27" s="151"/>
    </row>
    <row r="28" spans="2:8" s="43" customFormat="1" hidden="1" x14ac:dyDescent="0.3">
      <c r="B28" s="40"/>
      <c r="C28" s="41"/>
      <c r="D28" s="125"/>
      <c r="E28" s="42"/>
      <c r="F28" s="240"/>
      <c r="G28" s="241"/>
      <c r="H28" s="152"/>
    </row>
    <row r="29" spans="2:8" s="43" customFormat="1" hidden="1" x14ac:dyDescent="0.3">
      <c r="B29" s="44"/>
      <c r="C29" s="45"/>
      <c r="D29" s="126"/>
      <c r="E29" s="46"/>
      <c r="F29" s="232"/>
      <c r="G29" s="233"/>
      <c r="H29" s="152"/>
    </row>
    <row r="30" spans="2:8" s="43" customFormat="1" hidden="1" x14ac:dyDescent="0.3">
      <c r="B30" s="44"/>
      <c r="C30" s="45"/>
      <c r="D30" s="126"/>
      <c r="E30" s="46"/>
      <c r="F30" s="232"/>
      <c r="G30" s="233"/>
      <c r="H30" s="152"/>
    </row>
    <row r="31" spans="2:8" s="43" customFormat="1" hidden="1" x14ac:dyDescent="0.3">
      <c r="B31" s="44"/>
      <c r="C31" s="45"/>
      <c r="D31" s="126"/>
      <c r="E31" s="46"/>
      <c r="F31" s="232"/>
      <c r="G31" s="233"/>
      <c r="H31" s="152"/>
    </row>
    <row r="32" spans="2:8" s="43" customFormat="1" hidden="1" x14ac:dyDescent="0.3">
      <c r="B32" s="44"/>
      <c r="C32" s="45"/>
      <c r="D32" s="127"/>
      <c r="E32" s="46"/>
      <c r="F32" s="232"/>
      <c r="G32" s="233"/>
      <c r="H32" s="152"/>
    </row>
    <row r="33" spans="2:8" s="43" customFormat="1" hidden="1" x14ac:dyDescent="0.3">
      <c r="B33" s="44"/>
      <c r="C33" s="45"/>
      <c r="D33" s="127"/>
      <c r="E33" s="46"/>
      <c r="F33" s="232"/>
      <c r="G33" s="233"/>
      <c r="H33" s="152"/>
    </row>
    <row r="34" spans="2:8" s="43" customFormat="1" hidden="1" x14ac:dyDescent="0.3">
      <c r="B34" s="44"/>
      <c r="C34" s="45"/>
      <c r="D34" s="127"/>
      <c r="E34" s="46"/>
      <c r="F34" s="232"/>
      <c r="G34" s="233"/>
      <c r="H34" s="152"/>
    </row>
    <row r="35" spans="2:8" s="43" customFormat="1" ht="15" hidden="1" thickBot="1" x14ac:dyDescent="0.35">
      <c r="B35" s="44"/>
      <c r="C35" s="47"/>
      <c r="D35" s="128"/>
      <c r="E35" s="48"/>
      <c r="F35" s="234"/>
      <c r="G35" s="235"/>
      <c r="H35" s="152"/>
    </row>
    <row r="36" spans="2:8" s="43" customFormat="1" ht="15" hidden="1" thickBot="1" x14ac:dyDescent="0.35">
      <c r="B36" s="86"/>
      <c r="C36" s="67"/>
      <c r="D36" s="86"/>
      <c r="E36" s="95"/>
      <c r="F36" s="236"/>
      <c r="G36" s="237"/>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65</v>
      </c>
      <c r="H38" s="151"/>
    </row>
    <row r="39" spans="2:8" s="39" customFormat="1" ht="30" customHeight="1" thickBot="1" x14ac:dyDescent="0.3">
      <c r="B39" s="63" t="s">
        <v>38</v>
      </c>
      <c r="C39" s="123" t="s">
        <v>39</v>
      </c>
      <c r="D39" s="124"/>
      <c r="E39" s="63" t="s">
        <v>40</v>
      </c>
      <c r="F39" s="238" t="s">
        <v>41</v>
      </c>
      <c r="G39" s="239"/>
      <c r="H39" s="151"/>
    </row>
    <row r="40" spans="2:8" s="43" customFormat="1" x14ac:dyDescent="0.3">
      <c r="B40" s="44" t="s">
        <v>30</v>
      </c>
      <c r="C40" s="45">
        <v>2</v>
      </c>
      <c r="D40" s="126" t="str">
        <f t="shared" ref="D40" si="0" xml:space="preserve"> IF(C40="","",setValueToTime(C40))</f>
        <v xml:space="preserve"> 10 min</v>
      </c>
      <c r="E40" s="42"/>
      <c r="F40" s="240"/>
      <c r="G40" s="241"/>
      <c r="H40" s="152"/>
    </row>
    <row r="41" spans="2:8" s="43" customFormat="1" x14ac:dyDescent="0.3">
      <c r="B41" s="44" t="s">
        <v>131</v>
      </c>
      <c r="C41" s="45">
        <v>18</v>
      </c>
      <c r="D41" s="126" t="str">
        <f t="shared" ref="D41:D47" si="1" xml:space="preserve"> IF(C41="","",setValueToTime(C41))</f>
        <v>1h 30 min</v>
      </c>
      <c r="E41" s="247" t="s">
        <v>140</v>
      </c>
      <c r="F41" s="232"/>
      <c r="G41" s="233"/>
      <c r="H41" s="152"/>
    </row>
    <row r="42" spans="2:8" s="43" customFormat="1" x14ac:dyDescent="0.3">
      <c r="B42" s="44" t="s">
        <v>52</v>
      </c>
      <c r="C42" s="45">
        <v>16</v>
      </c>
      <c r="D42" s="126" t="str">
        <f t="shared" si="1"/>
        <v>1h 20 min</v>
      </c>
      <c r="E42" s="247" t="s">
        <v>140</v>
      </c>
      <c r="F42" s="232"/>
      <c r="G42" s="233"/>
      <c r="H42" s="152"/>
    </row>
    <row r="43" spans="2:8" s="43" customFormat="1" x14ac:dyDescent="0.3">
      <c r="B43" s="44"/>
      <c r="C43" s="45"/>
      <c r="D43" s="126" t="str">
        <f t="shared" si="1"/>
        <v/>
      </c>
      <c r="E43" s="46"/>
      <c r="F43" s="232"/>
      <c r="G43" s="233"/>
      <c r="H43" s="152"/>
    </row>
    <row r="44" spans="2:8" s="43" customFormat="1" x14ac:dyDescent="0.3">
      <c r="B44" s="44"/>
      <c r="C44" s="45"/>
      <c r="D44" s="127" t="str">
        <f t="shared" si="1"/>
        <v/>
      </c>
      <c r="E44" s="46"/>
      <c r="F44" s="232"/>
      <c r="G44" s="233"/>
      <c r="H44" s="152"/>
    </row>
    <row r="45" spans="2:8" s="43" customFormat="1" x14ac:dyDescent="0.3">
      <c r="B45" s="44"/>
      <c r="C45" s="45"/>
      <c r="D45" s="127" t="str">
        <f t="shared" si="1"/>
        <v/>
      </c>
      <c r="E45" s="46"/>
      <c r="F45" s="232"/>
      <c r="G45" s="233"/>
      <c r="H45" s="152"/>
    </row>
    <row r="46" spans="2:8" s="43" customFormat="1" x14ac:dyDescent="0.3">
      <c r="B46" s="44"/>
      <c r="C46" s="45"/>
      <c r="D46" s="127" t="str">
        <f t="shared" si="1"/>
        <v/>
      </c>
      <c r="E46" s="46"/>
      <c r="F46" s="232"/>
      <c r="G46" s="233"/>
      <c r="H46" s="152"/>
    </row>
    <row r="47" spans="2:8" s="43" customFormat="1" ht="15" thickBot="1" x14ac:dyDescent="0.35">
      <c r="B47" s="44"/>
      <c r="C47" s="47"/>
      <c r="D47" s="128" t="str">
        <f t="shared" si="1"/>
        <v/>
      </c>
      <c r="E47" s="48"/>
      <c r="F47" s="234"/>
      <c r="G47" s="235"/>
      <c r="H47" s="152"/>
    </row>
    <row r="48" spans="2:8" s="43" customFormat="1" ht="15" thickBot="1" x14ac:dyDescent="0.35">
      <c r="B48" s="86" t="s">
        <v>43</v>
      </c>
      <c r="C48" s="67">
        <f>SUM(C40:C47)</f>
        <v>36</v>
      </c>
      <c r="D48" s="86" t="str">
        <f xml:space="preserve"> setValueToTime(C48)</f>
        <v>3h</v>
      </c>
      <c r="E48" s="95"/>
      <c r="F48" s="236"/>
      <c r="G48" s="237"/>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66</v>
      </c>
      <c r="H50" s="151"/>
    </row>
    <row r="51" spans="2:8" s="39" customFormat="1" ht="30" customHeight="1" thickBot="1" x14ac:dyDescent="0.3">
      <c r="B51" s="63" t="s">
        <v>38</v>
      </c>
      <c r="C51" s="123" t="s">
        <v>39</v>
      </c>
      <c r="D51" s="124"/>
      <c r="E51" s="63" t="s">
        <v>40</v>
      </c>
      <c r="F51" s="238" t="s">
        <v>41</v>
      </c>
      <c r="G51" s="239"/>
      <c r="H51" s="151"/>
    </row>
    <row r="52" spans="2:8" s="43" customFormat="1" x14ac:dyDescent="0.3">
      <c r="B52" s="44" t="s">
        <v>30</v>
      </c>
      <c r="C52" s="45">
        <v>2</v>
      </c>
      <c r="D52" s="126" t="str">
        <f t="shared" ref="D52" si="2" xml:space="preserve"> IF(C52="","",setValueToTime(C52))</f>
        <v xml:space="preserve"> 10 min</v>
      </c>
      <c r="E52" s="42"/>
      <c r="F52" s="240"/>
      <c r="G52" s="241"/>
      <c r="H52" s="152"/>
    </row>
    <row r="53" spans="2:8" s="43" customFormat="1" x14ac:dyDescent="0.3">
      <c r="B53" s="44" t="s">
        <v>31</v>
      </c>
      <c r="C53" s="45">
        <v>20</v>
      </c>
      <c r="D53" s="126" t="str">
        <f t="shared" ref="D53:D59" si="3" xml:space="preserve"> IF(C53="","",setValueToTime(C53))</f>
        <v>1h 40 min</v>
      </c>
      <c r="E53" s="247" t="s">
        <v>138</v>
      </c>
      <c r="F53" s="232"/>
      <c r="G53" s="233"/>
      <c r="H53" s="152"/>
    </row>
    <row r="54" spans="2:8" s="43" customFormat="1" x14ac:dyDescent="0.3">
      <c r="B54" s="44" t="s">
        <v>131</v>
      </c>
      <c r="C54" s="45">
        <v>20</v>
      </c>
      <c r="D54" s="126" t="str">
        <f t="shared" si="3"/>
        <v>1h 40 min</v>
      </c>
      <c r="E54" s="247" t="s">
        <v>139</v>
      </c>
      <c r="F54" s="232"/>
      <c r="G54" s="233"/>
      <c r="H54" s="152"/>
    </row>
    <row r="55" spans="2:8" s="43" customFormat="1" x14ac:dyDescent="0.3">
      <c r="B55" s="44"/>
      <c r="C55" s="45"/>
      <c r="D55" s="126" t="str">
        <f t="shared" si="3"/>
        <v/>
      </c>
      <c r="E55" s="46"/>
      <c r="F55" s="232"/>
      <c r="G55" s="233"/>
      <c r="H55" s="152"/>
    </row>
    <row r="56" spans="2:8" s="43" customFormat="1" x14ac:dyDescent="0.3">
      <c r="B56" s="44"/>
      <c r="C56" s="45"/>
      <c r="D56" s="127" t="str">
        <f t="shared" si="3"/>
        <v/>
      </c>
      <c r="E56" s="46"/>
      <c r="F56" s="232"/>
      <c r="G56" s="233"/>
      <c r="H56" s="152"/>
    </row>
    <row r="57" spans="2:8" s="43" customFormat="1" x14ac:dyDescent="0.3">
      <c r="B57" s="44"/>
      <c r="C57" s="45"/>
      <c r="D57" s="127" t="str">
        <f t="shared" si="3"/>
        <v/>
      </c>
      <c r="E57" s="46"/>
      <c r="F57" s="232"/>
      <c r="G57" s="233"/>
      <c r="H57" s="152"/>
    </row>
    <row r="58" spans="2:8" s="43" customFormat="1" x14ac:dyDescent="0.3">
      <c r="B58" s="44"/>
      <c r="C58" s="45"/>
      <c r="D58" s="127" t="str">
        <f t="shared" si="3"/>
        <v/>
      </c>
      <c r="E58" s="46"/>
      <c r="F58" s="232"/>
      <c r="G58" s="233"/>
      <c r="H58" s="152"/>
    </row>
    <row r="59" spans="2:8" s="43" customFormat="1" ht="15" thickBot="1" x14ac:dyDescent="0.35">
      <c r="B59" s="44"/>
      <c r="C59" s="47"/>
      <c r="D59" s="128" t="str">
        <f t="shared" si="3"/>
        <v/>
      </c>
      <c r="E59" s="48"/>
      <c r="F59" s="234"/>
      <c r="G59" s="235"/>
      <c r="H59" s="152"/>
    </row>
    <row r="60" spans="2:8" s="43" customFormat="1" ht="15" thickBot="1" x14ac:dyDescent="0.35">
      <c r="B60" s="86" t="s">
        <v>43</v>
      </c>
      <c r="C60" s="67">
        <f>SUM(C52:C59)</f>
        <v>42</v>
      </c>
      <c r="D60" s="86" t="str">
        <f xml:space="preserve"> setValueToTime(C60)</f>
        <v>3h 30 min</v>
      </c>
      <c r="E60" s="95"/>
      <c r="F60" s="236"/>
      <c r="G60" s="237"/>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65</v>
      </c>
      <c r="H62" s="151"/>
    </row>
    <row r="63" spans="2:8" s="39" customFormat="1" ht="30" customHeight="1" thickBot="1" x14ac:dyDescent="0.3">
      <c r="B63" s="63" t="s">
        <v>38</v>
      </c>
      <c r="C63" s="123" t="s">
        <v>39</v>
      </c>
      <c r="D63" s="124"/>
      <c r="E63" s="63" t="s">
        <v>40</v>
      </c>
      <c r="F63" s="238" t="s">
        <v>41</v>
      </c>
      <c r="G63" s="239"/>
      <c r="H63" s="151"/>
    </row>
    <row r="64" spans="2:8" s="43" customFormat="1" x14ac:dyDescent="0.3">
      <c r="B64" s="44" t="s">
        <v>30</v>
      </c>
      <c r="C64" s="45">
        <v>2</v>
      </c>
      <c r="D64" s="126" t="str">
        <f t="shared" ref="D64" si="4" xml:space="preserve"> IF(C64="","",setValueToTime(C64))</f>
        <v xml:space="preserve"> 10 min</v>
      </c>
      <c r="E64" s="42"/>
      <c r="F64" s="240"/>
      <c r="G64" s="241"/>
      <c r="H64" s="152"/>
    </row>
    <row r="65" spans="2:8" s="43" customFormat="1" x14ac:dyDescent="0.3">
      <c r="B65" s="44" t="s">
        <v>58</v>
      </c>
      <c r="C65" s="45">
        <v>16</v>
      </c>
      <c r="D65" s="126" t="str">
        <f t="shared" ref="D65:D71" si="5" xml:space="preserve"> IF(C65="","",setValueToTime(C65))</f>
        <v>1h 20 min</v>
      </c>
      <c r="E65" s="247" t="s">
        <v>141</v>
      </c>
      <c r="F65" s="232"/>
      <c r="G65" s="233"/>
      <c r="H65" s="152"/>
    </row>
    <row r="66" spans="2:8" s="43" customFormat="1" x14ac:dyDescent="0.3">
      <c r="B66" s="44" t="s">
        <v>59</v>
      </c>
      <c r="C66" s="45">
        <v>18</v>
      </c>
      <c r="D66" s="126" t="str">
        <f t="shared" si="5"/>
        <v>1h 30 min</v>
      </c>
      <c r="E66" s="247" t="s">
        <v>137</v>
      </c>
      <c r="F66" s="232"/>
      <c r="G66" s="233"/>
      <c r="H66" s="152"/>
    </row>
    <row r="67" spans="2:8" s="43" customFormat="1" x14ac:dyDescent="0.3">
      <c r="B67" s="44"/>
      <c r="C67" s="45"/>
      <c r="D67" s="126" t="str">
        <f t="shared" si="5"/>
        <v/>
      </c>
      <c r="E67" s="46"/>
      <c r="F67" s="232"/>
      <c r="G67" s="233"/>
      <c r="H67" s="152"/>
    </row>
    <row r="68" spans="2:8" s="43" customFormat="1" x14ac:dyDescent="0.3">
      <c r="B68" s="44"/>
      <c r="C68" s="45"/>
      <c r="D68" s="127" t="str">
        <f t="shared" si="5"/>
        <v/>
      </c>
      <c r="E68" s="46"/>
      <c r="F68" s="232"/>
      <c r="G68" s="233"/>
      <c r="H68" s="152"/>
    </row>
    <row r="69" spans="2:8" s="43" customFormat="1" x14ac:dyDescent="0.3">
      <c r="B69" s="44"/>
      <c r="C69" s="45"/>
      <c r="D69" s="127" t="str">
        <f t="shared" si="5"/>
        <v/>
      </c>
      <c r="E69" s="46"/>
      <c r="F69" s="232"/>
      <c r="G69" s="233"/>
      <c r="H69" s="152"/>
    </row>
    <row r="70" spans="2:8" s="43" customFormat="1" x14ac:dyDescent="0.3">
      <c r="B70" s="44"/>
      <c r="C70" s="45"/>
      <c r="D70" s="127" t="str">
        <f t="shared" si="5"/>
        <v/>
      </c>
      <c r="E70" s="46"/>
      <c r="F70" s="232"/>
      <c r="G70" s="233"/>
      <c r="H70" s="152"/>
    </row>
    <row r="71" spans="2:8" s="43" customFormat="1" ht="15" thickBot="1" x14ac:dyDescent="0.35">
      <c r="B71" s="44"/>
      <c r="C71" s="47"/>
      <c r="D71" s="128" t="str">
        <f t="shared" si="5"/>
        <v/>
      </c>
      <c r="E71" s="48"/>
      <c r="F71" s="234"/>
      <c r="G71" s="235"/>
      <c r="H71" s="152"/>
    </row>
    <row r="72" spans="2:8" s="43" customFormat="1" ht="15" thickBot="1" x14ac:dyDescent="0.35">
      <c r="B72" s="86" t="s">
        <v>43</v>
      </c>
      <c r="C72" s="67">
        <f>SUM(C64:C71)</f>
        <v>36</v>
      </c>
      <c r="D72" s="86" t="str">
        <f xml:space="preserve"> setValueToTime(C72)</f>
        <v>3h</v>
      </c>
      <c r="E72" s="95"/>
      <c r="F72" s="236"/>
      <c r="G72" s="237"/>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66</v>
      </c>
      <c r="H74" s="151"/>
    </row>
    <row r="75" spans="2:8" s="39" customFormat="1" ht="30" customHeight="1" thickBot="1" x14ac:dyDescent="0.3">
      <c r="B75" s="63" t="s">
        <v>38</v>
      </c>
      <c r="C75" s="123" t="s">
        <v>39</v>
      </c>
      <c r="D75" s="124"/>
      <c r="E75" s="63" t="s">
        <v>40</v>
      </c>
      <c r="F75" s="238" t="s">
        <v>41</v>
      </c>
      <c r="G75" s="239"/>
      <c r="H75" s="151"/>
    </row>
    <row r="76" spans="2:8" s="43" customFormat="1" x14ac:dyDescent="0.3">
      <c r="B76" s="44" t="s">
        <v>30</v>
      </c>
      <c r="C76" s="45">
        <v>2</v>
      </c>
      <c r="D76" s="126" t="str">
        <f t="shared" ref="D76" si="6" xml:space="preserve"> IF(C76="","",setValueToTime(C76))</f>
        <v xml:space="preserve"> 10 min</v>
      </c>
      <c r="E76" s="42"/>
      <c r="F76" s="240"/>
      <c r="G76" s="241"/>
      <c r="H76" s="152"/>
    </row>
    <row r="77" spans="2:8" s="43" customFormat="1" x14ac:dyDescent="0.3">
      <c r="B77" s="44" t="s">
        <v>31</v>
      </c>
      <c r="C77" s="45">
        <v>24</v>
      </c>
      <c r="D77" s="126" t="str">
        <f t="shared" ref="D77:D83" si="7" xml:space="preserve"> IF(C77="","",setValueToTime(C77))</f>
        <v>2h</v>
      </c>
      <c r="E77" s="247" t="s">
        <v>142</v>
      </c>
      <c r="F77" s="232"/>
      <c r="G77" s="233"/>
      <c r="H77" s="152"/>
    </row>
    <row r="78" spans="2:8" s="43" customFormat="1" x14ac:dyDescent="0.3">
      <c r="B78" s="44" t="s">
        <v>58</v>
      </c>
      <c r="C78" s="45">
        <v>16</v>
      </c>
      <c r="D78" s="126" t="str">
        <f t="shared" si="7"/>
        <v>1h 20 min</v>
      </c>
      <c r="E78" s="247" t="s">
        <v>141</v>
      </c>
      <c r="F78" s="232"/>
      <c r="G78" s="233"/>
      <c r="H78" s="152"/>
    </row>
    <row r="79" spans="2:8" s="43" customFormat="1" x14ac:dyDescent="0.3">
      <c r="B79" s="44"/>
      <c r="C79" s="45"/>
      <c r="D79" s="126" t="str">
        <f t="shared" si="7"/>
        <v/>
      </c>
      <c r="E79" s="46"/>
      <c r="F79" s="232"/>
      <c r="G79" s="233"/>
      <c r="H79" s="152"/>
    </row>
    <row r="80" spans="2:8" s="43" customFormat="1" x14ac:dyDescent="0.3">
      <c r="B80" s="44"/>
      <c r="C80" s="45"/>
      <c r="D80" s="127" t="str">
        <f t="shared" si="7"/>
        <v/>
      </c>
      <c r="E80" s="46"/>
      <c r="F80" s="232"/>
      <c r="G80" s="233"/>
      <c r="H80" s="152"/>
    </row>
    <row r="81" spans="2:8" s="43" customFormat="1" x14ac:dyDescent="0.3">
      <c r="B81" s="44"/>
      <c r="C81" s="45"/>
      <c r="D81" s="127" t="str">
        <f t="shared" si="7"/>
        <v/>
      </c>
      <c r="E81" s="46"/>
      <c r="F81" s="232"/>
      <c r="G81" s="233"/>
      <c r="H81" s="152"/>
    </row>
    <row r="82" spans="2:8" s="43" customFormat="1" x14ac:dyDescent="0.3">
      <c r="B82" s="44"/>
      <c r="C82" s="45"/>
      <c r="D82" s="127" t="str">
        <f t="shared" si="7"/>
        <v/>
      </c>
      <c r="E82" s="46"/>
      <c r="F82" s="232"/>
      <c r="G82" s="233"/>
      <c r="H82" s="152"/>
    </row>
    <row r="83" spans="2:8" s="43" customFormat="1" ht="15" thickBot="1" x14ac:dyDescent="0.35">
      <c r="B83" s="44"/>
      <c r="C83" s="47"/>
      <c r="D83" s="128" t="str">
        <f t="shared" si="7"/>
        <v/>
      </c>
      <c r="E83" s="48"/>
      <c r="F83" s="234"/>
      <c r="G83" s="235"/>
      <c r="H83" s="152"/>
    </row>
    <row r="84" spans="2:8" s="43" customFormat="1" ht="15" thickBot="1" x14ac:dyDescent="0.35">
      <c r="B84" s="86" t="s">
        <v>43</v>
      </c>
      <c r="C84" s="67">
        <f>SUM(C76:C83)</f>
        <v>42</v>
      </c>
      <c r="D84" s="86" t="str">
        <f xml:space="preserve"> setValueToTime(C84)</f>
        <v>3h 30 min</v>
      </c>
      <c r="E84" s="95"/>
      <c r="F84" s="236"/>
      <c r="G84" s="237"/>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65</v>
      </c>
      <c r="H86" s="151"/>
    </row>
    <row r="87" spans="2:8" s="39" customFormat="1" ht="30" customHeight="1" thickBot="1" x14ac:dyDescent="0.3">
      <c r="B87" s="63" t="s">
        <v>38</v>
      </c>
      <c r="C87" s="123" t="s">
        <v>39</v>
      </c>
      <c r="D87" s="124"/>
      <c r="E87" s="63" t="s">
        <v>40</v>
      </c>
      <c r="F87" s="238" t="s">
        <v>41</v>
      </c>
      <c r="G87" s="239"/>
      <c r="H87" s="151"/>
    </row>
    <row r="88" spans="2:8" s="43" customFormat="1" x14ac:dyDescent="0.3">
      <c r="B88" s="44" t="s">
        <v>30</v>
      </c>
      <c r="C88" s="45">
        <v>2</v>
      </c>
      <c r="D88" s="126" t="str">
        <f t="shared" ref="D88" si="8" xml:space="preserve"> IF(C88="","",setValueToTime(C88))</f>
        <v xml:space="preserve"> 10 min</v>
      </c>
      <c r="E88" s="42"/>
      <c r="F88" s="240"/>
      <c r="G88" s="241"/>
      <c r="H88" s="152"/>
    </row>
    <row r="89" spans="2:8" s="43" customFormat="1" x14ac:dyDescent="0.3">
      <c r="B89" s="44" t="s">
        <v>31</v>
      </c>
      <c r="C89" s="45">
        <v>34</v>
      </c>
      <c r="D89" s="126" t="str">
        <f t="shared" ref="D89:D95" si="9" xml:space="preserve"> IF(C89="","",setValueToTime(C89))</f>
        <v>2h 50 min</v>
      </c>
      <c r="E89" s="247" t="s">
        <v>136</v>
      </c>
      <c r="F89" s="232"/>
      <c r="G89" s="233"/>
      <c r="H89" s="152"/>
    </row>
    <row r="90" spans="2:8" s="43" customFormat="1" x14ac:dyDescent="0.3">
      <c r="B90" s="44"/>
      <c r="C90" s="45"/>
      <c r="D90" s="126" t="str">
        <f t="shared" si="9"/>
        <v/>
      </c>
      <c r="E90" s="46"/>
      <c r="F90" s="232"/>
      <c r="G90" s="233"/>
      <c r="H90" s="152"/>
    </row>
    <row r="91" spans="2:8" s="43" customFormat="1" x14ac:dyDescent="0.3">
      <c r="B91" s="44"/>
      <c r="C91" s="45"/>
      <c r="D91" s="126" t="str">
        <f t="shared" si="9"/>
        <v/>
      </c>
      <c r="E91" s="46"/>
      <c r="F91" s="232"/>
      <c r="G91" s="233"/>
      <c r="H91" s="152"/>
    </row>
    <row r="92" spans="2:8" s="43" customFormat="1" x14ac:dyDescent="0.3">
      <c r="B92" s="44"/>
      <c r="C92" s="45"/>
      <c r="D92" s="127" t="str">
        <f t="shared" si="9"/>
        <v/>
      </c>
      <c r="E92" s="46"/>
      <c r="F92" s="232"/>
      <c r="G92" s="233"/>
      <c r="H92" s="152"/>
    </row>
    <row r="93" spans="2:8" s="43" customFormat="1" x14ac:dyDescent="0.3">
      <c r="B93" s="44"/>
      <c r="C93" s="45"/>
      <c r="D93" s="127" t="str">
        <f t="shared" si="9"/>
        <v/>
      </c>
      <c r="E93" s="46"/>
      <c r="F93" s="232"/>
      <c r="G93" s="233"/>
      <c r="H93" s="152"/>
    </row>
    <row r="94" spans="2:8" s="43" customFormat="1" x14ac:dyDescent="0.3">
      <c r="B94" s="44"/>
      <c r="C94" s="45"/>
      <c r="D94" s="127" t="str">
        <f t="shared" si="9"/>
        <v/>
      </c>
      <c r="E94" s="46"/>
      <c r="F94" s="232"/>
      <c r="G94" s="233"/>
      <c r="H94" s="152"/>
    </row>
    <row r="95" spans="2:8" s="43" customFormat="1" ht="15" thickBot="1" x14ac:dyDescent="0.35">
      <c r="B95" s="44"/>
      <c r="C95" s="47"/>
      <c r="D95" s="128" t="str">
        <f t="shared" si="9"/>
        <v/>
      </c>
      <c r="E95" s="48"/>
      <c r="F95" s="234"/>
      <c r="G95" s="235"/>
      <c r="H95" s="152"/>
    </row>
    <row r="96" spans="2:8" s="43" customFormat="1" ht="15" thickBot="1" x14ac:dyDescent="0.35">
      <c r="B96" s="86" t="s">
        <v>43</v>
      </c>
      <c r="C96" s="67">
        <f>SUM(C88:C95)</f>
        <v>36</v>
      </c>
      <c r="D96" s="86" t="str">
        <f xml:space="preserve"> setValueToTime(C96)</f>
        <v>3h</v>
      </c>
      <c r="E96" s="95"/>
      <c r="F96" s="236"/>
      <c r="G96" s="237"/>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66</v>
      </c>
      <c r="H98" s="151"/>
    </row>
    <row r="99" spans="2:8" s="39" customFormat="1" ht="30" customHeight="1" thickBot="1" x14ac:dyDescent="0.3">
      <c r="B99" s="63" t="s">
        <v>38</v>
      </c>
      <c r="C99" s="123" t="s">
        <v>39</v>
      </c>
      <c r="D99" s="124"/>
      <c r="E99" s="63" t="s">
        <v>40</v>
      </c>
      <c r="F99" s="238" t="s">
        <v>41</v>
      </c>
      <c r="G99" s="239"/>
      <c r="H99" s="151"/>
    </row>
    <row r="100" spans="2:8" s="43" customFormat="1" x14ac:dyDescent="0.3">
      <c r="B100" s="44" t="s">
        <v>30</v>
      </c>
      <c r="C100" s="45">
        <v>2</v>
      </c>
      <c r="D100" s="126" t="str">
        <f t="shared" ref="D100" si="10" xml:space="preserve"> IF(C100="","",setValueToTime(C100))</f>
        <v xml:space="preserve"> 10 min</v>
      </c>
      <c r="E100" s="42"/>
      <c r="F100" s="240"/>
      <c r="G100" s="241"/>
      <c r="H100" s="152"/>
    </row>
    <row r="101" spans="2:8" s="43" customFormat="1" x14ac:dyDescent="0.3">
      <c r="B101" s="44" t="s">
        <v>33</v>
      </c>
      <c r="C101" s="45">
        <v>40</v>
      </c>
      <c r="D101" s="126" t="str">
        <f t="shared" ref="D101:D107" si="11" xml:space="preserve"> IF(C101="","",setValueToTime(C101))</f>
        <v>3h 20 min</v>
      </c>
      <c r="E101" s="247" t="s">
        <v>135</v>
      </c>
      <c r="F101" s="232"/>
      <c r="G101" s="233"/>
      <c r="H101" s="152"/>
    </row>
    <row r="102" spans="2:8" s="43" customFormat="1" x14ac:dyDescent="0.3">
      <c r="B102" s="44"/>
      <c r="C102" s="45"/>
      <c r="D102" s="126" t="str">
        <f t="shared" si="11"/>
        <v/>
      </c>
      <c r="E102" s="46"/>
      <c r="F102" s="232"/>
      <c r="G102" s="233"/>
      <c r="H102" s="152"/>
    </row>
    <row r="103" spans="2:8" s="43" customFormat="1" x14ac:dyDescent="0.3">
      <c r="B103" s="44"/>
      <c r="C103" s="45"/>
      <c r="D103" s="126" t="str">
        <f t="shared" si="11"/>
        <v/>
      </c>
      <c r="E103" s="46"/>
      <c r="F103" s="232"/>
      <c r="G103" s="233"/>
      <c r="H103" s="152"/>
    </row>
    <row r="104" spans="2:8" s="43" customFormat="1" x14ac:dyDescent="0.3">
      <c r="B104" s="44"/>
      <c r="C104" s="45"/>
      <c r="D104" s="127" t="str">
        <f t="shared" si="11"/>
        <v/>
      </c>
      <c r="E104" s="46"/>
      <c r="F104" s="232"/>
      <c r="G104" s="233"/>
      <c r="H104" s="152"/>
    </row>
    <row r="105" spans="2:8" s="43" customFormat="1" x14ac:dyDescent="0.3">
      <c r="B105" s="44"/>
      <c r="C105" s="45"/>
      <c r="D105" s="127" t="str">
        <f t="shared" si="11"/>
        <v/>
      </c>
      <c r="E105" s="46"/>
      <c r="F105" s="232"/>
      <c r="G105" s="233"/>
      <c r="H105" s="152"/>
    </row>
    <row r="106" spans="2:8" s="43" customFormat="1" x14ac:dyDescent="0.3">
      <c r="B106" s="44"/>
      <c r="C106" s="45"/>
      <c r="D106" s="127" t="str">
        <f t="shared" si="11"/>
        <v/>
      </c>
      <c r="E106" s="46"/>
      <c r="F106" s="232"/>
      <c r="G106" s="233"/>
      <c r="H106" s="152"/>
    </row>
    <row r="107" spans="2:8" s="43" customFormat="1" ht="15" thickBot="1" x14ac:dyDescent="0.35">
      <c r="B107" s="44"/>
      <c r="C107" s="47"/>
      <c r="D107" s="128" t="str">
        <f t="shared" si="11"/>
        <v/>
      </c>
      <c r="E107" s="48"/>
      <c r="F107" s="234"/>
      <c r="G107" s="235"/>
      <c r="H107" s="152"/>
    </row>
    <row r="108" spans="2:8" s="43" customFormat="1" ht="15" thickBot="1" x14ac:dyDescent="0.35">
      <c r="B108" s="86" t="s">
        <v>43</v>
      </c>
      <c r="C108" s="67">
        <f>SUM(C100:C107)</f>
        <v>42</v>
      </c>
      <c r="D108" s="86" t="str">
        <f xml:space="preserve"> setValueToTime(C108)</f>
        <v>3h 30 min</v>
      </c>
      <c r="E108" s="95"/>
      <c r="F108" s="236"/>
      <c r="G108" s="237"/>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65</v>
      </c>
      <c r="H110" s="151"/>
    </row>
    <row r="111" spans="2:8" s="39" customFormat="1" ht="30" customHeight="1" thickBot="1" x14ac:dyDescent="0.3">
      <c r="B111" s="63" t="s">
        <v>38</v>
      </c>
      <c r="C111" s="123" t="s">
        <v>39</v>
      </c>
      <c r="D111" s="124"/>
      <c r="E111" s="63" t="s">
        <v>40</v>
      </c>
      <c r="F111" s="238" t="s">
        <v>41</v>
      </c>
      <c r="G111" s="239"/>
      <c r="H111" s="151"/>
    </row>
    <row r="112" spans="2:8" s="43" customFormat="1" x14ac:dyDescent="0.3">
      <c r="B112" s="44" t="s">
        <v>30</v>
      </c>
      <c r="C112" s="45">
        <v>2</v>
      </c>
      <c r="D112" s="126" t="str">
        <f t="shared" ref="D112" si="12" xml:space="preserve"> IF(C112="","",setValueToTime(C112))</f>
        <v xml:space="preserve"> 10 min</v>
      </c>
      <c r="E112" s="42"/>
      <c r="F112" s="240"/>
      <c r="G112" s="241"/>
      <c r="H112" s="152"/>
    </row>
    <row r="113" spans="2:8" s="43" customFormat="1" x14ac:dyDescent="0.3">
      <c r="B113" s="44" t="s">
        <v>33</v>
      </c>
      <c r="C113" s="45">
        <v>25</v>
      </c>
      <c r="D113" s="126" t="str">
        <f t="shared" ref="D113:D119" si="13" xml:space="preserve"> IF(C113="","",setValueToTime(C113))</f>
        <v>2h 5 min</v>
      </c>
      <c r="E113" s="247" t="s">
        <v>134</v>
      </c>
      <c r="F113" s="232"/>
      <c r="G113" s="233"/>
      <c r="H113" s="152"/>
    </row>
    <row r="114" spans="2:8" s="43" customFormat="1" x14ac:dyDescent="0.3">
      <c r="B114" s="44"/>
      <c r="C114" s="45"/>
      <c r="D114" s="126" t="str">
        <f t="shared" si="13"/>
        <v/>
      </c>
      <c r="E114" s="46"/>
      <c r="F114" s="232"/>
      <c r="G114" s="233"/>
      <c r="H114" s="152"/>
    </row>
    <row r="115" spans="2:8" s="43" customFormat="1" x14ac:dyDescent="0.3">
      <c r="B115" s="44"/>
      <c r="C115" s="45"/>
      <c r="D115" s="126" t="str">
        <f t="shared" si="13"/>
        <v/>
      </c>
      <c r="E115" s="46"/>
      <c r="F115" s="232"/>
      <c r="G115" s="233"/>
      <c r="H115" s="152"/>
    </row>
    <row r="116" spans="2:8" s="43" customFormat="1" x14ac:dyDescent="0.3">
      <c r="B116" s="44"/>
      <c r="C116" s="45"/>
      <c r="D116" s="127" t="str">
        <f t="shared" si="13"/>
        <v/>
      </c>
      <c r="E116" s="46"/>
      <c r="F116" s="232"/>
      <c r="G116" s="233"/>
      <c r="H116" s="152"/>
    </row>
    <row r="117" spans="2:8" s="43" customFormat="1" x14ac:dyDescent="0.3">
      <c r="B117" s="44"/>
      <c r="C117" s="45"/>
      <c r="D117" s="127" t="str">
        <f t="shared" si="13"/>
        <v/>
      </c>
      <c r="E117" s="46"/>
      <c r="F117" s="232"/>
      <c r="G117" s="233"/>
      <c r="H117" s="152"/>
    </row>
    <row r="118" spans="2:8" s="43" customFormat="1" x14ac:dyDescent="0.3">
      <c r="B118" s="44"/>
      <c r="C118" s="45"/>
      <c r="D118" s="127" t="str">
        <f t="shared" si="13"/>
        <v/>
      </c>
      <c r="E118" s="46"/>
      <c r="F118" s="232"/>
      <c r="G118" s="233"/>
      <c r="H118" s="152"/>
    </row>
    <row r="119" spans="2:8" s="43" customFormat="1" ht="15" thickBot="1" x14ac:dyDescent="0.35">
      <c r="B119" s="44"/>
      <c r="C119" s="47"/>
      <c r="D119" s="128" t="str">
        <f t="shared" si="13"/>
        <v/>
      </c>
      <c r="E119" s="48"/>
      <c r="F119" s="234"/>
      <c r="G119" s="235"/>
      <c r="H119" s="152"/>
    </row>
    <row r="120" spans="2:8" s="43" customFormat="1" ht="15" thickBot="1" x14ac:dyDescent="0.35">
      <c r="B120" s="86" t="s">
        <v>43</v>
      </c>
      <c r="C120" s="67">
        <f>SUM(C112:C119)</f>
        <v>27</v>
      </c>
      <c r="D120" s="86" t="str">
        <f xml:space="preserve"> setValueToTime(C120)</f>
        <v>2h 15 min</v>
      </c>
      <c r="E120" s="95"/>
      <c r="F120" s="236"/>
      <c r="G120" s="237"/>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66</v>
      </c>
      <c r="H122" s="151"/>
    </row>
    <row r="123" spans="2:8" s="39" customFormat="1" ht="30" customHeight="1" thickBot="1" x14ac:dyDescent="0.3">
      <c r="B123" s="63" t="s">
        <v>38</v>
      </c>
      <c r="C123" s="123" t="s">
        <v>39</v>
      </c>
      <c r="D123" s="124"/>
      <c r="E123" s="63" t="s">
        <v>40</v>
      </c>
      <c r="F123" s="238" t="s">
        <v>41</v>
      </c>
      <c r="G123" s="239"/>
      <c r="H123" s="151"/>
    </row>
    <row r="124" spans="2:8" s="43" customFormat="1" x14ac:dyDescent="0.3">
      <c r="B124" s="44" t="s">
        <v>30</v>
      </c>
      <c r="C124" s="45">
        <v>2</v>
      </c>
      <c r="D124" s="126" t="str">
        <f t="shared" ref="D124" si="14" xml:space="preserve"> IF(C124="","",setValueToTime(C124))</f>
        <v xml:space="preserve"> 10 min</v>
      </c>
      <c r="E124" s="42"/>
      <c r="F124" s="240"/>
      <c r="G124" s="241"/>
      <c r="H124" s="152"/>
    </row>
    <row r="125" spans="2:8" s="43" customFormat="1" x14ac:dyDescent="0.3">
      <c r="B125" s="44" t="s">
        <v>58</v>
      </c>
      <c r="C125" s="45">
        <v>14</v>
      </c>
      <c r="D125" s="126" t="str">
        <f t="shared" ref="D125:D131" si="15" xml:space="preserve"> IF(C125="","",setValueToTime(C125))</f>
        <v>1h 10 min</v>
      </c>
      <c r="E125" s="247" t="s">
        <v>132</v>
      </c>
      <c r="F125" s="232"/>
      <c r="G125" s="233"/>
      <c r="H125" s="152"/>
    </row>
    <row r="126" spans="2:8" s="43" customFormat="1" x14ac:dyDescent="0.3">
      <c r="B126" s="44" t="s">
        <v>33</v>
      </c>
      <c r="C126" s="45">
        <v>20</v>
      </c>
      <c r="D126" s="126" t="str">
        <f t="shared" si="15"/>
        <v>1h 40 min</v>
      </c>
      <c r="E126" s="247" t="s">
        <v>133</v>
      </c>
      <c r="F126" s="232"/>
      <c r="G126" s="233"/>
      <c r="H126" s="152"/>
    </row>
    <row r="127" spans="2:8" s="43" customFormat="1" x14ac:dyDescent="0.3">
      <c r="B127" s="44"/>
      <c r="C127" s="45"/>
      <c r="D127" s="126" t="str">
        <f t="shared" si="15"/>
        <v/>
      </c>
      <c r="E127" s="46"/>
      <c r="F127" s="232"/>
      <c r="G127" s="233"/>
      <c r="H127" s="152"/>
    </row>
    <row r="128" spans="2:8" s="43" customFormat="1" x14ac:dyDescent="0.3">
      <c r="B128" s="44"/>
      <c r="C128" s="45"/>
      <c r="D128" s="127" t="str">
        <f t="shared" si="15"/>
        <v/>
      </c>
      <c r="E128" s="46"/>
      <c r="F128" s="232"/>
      <c r="G128" s="233"/>
      <c r="H128" s="152"/>
    </row>
    <row r="129" spans="2:8" s="43" customFormat="1" x14ac:dyDescent="0.3">
      <c r="B129" s="44"/>
      <c r="C129" s="45"/>
      <c r="D129" s="127" t="str">
        <f t="shared" si="15"/>
        <v/>
      </c>
      <c r="E129" s="46"/>
      <c r="F129" s="232"/>
      <c r="G129" s="233"/>
      <c r="H129" s="152"/>
    </row>
    <row r="130" spans="2:8" s="43" customFormat="1" x14ac:dyDescent="0.3">
      <c r="B130" s="44"/>
      <c r="C130" s="45"/>
      <c r="D130" s="127" t="str">
        <f t="shared" si="15"/>
        <v/>
      </c>
      <c r="E130" s="46"/>
      <c r="F130" s="232"/>
      <c r="G130" s="233"/>
      <c r="H130" s="152"/>
    </row>
    <row r="131" spans="2:8" s="43" customFormat="1" ht="15" thickBot="1" x14ac:dyDescent="0.35">
      <c r="B131" s="44"/>
      <c r="C131" s="47"/>
      <c r="D131" s="128" t="str">
        <f t="shared" si="15"/>
        <v/>
      </c>
      <c r="E131" s="48"/>
      <c r="F131" s="234"/>
      <c r="G131" s="235"/>
      <c r="H131" s="152"/>
    </row>
    <row r="132" spans="2:8" s="43" customFormat="1" ht="15" thickBot="1" x14ac:dyDescent="0.35">
      <c r="B132" s="86" t="s">
        <v>43</v>
      </c>
      <c r="C132" s="67">
        <f>SUM(C124:C131)</f>
        <v>36</v>
      </c>
      <c r="D132" s="86" t="str">
        <f xml:space="preserve"> setValueToTime(C132)</f>
        <v>3h</v>
      </c>
      <c r="E132" s="95"/>
      <c r="F132" s="236"/>
      <c r="G132" s="237"/>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65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6" xml:space="preserve"> IF(C136="","",setValueToTime(C136))</f>
        <v xml:space="preserve"> 10 min</v>
      </c>
      <c r="E136" s="42"/>
      <c r="F136" s="159"/>
      <c r="G136" s="160"/>
      <c r="H136" s="152"/>
    </row>
    <row r="137" spans="2:8" s="43" customFormat="1" x14ac:dyDescent="0.3">
      <c r="B137" s="44" t="s">
        <v>31</v>
      </c>
      <c r="C137" s="45">
        <v>8</v>
      </c>
      <c r="D137" s="126" t="str">
        <f t="shared" si="16"/>
        <v xml:space="preserve"> 40 min</v>
      </c>
      <c r="E137" t="s">
        <v>130</v>
      </c>
      <c r="F137" s="153"/>
      <c r="G137" s="154"/>
      <c r="H137" s="152"/>
    </row>
    <row r="138" spans="2:8" s="43" customFormat="1" x14ac:dyDescent="0.3">
      <c r="B138" s="44"/>
      <c r="C138" s="45"/>
      <c r="D138" s="126" t="str">
        <f t="shared" ref="D137:D143" si="17" xml:space="preserve"> IF(C138="","",setValueToTime(C138))</f>
        <v/>
      </c>
      <c r="E138"/>
      <c r="F138" s="153"/>
      <c r="G138" s="154"/>
      <c r="H138" s="152"/>
    </row>
    <row r="139" spans="2:8" s="43" customFormat="1" x14ac:dyDescent="0.3">
      <c r="B139" s="44" t="s">
        <v>52</v>
      </c>
      <c r="C139" s="45">
        <v>8</v>
      </c>
      <c r="D139" s="126" t="str">
        <f t="shared" si="17"/>
        <v xml:space="preserve"> 40 min</v>
      </c>
      <c r="E139" s="247" t="s">
        <v>129</v>
      </c>
      <c r="F139" s="153"/>
      <c r="G139" s="154"/>
      <c r="H139" s="152"/>
    </row>
    <row r="140" spans="2:8" s="43" customFormat="1" ht="27" x14ac:dyDescent="0.3">
      <c r="B140" s="44" t="s">
        <v>54</v>
      </c>
      <c r="C140" s="45">
        <v>10</v>
      </c>
      <c r="D140" s="126" t="str">
        <f t="shared" si="17"/>
        <v xml:space="preserve"> 50 min</v>
      </c>
      <c r="E140" s="247" t="s">
        <v>127</v>
      </c>
      <c r="F140" s="153"/>
      <c r="G140" s="154"/>
      <c r="H140" s="152"/>
    </row>
    <row r="141" spans="2:8" s="43" customFormat="1" x14ac:dyDescent="0.3">
      <c r="B141" s="44" t="s">
        <v>58</v>
      </c>
      <c r="C141" s="45">
        <v>8</v>
      </c>
      <c r="D141" s="126" t="str">
        <f t="shared" si="17"/>
        <v xml:space="preserve"> 40 min</v>
      </c>
      <c r="E141" s="247" t="s">
        <v>126</v>
      </c>
      <c r="F141" s="153"/>
      <c r="G141" s="154"/>
      <c r="H141" s="152"/>
    </row>
    <row r="142" spans="2:8" s="43" customFormat="1" x14ac:dyDescent="0.3">
      <c r="B142" s="44"/>
      <c r="C142" s="45"/>
      <c r="D142" s="127" t="str">
        <f t="shared" si="17"/>
        <v/>
      </c>
      <c r="E142" s="46"/>
      <c r="F142" s="153"/>
      <c r="G142" s="154"/>
      <c r="H142" s="152"/>
    </row>
    <row r="143" spans="2:8" s="43" customFormat="1" ht="15" thickBot="1" x14ac:dyDescent="0.35">
      <c r="B143" s="44"/>
      <c r="C143" s="47"/>
      <c r="D143" s="128" t="str">
        <f t="shared" si="17"/>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66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8" xml:space="preserve"> IF(C148="","",setValueToTime(C148))</f>
        <v xml:space="preserve"> 10 min</v>
      </c>
      <c r="E148" s="42"/>
      <c r="F148" s="159"/>
      <c r="G148" s="160"/>
      <c r="H148" s="152"/>
    </row>
    <row r="149" spans="2:8" s="43" customFormat="1" ht="27" x14ac:dyDescent="0.3">
      <c r="B149" s="44" t="s">
        <v>54</v>
      </c>
      <c r="C149" s="45">
        <v>24</v>
      </c>
      <c r="D149" s="126" t="str">
        <f t="shared" si="18"/>
        <v>2h</v>
      </c>
      <c r="E149" s="247" t="s">
        <v>127</v>
      </c>
      <c r="F149" s="153"/>
      <c r="G149" s="154"/>
      <c r="H149" s="152"/>
    </row>
    <row r="150" spans="2:8" s="43" customFormat="1" x14ac:dyDescent="0.3">
      <c r="B150" s="44" t="s">
        <v>31</v>
      </c>
      <c r="C150" s="45">
        <v>6</v>
      </c>
      <c r="D150" s="126" t="str">
        <f t="shared" ref="D149:D155" si="19" xml:space="preserve"> IF(C150="","",setValueToTime(C150))</f>
        <v xml:space="preserve"> 30 min</v>
      </c>
      <c r="E150" t="s">
        <v>128</v>
      </c>
      <c r="F150" s="153"/>
      <c r="G150" s="154"/>
      <c r="H150" s="152"/>
    </row>
    <row r="151" spans="2:8" s="43" customFormat="1" x14ac:dyDescent="0.3">
      <c r="B151" s="44" t="s">
        <v>58</v>
      </c>
      <c r="C151" s="45">
        <v>10</v>
      </c>
      <c r="D151" s="126" t="str">
        <f t="shared" si="19"/>
        <v xml:space="preserve"> 50 min</v>
      </c>
      <c r="E151" s="247" t="s">
        <v>126</v>
      </c>
      <c r="F151" s="153"/>
      <c r="G151" s="154"/>
      <c r="H151" s="152"/>
    </row>
    <row r="152" spans="2:8" s="43" customFormat="1" x14ac:dyDescent="0.3">
      <c r="B152" s="44"/>
      <c r="C152" s="45"/>
      <c r="D152" s="127" t="str">
        <f t="shared" si="19"/>
        <v/>
      </c>
      <c r="E152" s="46"/>
      <c r="F152" s="153"/>
      <c r="G152" s="154"/>
      <c r="H152" s="152"/>
    </row>
    <row r="153" spans="2:8" s="43" customFormat="1" x14ac:dyDescent="0.3">
      <c r="B153" s="44"/>
      <c r="C153" s="45"/>
      <c r="D153" s="127" t="str">
        <f t="shared" si="19"/>
        <v/>
      </c>
      <c r="E153" s="46"/>
      <c r="F153" s="153"/>
      <c r="G153" s="154"/>
      <c r="H153" s="152"/>
    </row>
    <row r="154" spans="2:8" s="43" customFormat="1" x14ac:dyDescent="0.3">
      <c r="B154" s="44"/>
      <c r="C154" s="45"/>
      <c r="D154" s="127" t="str">
        <f t="shared" si="19"/>
        <v/>
      </c>
      <c r="E154" s="46"/>
      <c r="F154" s="153"/>
      <c r="G154" s="154"/>
      <c r="H154" s="152"/>
    </row>
    <row r="155" spans="2:8" s="43" customFormat="1" ht="15" thickBot="1" x14ac:dyDescent="0.35">
      <c r="B155" s="44"/>
      <c r="C155" s="47"/>
      <c r="D155" s="128" t="str">
        <f t="shared" si="19"/>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65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20" xml:space="preserve"> IF(C160="","",setValueToTime(C160))</f>
        <v xml:space="preserve"> 10 min</v>
      </c>
      <c r="E160" s="42"/>
      <c r="F160" s="159"/>
      <c r="G160" s="160"/>
      <c r="H160" s="152"/>
    </row>
    <row r="161" spans="2:8" s="43" customFormat="1" ht="27" x14ac:dyDescent="0.3">
      <c r="B161" s="44" t="s">
        <v>54</v>
      </c>
      <c r="C161" s="45">
        <v>24</v>
      </c>
      <c r="D161" s="126" t="str">
        <f t="shared" ref="D161:D167" si="21" xml:space="preserve"> IF(C161="","",setValueToTime(C161))</f>
        <v>2h</v>
      </c>
      <c r="E161" s="247" t="s">
        <v>124</v>
      </c>
      <c r="F161" s="153"/>
      <c r="G161" s="154"/>
      <c r="H161" s="152"/>
    </row>
    <row r="162" spans="2:8" s="43" customFormat="1" x14ac:dyDescent="0.3">
      <c r="B162" s="44" t="s">
        <v>58</v>
      </c>
      <c r="C162" s="45">
        <v>8</v>
      </c>
      <c r="D162" s="126" t="str">
        <f t="shared" si="21"/>
        <v xml:space="preserve"> 40 min</v>
      </c>
      <c r="E162" s="247" t="s">
        <v>126</v>
      </c>
      <c r="F162" s="153"/>
      <c r="G162" s="154"/>
      <c r="H162" s="152"/>
    </row>
    <row r="163" spans="2:8" s="43" customFormat="1" x14ac:dyDescent="0.3">
      <c r="B163" s="44" t="s">
        <v>53</v>
      </c>
      <c r="C163" s="45">
        <v>8</v>
      </c>
      <c r="D163" s="126" t="str">
        <f t="shared" si="21"/>
        <v xml:space="preserve"> 40 min</v>
      </c>
      <c r="E163" s="247" t="s">
        <v>106</v>
      </c>
      <c r="F163" s="153"/>
      <c r="G163" s="154"/>
      <c r="H163" s="152"/>
    </row>
    <row r="164" spans="2:8" s="43" customFormat="1" x14ac:dyDescent="0.3">
      <c r="B164" s="44"/>
      <c r="C164" s="45"/>
      <c r="D164" s="127" t="str">
        <f t="shared" si="21"/>
        <v/>
      </c>
      <c r="E164" s="46"/>
      <c r="F164" s="153"/>
      <c r="G164" s="154"/>
      <c r="H164" s="152"/>
    </row>
    <row r="165" spans="2:8" s="43" customFormat="1" x14ac:dyDescent="0.3">
      <c r="B165" s="44"/>
      <c r="C165" s="45"/>
      <c r="D165" s="127" t="str">
        <f t="shared" si="21"/>
        <v/>
      </c>
      <c r="E165" s="46"/>
      <c r="F165" s="153"/>
      <c r="G165" s="154"/>
      <c r="H165" s="152"/>
    </row>
    <row r="166" spans="2:8" s="43" customFormat="1" x14ac:dyDescent="0.3">
      <c r="B166" s="44"/>
      <c r="C166" s="45"/>
      <c r="D166" s="127" t="str">
        <f t="shared" si="21"/>
        <v/>
      </c>
      <c r="E166" s="46"/>
      <c r="F166" s="153"/>
      <c r="G166" s="154"/>
      <c r="H166" s="152"/>
    </row>
    <row r="167" spans="2:8" s="43" customFormat="1" ht="15" thickBot="1" x14ac:dyDescent="0.35">
      <c r="B167" s="44"/>
      <c r="C167" s="47"/>
      <c r="D167" s="128" t="str">
        <f t="shared" si="21"/>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66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2" xml:space="preserve"> IF(C172="","",setValueToTime(C172))</f>
        <v xml:space="preserve"> 10 min</v>
      </c>
      <c r="E172" s="42"/>
      <c r="F172" s="159"/>
      <c r="G172" s="160"/>
      <c r="H172" s="152"/>
    </row>
    <row r="173" spans="2:8" s="43" customFormat="1" x14ac:dyDescent="0.3">
      <c r="B173" s="44" t="s">
        <v>53</v>
      </c>
      <c r="C173" s="45">
        <v>26</v>
      </c>
      <c r="D173" s="126" t="str">
        <f t="shared" ref="D173:D179" si="23" xml:space="preserve"> IF(C173="","",setValueToTime(C173))</f>
        <v>2h 10 min</v>
      </c>
      <c r="E173" s="247" t="s">
        <v>122</v>
      </c>
      <c r="F173" s="153"/>
      <c r="G173" s="154"/>
      <c r="H173" s="152"/>
    </row>
    <row r="174" spans="2:8" s="43" customFormat="1" x14ac:dyDescent="0.3">
      <c r="B174" s="44" t="s">
        <v>58</v>
      </c>
      <c r="C174" s="45">
        <v>14</v>
      </c>
      <c r="D174" s="126" t="str">
        <f t="shared" si="23"/>
        <v>1h 10 min</v>
      </c>
      <c r="E174" t="s">
        <v>123</v>
      </c>
      <c r="F174" s="153"/>
      <c r="G174" s="154"/>
      <c r="H174" s="152"/>
    </row>
    <row r="175" spans="2:8" s="43" customFormat="1" x14ac:dyDescent="0.3">
      <c r="B175" s="44"/>
      <c r="C175" s="45"/>
      <c r="D175" s="126" t="str">
        <f t="shared" si="23"/>
        <v/>
      </c>
      <c r="E175" s="46"/>
      <c r="F175" s="153"/>
      <c r="G175" s="154"/>
      <c r="H175" s="152"/>
    </row>
    <row r="176" spans="2:8" s="43" customFormat="1" x14ac:dyDescent="0.3">
      <c r="B176" s="44"/>
      <c r="C176" s="45"/>
      <c r="D176" s="127" t="str">
        <f t="shared" si="23"/>
        <v/>
      </c>
      <c r="E176" s="46"/>
      <c r="F176" s="153"/>
      <c r="G176" s="154"/>
      <c r="H176" s="152"/>
    </row>
    <row r="177" spans="2:8" s="43" customFormat="1" x14ac:dyDescent="0.3">
      <c r="B177" s="44"/>
      <c r="C177" s="45"/>
      <c r="D177" s="127" t="str">
        <f t="shared" si="23"/>
        <v/>
      </c>
      <c r="E177" s="46"/>
      <c r="F177" s="153"/>
      <c r="G177" s="154"/>
      <c r="H177" s="152"/>
    </row>
    <row r="178" spans="2:8" s="43" customFormat="1" x14ac:dyDescent="0.3">
      <c r="B178" s="44"/>
      <c r="C178" s="45"/>
      <c r="D178" s="127" t="str">
        <f t="shared" si="23"/>
        <v/>
      </c>
      <c r="E178" s="46"/>
      <c r="F178" s="153"/>
      <c r="G178" s="154"/>
      <c r="H178" s="152"/>
    </row>
    <row r="179" spans="2:8" s="43" customFormat="1" ht="15" thickBot="1" x14ac:dyDescent="0.35">
      <c r="B179" s="44"/>
      <c r="C179" s="47"/>
      <c r="D179" s="128" t="str">
        <f t="shared" si="23"/>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65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4" xml:space="preserve"> IF(C184="","",setValueToTime(C184))</f>
        <v xml:space="preserve"> 10 min</v>
      </c>
      <c r="E184" s="42"/>
      <c r="F184" s="159"/>
      <c r="G184" s="160"/>
      <c r="H184" s="152"/>
    </row>
    <row r="185" spans="2:8" s="43" customFormat="1" ht="27" x14ac:dyDescent="0.3">
      <c r="B185" s="44" t="s">
        <v>57</v>
      </c>
      <c r="C185" s="45">
        <v>24</v>
      </c>
      <c r="D185" s="126" t="str">
        <f t="shared" ref="D185:D191" si="25" xml:space="preserve"> IF(C185="","",setValueToTime(C185))</f>
        <v>2h</v>
      </c>
      <c r="E185" s="247" t="s">
        <v>121</v>
      </c>
      <c r="F185" s="153"/>
      <c r="G185" s="154"/>
      <c r="H185" s="152"/>
    </row>
    <row r="186" spans="2:8" s="43" customFormat="1" x14ac:dyDescent="0.3">
      <c r="B186" s="44" t="s">
        <v>58</v>
      </c>
      <c r="C186" s="45">
        <v>10</v>
      </c>
      <c r="D186" s="126" t="str">
        <f xml:space="preserve"> IF(C186="","",setValueToTime(C186))</f>
        <v xml:space="preserve"> 50 min</v>
      </c>
      <c r="E186" s="247" t="s">
        <v>118</v>
      </c>
      <c r="F186" s="153"/>
      <c r="G186" s="154"/>
      <c r="H186" s="152"/>
    </row>
    <row r="187" spans="2:8" s="43" customFormat="1" x14ac:dyDescent="0.3">
      <c r="B187" s="44"/>
      <c r="C187" s="45"/>
      <c r="D187" s="126" t="str">
        <f t="shared" si="25"/>
        <v/>
      </c>
      <c r="E187" s="46"/>
      <c r="F187" s="153"/>
      <c r="G187" s="154"/>
      <c r="H187" s="152"/>
    </row>
    <row r="188" spans="2:8" s="43" customFormat="1" x14ac:dyDescent="0.3">
      <c r="B188" s="44"/>
      <c r="C188" s="45"/>
      <c r="D188" s="127" t="str">
        <f t="shared" si="25"/>
        <v/>
      </c>
      <c r="E188" s="46"/>
      <c r="F188" s="153"/>
      <c r="G188" s="154"/>
      <c r="H188" s="152"/>
    </row>
    <row r="189" spans="2:8" s="43" customFormat="1" x14ac:dyDescent="0.3">
      <c r="B189" s="44"/>
      <c r="C189" s="45"/>
      <c r="D189" s="127" t="str">
        <f t="shared" si="25"/>
        <v/>
      </c>
      <c r="E189" s="46"/>
      <c r="F189" s="153"/>
      <c r="G189" s="154"/>
      <c r="H189" s="152"/>
    </row>
    <row r="190" spans="2:8" s="43" customFormat="1" x14ac:dyDescent="0.3">
      <c r="B190" s="44"/>
      <c r="C190" s="45"/>
      <c r="D190" s="127" t="str">
        <f t="shared" si="25"/>
        <v/>
      </c>
      <c r="E190" s="46"/>
      <c r="F190" s="153"/>
      <c r="G190" s="154"/>
      <c r="H190" s="152"/>
    </row>
    <row r="191" spans="2:8" s="43" customFormat="1" ht="15" thickBot="1" x14ac:dyDescent="0.35">
      <c r="B191" s="44"/>
      <c r="C191" s="47"/>
      <c r="D191" s="128" t="str">
        <f t="shared" si="25"/>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66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6" xml:space="preserve"> IF(C196="","",setValueToTime(C196))</f>
        <v xml:space="preserve"> 10 min</v>
      </c>
      <c r="E196" s="42"/>
      <c r="F196" s="159"/>
      <c r="G196" s="160"/>
      <c r="H196" s="152"/>
    </row>
    <row r="197" spans="2:8" s="43" customFormat="1" ht="27" x14ac:dyDescent="0.3">
      <c r="B197" s="44" t="s">
        <v>54</v>
      </c>
      <c r="C197" s="45">
        <v>24</v>
      </c>
      <c r="D197" s="126" t="str">
        <f xml:space="preserve"> IF(C197="","",setValueToTime(C197))</f>
        <v>2h</v>
      </c>
      <c r="E197" s="247" t="s">
        <v>118</v>
      </c>
      <c r="F197" s="153"/>
      <c r="G197" s="154"/>
      <c r="H197" s="152"/>
    </row>
    <row r="198" spans="2:8" s="43" customFormat="1" ht="27" x14ac:dyDescent="0.3">
      <c r="B198" s="44" t="s">
        <v>54</v>
      </c>
      <c r="C198" s="45">
        <v>10</v>
      </c>
      <c r="D198" s="126" t="str">
        <f t="shared" ref="D197:D203" si="27" xml:space="preserve"> IF(C198="","",setValueToTime(C198))</f>
        <v xml:space="preserve"> 50 min</v>
      </c>
      <c r="E198" t="s">
        <v>120</v>
      </c>
      <c r="F198" s="153"/>
      <c r="G198" s="154"/>
      <c r="H198" s="152"/>
    </row>
    <row r="199" spans="2:8" s="43" customFormat="1" x14ac:dyDescent="0.3">
      <c r="B199" s="44"/>
      <c r="C199" s="45"/>
      <c r="D199" s="126" t="str">
        <f t="shared" si="27"/>
        <v/>
      </c>
      <c r="E199" s="46"/>
      <c r="F199" s="153"/>
      <c r="G199" s="154"/>
      <c r="H199" s="152"/>
    </row>
    <row r="200" spans="2:8" s="43" customFormat="1" x14ac:dyDescent="0.3">
      <c r="B200" s="44"/>
      <c r="C200" s="45"/>
      <c r="D200" s="127" t="str">
        <f t="shared" si="27"/>
        <v/>
      </c>
      <c r="E200" s="46"/>
      <c r="F200" s="153"/>
      <c r="G200" s="154"/>
      <c r="H200" s="152"/>
    </row>
    <row r="201" spans="2:8" s="43" customFormat="1" x14ac:dyDescent="0.3">
      <c r="B201" s="44"/>
      <c r="C201" s="45"/>
      <c r="D201" s="127" t="str">
        <f t="shared" si="27"/>
        <v/>
      </c>
      <c r="E201" s="46"/>
      <c r="F201" s="153"/>
      <c r="G201" s="154"/>
      <c r="H201" s="152"/>
    </row>
    <row r="202" spans="2:8" s="43" customFormat="1" x14ac:dyDescent="0.3">
      <c r="B202" s="44"/>
      <c r="C202" s="45"/>
      <c r="D202" s="127" t="str">
        <f t="shared" si="27"/>
        <v/>
      </c>
      <c r="E202" s="46"/>
      <c r="F202" s="153"/>
      <c r="G202" s="154"/>
      <c r="H202" s="152"/>
    </row>
    <row r="203" spans="2:8" s="43" customFormat="1" ht="15" thickBot="1" x14ac:dyDescent="0.35">
      <c r="B203" s="44"/>
      <c r="C203" s="47"/>
      <c r="D203" s="128" t="str">
        <f t="shared" si="27"/>
        <v/>
      </c>
      <c r="E203" s="48"/>
      <c r="F203" s="155"/>
      <c r="G203" s="156"/>
      <c r="H203" s="152"/>
    </row>
    <row r="204" spans="2:8" s="43" customFormat="1" ht="15" thickBot="1" x14ac:dyDescent="0.35">
      <c r="B204" s="86" t="s">
        <v>43</v>
      </c>
      <c r="C204" s="67">
        <f>SUM(C196:C203)</f>
        <v>36</v>
      </c>
      <c r="D204" s="86" t="str">
        <f xml:space="preserve"> setValueToTime(C204)</f>
        <v>3h</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65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 si="28" xml:space="preserve"> IF(C208="","",setValueToTime(C208))</f>
        <v xml:space="preserve"> 10 min</v>
      </c>
      <c r="E208" s="42"/>
      <c r="F208" s="159"/>
      <c r="G208" s="160"/>
      <c r="H208" s="152"/>
    </row>
    <row r="209" spans="2:8" s="43" customFormat="1" x14ac:dyDescent="0.3">
      <c r="F209" s="153"/>
      <c r="G209" s="154"/>
      <c r="H209" s="152"/>
    </row>
    <row r="210" spans="2:8" s="43" customFormat="1" ht="27" x14ac:dyDescent="0.3">
      <c r="B210" s="44" t="s">
        <v>54</v>
      </c>
      <c r="C210" s="45">
        <v>12</v>
      </c>
      <c r="D210" s="126" t="str">
        <f t="shared" ref="D209:D215" si="29" xml:space="preserve"> IF(C210="","",setValueToTime(C210))</f>
        <v>1h</v>
      </c>
      <c r="E210" s="247" t="s">
        <v>116</v>
      </c>
      <c r="F210" s="153"/>
      <c r="G210" s="154"/>
      <c r="H210" s="152"/>
    </row>
    <row r="211" spans="2:8" s="43" customFormat="1" x14ac:dyDescent="0.3">
      <c r="B211" s="44" t="s">
        <v>55</v>
      </c>
      <c r="C211" s="45"/>
      <c r="D211" s="126" t="str">
        <f t="shared" si="29"/>
        <v/>
      </c>
      <c r="E211" t="s">
        <v>119</v>
      </c>
      <c r="F211" s="153"/>
      <c r="G211" s="154"/>
      <c r="H211" s="152"/>
    </row>
    <row r="212" spans="2:8" s="43" customFormat="1" x14ac:dyDescent="0.3">
      <c r="B212" s="44"/>
      <c r="C212" s="45"/>
      <c r="D212" s="127" t="str">
        <f t="shared" si="29"/>
        <v/>
      </c>
      <c r="E212" s="46"/>
      <c r="F212" s="153"/>
      <c r="G212" s="154"/>
      <c r="H212" s="152"/>
    </row>
    <row r="213" spans="2:8" s="43" customFormat="1" x14ac:dyDescent="0.3">
      <c r="B213" s="44"/>
      <c r="C213" s="45"/>
      <c r="D213" s="127" t="str">
        <f t="shared" si="29"/>
        <v/>
      </c>
      <c r="E213" s="46"/>
      <c r="F213" s="153"/>
      <c r="G213" s="154"/>
      <c r="H213" s="152"/>
    </row>
    <row r="214" spans="2:8" s="43" customFormat="1" x14ac:dyDescent="0.3">
      <c r="B214" s="44"/>
      <c r="C214" s="45"/>
      <c r="D214" s="127" t="str">
        <f t="shared" si="29"/>
        <v/>
      </c>
      <c r="E214" s="46"/>
      <c r="F214" s="153"/>
      <c r="G214" s="154"/>
      <c r="H214" s="152"/>
    </row>
    <row r="215" spans="2:8" s="43" customFormat="1" ht="15" thickBot="1" x14ac:dyDescent="0.35">
      <c r="B215" s="44"/>
      <c r="C215" s="47"/>
      <c r="D215" s="128" t="str">
        <f t="shared" si="29"/>
        <v/>
      </c>
      <c r="E215" s="48"/>
      <c r="F215" s="155"/>
      <c r="G215" s="156"/>
      <c r="H215" s="152"/>
    </row>
    <row r="216" spans="2:8" s="43" customFormat="1" ht="15" thickBot="1" x14ac:dyDescent="0.35">
      <c r="B216" s="86" t="s">
        <v>43</v>
      </c>
      <c r="C216" s="67">
        <f>SUM(C208:C215)</f>
        <v>14</v>
      </c>
      <c r="D216" s="86" t="str">
        <f xml:space="preserve"> setValueToTime(C216)</f>
        <v>1h 10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66</v>
      </c>
      <c r="H218" s="151"/>
    </row>
    <row r="219" spans="2:8" s="39" customFormat="1" ht="30" customHeight="1" thickBot="1" x14ac:dyDescent="0.3">
      <c r="B219" s="63" t="s">
        <v>38</v>
      </c>
      <c r="C219" s="123" t="s">
        <v>39</v>
      </c>
      <c r="D219" s="124"/>
      <c r="E219" s="63" t="s">
        <v>40</v>
      </c>
      <c r="F219" s="238" t="s">
        <v>41</v>
      </c>
      <c r="G219" s="239"/>
      <c r="H219" s="151"/>
    </row>
    <row r="220" spans="2:8" s="43" customFormat="1" x14ac:dyDescent="0.3">
      <c r="B220" s="44" t="s">
        <v>30</v>
      </c>
      <c r="C220" s="45">
        <v>2</v>
      </c>
      <c r="D220" s="126" t="str">
        <f t="shared" ref="D220:D221" si="30" xml:space="preserve"> IF(C220="","",setValueToTime(C220))</f>
        <v xml:space="preserve"> 10 min</v>
      </c>
      <c r="E220" s="42"/>
      <c r="F220" s="240"/>
      <c r="G220" s="241"/>
      <c r="H220" s="152"/>
    </row>
    <row r="221" spans="2:8" s="43" customFormat="1" ht="27" x14ac:dyDescent="0.3">
      <c r="B221" s="44" t="s">
        <v>54</v>
      </c>
      <c r="C221" s="45">
        <v>16</v>
      </c>
      <c r="D221" s="126" t="str">
        <f t="shared" si="30"/>
        <v>1h 20 min</v>
      </c>
      <c r="E221" s="247" t="s">
        <v>115</v>
      </c>
      <c r="F221" s="232"/>
      <c r="G221" s="233"/>
      <c r="H221" s="152"/>
    </row>
    <row r="222" spans="2:8" s="43" customFormat="1" ht="27" x14ac:dyDescent="0.3">
      <c r="B222" s="44" t="s">
        <v>54</v>
      </c>
      <c r="C222" s="45">
        <v>18</v>
      </c>
      <c r="D222" s="126" t="str">
        <f t="shared" ref="D221:D227" si="31" xml:space="preserve"> IF(C222="","",setValueToTime(C222))</f>
        <v>1h 30 min</v>
      </c>
      <c r="E222" s="247" t="s">
        <v>116</v>
      </c>
      <c r="F222" s="232"/>
      <c r="G222" s="233"/>
      <c r="H222" s="152"/>
    </row>
    <row r="223" spans="2:8" s="43" customFormat="1" x14ac:dyDescent="0.3">
      <c r="B223" s="44" t="s">
        <v>29</v>
      </c>
      <c r="C223" s="45">
        <v>6</v>
      </c>
      <c r="D223" s="126" t="str">
        <f t="shared" si="31"/>
        <v xml:space="preserve"> 30 min</v>
      </c>
      <c r="E223" s="247" t="s">
        <v>117</v>
      </c>
      <c r="F223" s="232"/>
      <c r="G223" s="233"/>
      <c r="H223" s="152"/>
    </row>
    <row r="224" spans="2:8" s="43" customFormat="1" x14ac:dyDescent="0.3">
      <c r="B224" s="44"/>
      <c r="C224" s="45"/>
      <c r="D224" s="127" t="str">
        <f t="shared" si="31"/>
        <v/>
      </c>
      <c r="E224" s="46"/>
      <c r="F224" s="232"/>
      <c r="G224" s="233"/>
      <c r="H224" s="152"/>
    </row>
    <row r="225" spans="2:8" s="43" customFormat="1" x14ac:dyDescent="0.3">
      <c r="B225" s="44"/>
      <c r="C225" s="45"/>
      <c r="D225" s="127" t="str">
        <f t="shared" si="31"/>
        <v/>
      </c>
      <c r="E225" s="46"/>
      <c r="F225" s="232"/>
      <c r="G225" s="233"/>
      <c r="H225" s="152"/>
    </row>
    <row r="226" spans="2:8" s="43" customFormat="1" x14ac:dyDescent="0.3">
      <c r="B226" s="44"/>
      <c r="C226" s="45"/>
      <c r="D226" s="127" t="str">
        <f t="shared" si="31"/>
        <v/>
      </c>
      <c r="E226" s="46"/>
      <c r="F226" s="232"/>
      <c r="G226" s="233"/>
      <c r="H226" s="152"/>
    </row>
    <row r="227" spans="2:8" s="43" customFormat="1" ht="15" thickBot="1" x14ac:dyDescent="0.35">
      <c r="B227" s="44"/>
      <c r="C227" s="47"/>
      <c r="D227" s="128" t="str">
        <f t="shared" si="31"/>
        <v/>
      </c>
      <c r="E227" s="48"/>
      <c r="F227" s="234"/>
      <c r="G227" s="235"/>
      <c r="H227" s="152"/>
    </row>
    <row r="228" spans="2:8" s="43" customFormat="1" ht="15" thickBot="1" x14ac:dyDescent="0.35">
      <c r="B228" s="86" t="s">
        <v>43</v>
      </c>
      <c r="C228" s="67">
        <f>SUM(C220:C227)</f>
        <v>42</v>
      </c>
      <c r="D228" s="86" t="str">
        <f xml:space="preserve"> setValueToTime(C228)</f>
        <v>3h 30 min</v>
      </c>
      <c r="E228" s="95"/>
      <c r="F228" s="236"/>
      <c r="G228" s="237"/>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65</v>
      </c>
      <c r="H230" s="151"/>
    </row>
    <row r="231" spans="2:8" s="39" customFormat="1" ht="30" customHeight="1" thickBot="1" x14ac:dyDescent="0.3">
      <c r="B231" s="63" t="s">
        <v>38</v>
      </c>
      <c r="C231" s="123" t="s">
        <v>39</v>
      </c>
      <c r="D231" s="124"/>
      <c r="E231" s="63" t="s">
        <v>40</v>
      </c>
      <c r="F231" s="238" t="s">
        <v>41</v>
      </c>
      <c r="G231" s="239"/>
      <c r="H231" s="151"/>
    </row>
    <row r="232" spans="2:8" s="43" customFormat="1" x14ac:dyDescent="0.3">
      <c r="B232" s="44" t="s">
        <v>30</v>
      </c>
      <c r="C232" s="45">
        <v>2</v>
      </c>
      <c r="D232" s="126" t="str">
        <f t="shared" ref="D232" si="32" xml:space="preserve"> IF(C232="","",setValueToTime(C232))</f>
        <v xml:space="preserve"> 10 min</v>
      </c>
      <c r="E232" s="42"/>
      <c r="F232" s="240"/>
      <c r="G232" s="241"/>
      <c r="H232" s="152"/>
    </row>
    <row r="233" spans="2:8" s="43" customFormat="1" ht="27" x14ac:dyDescent="0.3">
      <c r="B233" s="44" t="s">
        <v>57</v>
      </c>
      <c r="C233" s="45">
        <v>16</v>
      </c>
      <c r="D233" s="126" t="str">
        <f t="shared" ref="D233:D239" si="33" xml:space="preserve"> IF(C233="","",setValueToTime(C233))</f>
        <v>1h 20 min</v>
      </c>
      <c r="E233" s="247" t="s">
        <v>112</v>
      </c>
      <c r="F233" s="232"/>
      <c r="G233" s="233"/>
      <c r="H233" s="152"/>
    </row>
    <row r="234" spans="2:8" s="43" customFormat="1" ht="27" x14ac:dyDescent="0.3">
      <c r="B234" s="44" t="s">
        <v>54</v>
      </c>
      <c r="C234" s="45">
        <v>12</v>
      </c>
      <c r="D234" s="126" t="str">
        <f t="shared" si="33"/>
        <v>1h</v>
      </c>
      <c r="E234" s="247" t="s">
        <v>113</v>
      </c>
      <c r="F234" s="232"/>
      <c r="G234" s="233"/>
      <c r="H234" s="152"/>
    </row>
    <row r="235" spans="2:8" s="43" customFormat="1" x14ac:dyDescent="0.3">
      <c r="B235" s="44" t="s">
        <v>31</v>
      </c>
      <c r="C235" s="45">
        <v>6</v>
      </c>
      <c r="D235" s="126" t="str">
        <f t="shared" si="33"/>
        <v xml:space="preserve"> 30 min</v>
      </c>
      <c r="E235" s="247" t="s">
        <v>114</v>
      </c>
      <c r="F235" s="232"/>
      <c r="G235" s="233"/>
      <c r="H235" s="152"/>
    </row>
    <row r="236" spans="2:8" s="43" customFormat="1" x14ac:dyDescent="0.3">
      <c r="B236" s="44"/>
      <c r="C236" s="45"/>
      <c r="D236" s="127" t="str">
        <f t="shared" si="33"/>
        <v/>
      </c>
      <c r="E236" s="46"/>
      <c r="F236" s="232"/>
      <c r="G236" s="233"/>
      <c r="H236" s="152"/>
    </row>
    <row r="237" spans="2:8" s="43" customFormat="1" x14ac:dyDescent="0.3">
      <c r="B237" s="44"/>
      <c r="C237" s="45"/>
      <c r="D237" s="127" t="str">
        <f t="shared" si="33"/>
        <v/>
      </c>
      <c r="E237" s="46"/>
      <c r="F237" s="232"/>
      <c r="G237" s="233"/>
      <c r="H237" s="152"/>
    </row>
    <row r="238" spans="2:8" s="43" customFormat="1" x14ac:dyDescent="0.3">
      <c r="B238" s="44"/>
      <c r="C238" s="45"/>
      <c r="D238" s="127" t="str">
        <f t="shared" si="33"/>
        <v/>
      </c>
      <c r="E238" s="46"/>
      <c r="F238" s="232"/>
      <c r="G238" s="233"/>
      <c r="H238" s="152"/>
    </row>
    <row r="239" spans="2:8" s="43" customFormat="1" ht="15" thickBot="1" x14ac:dyDescent="0.35">
      <c r="B239" s="44"/>
      <c r="C239" s="47"/>
      <c r="D239" s="128" t="str">
        <f t="shared" si="33"/>
        <v/>
      </c>
      <c r="E239" s="48"/>
      <c r="F239" s="234"/>
      <c r="G239" s="235"/>
      <c r="H239" s="152"/>
    </row>
    <row r="240" spans="2:8" s="43" customFormat="1" ht="15" thickBot="1" x14ac:dyDescent="0.35">
      <c r="B240" s="86" t="s">
        <v>43</v>
      </c>
      <c r="C240" s="67">
        <f>SUM(C232:C239)</f>
        <v>36</v>
      </c>
      <c r="D240" s="86" t="str">
        <f xml:space="preserve"> setValueToTime(C240)</f>
        <v>3h</v>
      </c>
      <c r="E240" s="95"/>
      <c r="F240" s="236"/>
      <c r="G240" s="237"/>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66</v>
      </c>
      <c r="H242" s="151"/>
    </row>
    <row r="243" spans="2:8" s="39" customFormat="1" ht="30" customHeight="1" thickBot="1" x14ac:dyDescent="0.3">
      <c r="B243" s="63" t="s">
        <v>38</v>
      </c>
      <c r="C243" s="123" t="s">
        <v>39</v>
      </c>
      <c r="D243" s="124"/>
      <c r="E243" s="63" t="s">
        <v>40</v>
      </c>
      <c r="F243" s="238" t="s">
        <v>41</v>
      </c>
      <c r="G243" s="239"/>
      <c r="H243" s="151"/>
    </row>
    <row r="244" spans="2:8" s="43" customFormat="1" x14ac:dyDescent="0.3">
      <c r="B244" s="44" t="s">
        <v>30</v>
      </c>
      <c r="C244" s="45">
        <v>2</v>
      </c>
      <c r="D244" s="126" t="str">
        <f t="shared" ref="D244" si="34" xml:space="preserve"> IF(C244="","",setValueToTime(C244))</f>
        <v xml:space="preserve"> 10 min</v>
      </c>
      <c r="E244" s="42"/>
      <c r="F244" s="240"/>
      <c r="G244" s="241"/>
      <c r="H244" s="152"/>
    </row>
    <row r="245" spans="2:8" s="43" customFormat="1" ht="27" x14ac:dyDescent="0.3">
      <c r="B245" s="44" t="s">
        <v>54</v>
      </c>
      <c r="C245" s="45"/>
      <c r="D245" s="126" t="str">
        <f t="shared" ref="D245:D251" si="35" xml:space="preserve"> IF(C245="","",setValueToTime(C245))</f>
        <v/>
      </c>
      <c r="E245" t="s">
        <v>109</v>
      </c>
      <c r="F245" s="232"/>
      <c r="G245" s="233"/>
      <c r="H245" s="152"/>
    </row>
    <row r="246" spans="2:8" s="43" customFormat="1" ht="27" x14ac:dyDescent="0.3">
      <c r="B246" s="44" t="s">
        <v>54</v>
      </c>
      <c r="C246" s="45"/>
      <c r="D246" s="126" t="str">
        <f t="shared" si="35"/>
        <v/>
      </c>
      <c r="E246" t="s">
        <v>110</v>
      </c>
      <c r="F246" s="232"/>
      <c r="G246" s="233"/>
      <c r="H246" s="152"/>
    </row>
    <row r="247" spans="2:8" s="43" customFormat="1" x14ac:dyDescent="0.3">
      <c r="B247" s="44" t="s">
        <v>55</v>
      </c>
      <c r="C247" s="45"/>
      <c r="D247" s="126" t="str">
        <f t="shared" si="35"/>
        <v/>
      </c>
      <c r="E247" s="247" t="s">
        <v>111</v>
      </c>
      <c r="F247" s="232"/>
      <c r="G247" s="233"/>
      <c r="H247" s="152"/>
    </row>
    <row r="248" spans="2:8" s="43" customFormat="1" x14ac:dyDescent="0.3">
      <c r="B248" s="44"/>
      <c r="C248" s="45"/>
      <c r="D248" s="127" t="str">
        <f t="shared" si="35"/>
        <v/>
      </c>
      <c r="E248" s="46"/>
      <c r="F248" s="232"/>
      <c r="G248" s="233"/>
      <c r="H248" s="152"/>
    </row>
    <row r="249" spans="2:8" s="43" customFormat="1" x14ac:dyDescent="0.3">
      <c r="B249" s="44"/>
      <c r="C249" s="45"/>
      <c r="D249" s="127" t="str">
        <f t="shared" si="35"/>
        <v/>
      </c>
      <c r="E249" s="46"/>
      <c r="F249" s="232"/>
      <c r="G249" s="233"/>
      <c r="H249" s="152"/>
    </row>
    <row r="250" spans="2:8" s="43" customFormat="1" x14ac:dyDescent="0.3">
      <c r="B250" s="44"/>
      <c r="C250" s="45"/>
      <c r="D250" s="127" t="str">
        <f t="shared" si="35"/>
        <v/>
      </c>
      <c r="E250" s="46"/>
      <c r="F250" s="232"/>
      <c r="G250" s="233"/>
      <c r="H250" s="152"/>
    </row>
    <row r="251" spans="2:8" s="43" customFormat="1" ht="15" thickBot="1" x14ac:dyDescent="0.35">
      <c r="B251" s="44"/>
      <c r="C251" s="47"/>
      <c r="D251" s="128" t="str">
        <f t="shared" si="35"/>
        <v/>
      </c>
      <c r="E251" s="48"/>
      <c r="F251" s="234"/>
      <c r="G251" s="235"/>
      <c r="H251" s="152"/>
    </row>
    <row r="252" spans="2:8" s="43" customFormat="1" ht="15" thickBot="1" x14ac:dyDescent="0.35">
      <c r="B252" s="86" t="s">
        <v>43</v>
      </c>
      <c r="C252" s="67">
        <f>SUM(C244:C251)</f>
        <v>2</v>
      </c>
      <c r="D252" s="86" t="str">
        <f xml:space="preserve"> setValueToTime(C252)</f>
        <v xml:space="preserve"> 10 min</v>
      </c>
      <c r="E252" s="95"/>
      <c r="F252" s="236"/>
      <c r="G252" s="237"/>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65</v>
      </c>
      <c r="H254" s="151"/>
    </row>
    <row r="255" spans="2:8" s="39" customFormat="1" ht="30" customHeight="1" thickBot="1" x14ac:dyDescent="0.3">
      <c r="B255" s="63" t="s">
        <v>38</v>
      </c>
      <c r="C255" s="123" t="s">
        <v>39</v>
      </c>
      <c r="D255" s="124"/>
      <c r="E255" s="63" t="s">
        <v>40</v>
      </c>
      <c r="F255" s="238" t="s">
        <v>41</v>
      </c>
      <c r="G255" s="239"/>
      <c r="H255" s="151"/>
    </row>
    <row r="256" spans="2:8" s="43" customFormat="1" x14ac:dyDescent="0.3">
      <c r="B256" s="44" t="s">
        <v>30</v>
      </c>
      <c r="C256" s="45">
        <v>2</v>
      </c>
      <c r="D256" s="126" t="str">
        <f t="shared" ref="D256:D257" si="36" xml:space="preserve"> IF(C256="","",setValueToTime(C256))</f>
        <v xml:space="preserve"> 10 min</v>
      </c>
      <c r="E256" s="42"/>
      <c r="F256" s="240"/>
      <c r="G256" s="241"/>
      <c r="H256" s="152"/>
    </row>
    <row r="257" spans="2:8" s="43" customFormat="1" x14ac:dyDescent="0.3">
      <c r="B257" s="44" t="s">
        <v>31</v>
      </c>
      <c r="C257" s="45">
        <v>6</v>
      </c>
      <c r="D257" s="126" t="str">
        <f t="shared" si="36"/>
        <v xml:space="preserve"> 30 min</v>
      </c>
      <c r="E257" s="247" t="s">
        <v>104</v>
      </c>
      <c r="F257" s="232"/>
      <c r="G257" s="233"/>
      <c r="H257" s="152"/>
    </row>
    <row r="258" spans="2:8" s="43" customFormat="1" x14ac:dyDescent="0.3">
      <c r="B258" s="44" t="s">
        <v>55</v>
      </c>
      <c r="C258" s="45">
        <v>28</v>
      </c>
      <c r="D258" s="126" t="str">
        <f t="shared" ref="D257:D263" si="37" xml:space="preserve"> IF(C258="","",setValueToTime(C258))</f>
        <v>2h 20 min</v>
      </c>
      <c r="E258" t="s">
        <v>108</v>
      </c>
      <c r="F258" s="232"/>
      <c r="G258" s="233"/>
      <c r="H258" s="152"/>
    </row>
    <row r="259" spans="2:8" s="43" customFormat="1" x14ac:dyDescent="0.3">
      <c r="B259" s="44"/>
      <c r="C259" s="45"/>
      <c r="D259" s="126" t="str">
        <f t="shared" si="37"/>
        <v/>
      </c>
      <c r="E259" s="46"/>
      <c r="F259" s="232"/>
      <c r="G259" s="233"/>
      <c r="H259" s="152"/>
    </row>
    <row r="260" spans="2:8" s="43" customFormat="1" x14ac:dyDescent="0.3">
      <c r="B260" s="44"/>
      <c r="C260" s="45"/>
      <c r="D260" s="127" t="str">
        <f t="shared" si="37"/>
        <v/>
      </c>
      <c r="E260" s="46"/>
      <c r="F260" s="232"/>
      <c r="G260" s="233"/>
      <c r="H260" s="152"/>
    </row>
    <row r="261" spans="2:8" s="43" customFormat="1" x14ac:dyDescent="0.3">
      <c r="B261" s="44"/>
      <c r="C261" s="45"/>
      <c r="D261" s="127" t="str">
        <f t="shared" si="37"/>
        <v/>
      </c>
      <c r="E261" s="46"/>
      <c r="F261" s="232"/>
      <c r="G261" s="233"/>
      <c r="H261" s="152"/>
    </row>
    <row r="262" spans="2:8" s="43" customFormat="1" x14ac:dyDescent="0.3">
      <c r="B262" s="44"/>
      <c r="C262" s="45"/>
      <c r="D262" s="127" t="str">
        <f t="shared" si="37"/>
        <v/>
      </c>
      <c r="E262" s="46"/>
      <c r="F262" s="232"/>
      <c r="G262" s="233"/>
      <c r="H262" s="152"/>
    </row>
    <row r="263" spans="2:8" s="43" customFormat="1" ht="15" thickBot="1" x14ac:dyDescent="0.35">
      <c r="B263" s="44"/>
      <c r="C263" s="47"/>
      <c r="D263" s="128" t="str">
        <f t="shared" si="37"/>
        <v/>
      </c>
      <c r="E263" s="48"/>
      <c r="F263" s="234"/>
      <c r="G263" s="235"/>
      <c r="H263" s="152"/>
    </row>
    <row r="264" spans="2:8" s="43" customFormat="1" ht="15" thickBot="1" x14ac:dyDescent="0.35">
      <c r="B264" s="86" t="s">
        <v>43</v>
      </c>
      <c r="C264" s="67">
        <f>SUM(C256:C263)</f>
        <v>36</v>
      </c>
      <c r="D264" s="86" t="str">
        <f xml:space="preserve"> setValueToTime(C264)</f>
        <v>3h</v>
      </c>
      <c r="E264" s="95"/>
      <c r="F264" s="236"/>
      <c r="G264" s="237"/>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66</v>
      </c>
      <c r="H266" s="151"/>
    </row>
    <row r="267" spans="2:8" s="39" customFormat="1" ht="30" customHeight="1" thickBot="1" x14ac:dyDescent="0.3">
      <c r="B267" s="63" t="s">
        <v>38</v>
      </c>
      <c r="C267" s="123" t="s">
        <v>39</v>
      </c>
      <c r="D267" s="124"/>
      <c r="E267" s="63" t="s">
        <v>40</v>
      </c>
      <c r="F267" s="238" t="s">
        <v>41</v>
      </c>
      <c r="G267" s="239"/>
      <c r="H267" s="151"/>
    </row>
    <row r="268" spans="2:8" s="43" customFormat="1" x14ac:dyDescent="0.3">
      <c r="B268" s="44" t="s">
        <v>30</v>
      </c>
      <c r="C268" s="45">
        <v>2</v>
      </c>
      <c r="D268" s="126" t="str">
        <f t="shared" ref="D268" si="38" xml:space="preserve"> IF(C268="","",setValueToTime(C268))</f>
        <v xml:space="preserve"> 10 min</v>
      </c>
      <c r="E268" s="42"/>
      <c r="F268" s="240"/>
      <c r="G268" s="241"/>
      <c r="H268" s="152"/>
    </row>
    <row r="269" spans="2:8" s="43" customFormat="1" x14ac:dyDescent="0.3">
      <c r="B269" s="44" t="s">
        <v>32</v>
      </c>
      <c r="C269" s="45">
        <v>28</v>
      </c>
      <c r="D269" s="126" t="str">
        <f t="shared" ref="D269:D275" si="39" xml:space="preserve"> IF(C269="","",setValueToTime(C269))</f>
        <v>2h 20 min</v>
      </c>
      <c r="E269" t="s">
        <v>107</v>
      </c>
      <c r="F269" s="232"/>
      <c r="G269" s="233"/>
      <c r="H269" s="152"/>
    </row>
    <row r="270" spans="2:8" s="43" customFormat="1" x14ac:dyDescent="0.3">
      <c r="B270" s="44" t="s">
        <v>56</v>
      </c>
      <c r="C270" s="45">
        <v>12</v>
      </c>
      <c r="D270" s="126" t="str">
        <f t="shared" si="39"/>
        <v>1h</v>
      </c>
      <c r="E270" s="247" t="s">
        <v>106</v>
      </c>
      <c r="F270" s="232"/>
      <c r="G270" s="233"/>
      <c r="H270" s="152"/>
    </row>
    <row r="271" spans="2:8" s="43" customFormat="1" x14ac:dyDescent="0.3">
      <c r="B271" s="44"/>
      <c r="C271" s="45"/>
      <c r="D271" s="126" t="str">
        <f t="shared" si="39"/>
        <v/>
      </c>
      <c r="E271" s="46"/>
      <c r="F271" s="232"/>
      <c r="G271" s="233"/>
      <c r="H271" s="152"/>
    </row>
    <row r="272" spans="2:8" s="43" customFormat="1" x14ac:dyDescent="0.3">
      <c r="B272" s="44"/>
      <c r="C272" s="45"/>
      <c r="D272" s="127" t="str">
        <f t="shared" si="39"/>
        <v/>
      </c>
      <c r="E272" s="46"/>
      <c r="F272" s="232"/>
      <c r="G272" s="233"/>
      <c r="H272" s="152"/>
    </row>
    <row r="273" spans="2:8" s="43" customFormat="1" x14ac:dyDescent="0.3">
      <c r="B273" s="44"/>
      <c r="C273" s="45"/>
      <c r="D273" s="127" t="str">
        <f t="shared" si="39"/>
        <v/>
      </c>
      <c r="E273" s="46"/>
      <c r="F273" s="232"/>
      <c r="G273" s="233"/>
      <c r="H273" s="152"/>
    </row>
    <row r="274" spans="2:8" s="43" customFormat="1" x14ac:dyDescent="0.3">
      <c r="B274" s="44"/>
      <c r="C274" s="45"/>
      <c r="D274" s="127" t="str">
        <f t="shared" si="39"/>
        <v/>
      </c>
      <c r="E274" s="46"/>
      <c r="F274" s="232"/>
      <c r="G274" s="233"/>
      <c r="H274" s="152"/>
    </row>
    <row r="275" spans="2:8" s="43" customFormat="1" ht="15" thickBot="1" x14ac:dyDescent="0.35">
      <c r="B275" s="44"/>
      <c r="C275" s="47"/>
      <c r="D275" s="128" t="str">
        <f t="shared" si="39"/>
        <v/>
      </c>
      <c r="E275" s="48"/>
      <c r="F275" s="234"/>
      <c r="G275" s="235"/>
      <c r="H275" s="152"/>
    </row>
    <row r="276" spans="2:8" s="43" customFormat="1" ht="15" thickBot="1" x14ac:dyDescent="0.35">
      <c r="B276" s="86" t="s">
        <v>43</v>
      </c>
      <c r="C276" s="67">
        <f>SUM(C268:C275)</f>
        <v>42</v>
      </c>
      <c r="D276" s="86" t="str">
        <f xml:space="preserve"> setValueToTime(C276)</f>
        <v>3h 30 min</v>
      </c>
      <c r="E276" s="95"/>
      <c r="F276" s="236"/>
      <c r="G276" s="237"/>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65</v>
      </c>
      <c r="H278" s="151"/>
    </row>
    <row r="279" spans="2:8" s="39" customFormat="1" ht="30" customHeight="1" thickBot="1" x14ac:dyDescent="0.3">
      <c r="B279" s="63" t="s">
        <v>38</v>
      </c>
      <c r="C279" s="123" t="s">
        <v>39</v>
      </c>
      <c r="D279" s="124"/>
      <c r="E279" s="63" t="s">
        <v>40</v>
      </c>
      <c r="F279" s="238" t="s">
        <v>41</v>
      </c>
      <c r="G279" s="239"/>
      <c r="H279" s="151"/>
    </row>
    <row r="280" spans="2:8" s="43" customFormat="1" x14ac:dyDescent="0.3">
      <c r="B280" s="44" t="s">
        <v>30</v>
      </c>
      <c r="C280" s="45">
        <v>2</v>
      </c>
      <c r="D280" s="126" t="str">
        <f t="shared" ref="D280:D281" si="40" xml:space="preserve"> IF(C280="","",setValueToTime(C280))</f>
        <v xml:space="preserve"> 10 min</v>
      </c>
      <c r="E280" s="42"/>
      <c r="F280" s="240"/>
      <c r="G280" s="241"/>
      <c r="H280" s="152"/>
    </row>
    <row r="281" spans="2:8" s="43" customFormat="1" x14ac:dyDescent="0.3">
      <c r="B281" s="44" t="s">
        <v>56</v>
      </c>
      <c r="C281" s="45">
        <v>14</v>
      </c>
      <c r="D281" s="126" t="str">
        <f t="shared" si="40"/>
        <v>1h 10 min</v>
      </c>
      <c r="E281" s="247" t="s">
        <v>101</v>
      </c>
      <c r="F281" s="232"/>
      <c r="G281" s="233"/>
      <c r="H281" s="152"/>
    </row>
    <row r="282" spans="2:8" s="43" customFormat="1" x14ac:dyDescent="0.3">
      <c r="B282" s="44" t="s">
        <v>102</v>
      </c>
      <c r="C282" s="45">
        <v>14</v>
      </c>
      <c r="D282" s="126" t="str">
        <f t="shared" ref="D281:D287" si="41" xml:space="preserve"> IF(C282="","",setValueToTime(C282))</f>
        <v>1h 10 min</v>
      </c>
      <c r="E282" s="247" t="s">
        <v>103</v>
      </c>
      <c r="F282" s="232"/>
      <c r="G282" s="233"/>
      <c r="H282" s="152"/>
    </row>
    <row r="283" spans="2:8" s="43" customFormat="1" x14ac:dyDescent="0.3">
      <c r="B283" s="44" t="s">
        <v>31</v>
      </c>
      <c r="C283" s="45">
        <v>6</v>
      </c>
      <c r="D283" s="126" t="str">
        <f t="shared" si="41"/>
        <v xml:space="preserve"> 30 min</v>
      </c>
      <c r="E283" s="247" t="s">
        <v>105</v>
      </c>
      <c r="F283" s="232"/>
      <c r="G283" s="233"/>
      <c r="H283" s="152"/>
    </row>
    <row r="284" spans="2:8" s="43" customFormat="1" x14ac:dyDescent="0.3">
      <c r="B284" s="44"/>
      <c r="C284" s="45"/>
      <c r="D284" s="127" t="str">
        <f t="shared" si="41"/>
        <v/>
      </c>
      <c r="E284" s="46"/>
      <c r="F284" s="232"/>
      <c r="G284" s="233"/>
      <c r="H284" s="152"/>
    </row>
    <row r="285" spans="2:8" s="43" customFormat="1" x14ac:dyDescent="0.3">
      <c r="B285" s="44"/>
      <c r="C285" s="45"/>
      <c r="D285" s="127" t="str">
        <f t="shared" si="41"/>
        <v/>
      </c>
      <c r="E285" s="46"/>
      <c r="F285" s="232"/>
      <c r="G285" s="233"/>
      <c r="H285" s="152"/>
    </row>
    <row r="286" spans="2:8" s="43" customFormat="1" x14ac:dyDescent="0.3">
      <c r="B286" s="44"/>
      <c r="C286" s="45"/>
      <c r="D286" s="127" t="str">
        <f t="shared" si="41"/>
        <v/>
      </c>
      <c r="E286" s="46"/>
      <c r="F286" s="232"/>
      <c r="G286" s="233"/>
      <c r="H286" s="152"/>
    </row>
    <row r="287" spans="2:8" s="43" customFormat="1" ht="15" thickBot="1" x14ac:dyDescent="0.35">
      <c r="B287" s="44"/>
      <c r="C287" s="47"/>
      <c r="D287" s="128" t="str">
        <f t="shared" si="41"/>
        <v/>
      </c>
      <c r="E287" s="48"/>
      <c r="F287" s="234"/>
      <c r="G287" s="235"/>
      <c r="H287" s="152"/>
    </row>
    <row r="288" spans="2:8" s="43" customFormat="1" ht="15" thickBot="1" x14ac:dyDescent="0.35">
      <c r="B288" s="86" t="s">
        <v>43</v>
      </c>
      <c r="C288" s="67">
        <f>SUM(C280:C287)</f>
        <v>36</v>
      </c>
      <c r="D288" s="86" t="str">
        <f xml:space="preserve"> setValueToTime(C288)</f>
        <v>3h</v>
      </c>
      <c r="E288" s="95"/>
      <c r="F288" s="236"/>
      <c r="G288" s="237"/>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66</v>
      </c>
      <c r="H290" s="151"/>
    </row>
    <row r="291" spans="2:8" s="39" customFormat="1" ht="30" customHeight="1" thickBot="1" x14ac:dyDescent="0.3">
      <c r="B291" s="63" t="s">
        <v>38</v>
      </c>
      <c r="C291" s="123" t="s">
        <v>39</v>
      </c>
      <c r="D291" s="124"/>
      <c r="E291" s="63" t="s">
        <v>40</v>
      </c>
      <c r="F291" s="238" t="s">
        <v>41</v>
      </c>
      <c r="G291" s="239"/>
      <c r="H291" s="151"/>
    </row>
    <row r="292" spans="2:8" s="43" customFormat="1" x14ac:dyDescent="0.3">
      <c r="B292" s="44" t="s">
        <v>30</v>
      </c>
      <c r="C292" s="45">
        <v>2</v>
      </c>
      <c r="D292" s="126" t="str">
        <f t="shared" ref="D292" si="42" xml:space="preserve"> IF(C292="","",setValueToTime(C292))</f>
        <v xml:space="preserve"> 10 min</v>
      </c>
      <c r="E292" s="42"/>
      <c r="F292" s="240"/>
      <c r="G292" s="241"/>
      <c r="H292" s="152"/>
    </row>
    <row r="293" spans="2:8" s="43" customFormat="1" ht="27" x14ac:dyDescent="0.3">
      <c r="B293" s="44" t="s">
        <v>51</v>
      </c>
      <c r="C293" s="45">
        <v>15</v>
      </c>
      <c r="D293" s="126" t="str">
        <f t="shared" ref="D293:D299" si="43" xml:space="preserve"> IF(C293="","",setValueToTime(C293))</f>
        <v>1h 15 min</v>
      </c>
      <c r="E293" s="247" t="s">
        <v>99</v>
      </c>
      <c r="F293" s="232"/>
      <c r="G293" s="233"/>
      <c r="H293" s="152"/>
    </row>
    <row r="294" spans="2:8" s="43" customFormat="1" ht="27" x14ac:dyDescent="0.3">
      <c r="B294" s="44" t="s">
        <v>47</v>
      </c>
      <c r="C294" s="45">
        <v>8</v>
      </c>
      <c r="D294" s="126" t="str">
        <f t="shared" si="43"/>
        <v xml:space="preserve"> 40 min</v>
      </c>
      <c r="E294" t="s">
        <v>100</v>
      </c>
      <c r="F294" s="232"/>
      <c r="G294" s="233"/>
      <c r="H294" s="152"/>
    </row>
    <row r="295" spans="2:8" s="43" customFormat="1" x14ac:dyDescent="0.3">
      <c r="B295" s="44" t="s">
        <v>56</v>
      </c>
      <c r="C295" s="45">
        <v>17</v>
      </c>
      <c r="D295" s="126" t="str">
        <f t="shared" si="43"/>
        <v>1h 25 min</v>
      </c>
      <c r="E295" s="247" t="s">
        <v>101</v>
      </c>
      <c r="F295" s="232"/>
      <c r="G295" s="233"/>
      <c r="H295" s="152"/>
    </row>
    <row r="296" spans="2:8" s="43" customFormat="1" x14ac:dyDescent="0.3">
      <c r="B296" s="44"/>
      <c r="C296" s="45"/>
      <c r="D296" s="127" t="str">
        <f t="shared" si="43"/>
        <v/>
      </c>
      <c r="E296" s="46"/>
      <c r="F296" s="232"/>
      <c r="G296" s="233"/>
      <c r="H296" s="152"/>
    </row>
    <row r="297" spans="2:8" s="43" customFormat="1" x14ac:dyDescent="0.3">
      <c r="B297" s="44"/>
      <c r="C297" s="45"/>
      <c r="D297" s="127" t="str">
        <f t="shared" si="43"/>
        <v/>
      </c>
      <c r="E297" s="46"/>
      <c r="F297" s="232"/>
      <c r="G297" s="233"/>
      <c r="H297" s="152"/>
    </row>
    <row r="298" spans="2:8" s="43" customFormat="1" x14ac:dyDescent="0.3">
      <c r="B298" s="44"/>
      <c r="C298" s="45"/>
      <c r="D298" s="127" t="str">
        <f t="shared" si="43"/>
        <v/>
      </c>
      <c r="E298" s="46"/>
      <c r="F298" s="232"/>
      <c r="G298" s="233"/>
      <c r="H298" s="152"/>
    </row>
    <row r="299" spans="2:8" s="43" customFormat="1" ht="15" thickBot="1" x14ac:dyDescent="0.35">
      <c r="B299" s="44"/>
      <c r="C299" s="47"/>
      <c r="D299" s="128" t="str">
        <f t="shared" si="43"/>
        <v/>
      </c>
      <c r="E299" s="48"/>
      <c r="F299" s="234"/>
      <c r="G299" s="235"/>
      <c r="H299" s="152"/>
    </row>
    <row r="300" spans="2:8" s="43" customFormat="1" ht="15" thickBot="1" x14ac:dyDescent="0.35">
      <c r="B300" s="86" t="s">
        <v>43</v>
      </c>
      <c r="C300" s="67">
        <f>SUM(C292:C299)</f>
        <v>42</v>
      </c>
      <c r="D300" s="86" t="str">
        <f xml:space="preserve"> setValueToTime(C300)</f>
        <v>3h 30 min</v>
      </c>
      <c r="E300" s="95"/>
      <c r="F300" s="236"/>
      <c r="G300" s="237"/>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65</v>
      </c>
      <c r="H302" s="151"/>
    </row>
    <row r="303" spans="2:8" s="39" customFormat="1" ht="30" customHeight="1" thickBot="1" x14ac:dyDescent="0.3">
      <c r="B303" s="63" t="s">
        <v>38</v>
      </c>
      <c r="C303" s="123" t="s">
        <v>39</v>
      </c>
      <c r="D303" s="124"/>
      <c r="E303" s="63" t="s">
        <v>40</v>
      </c>
      <c r="F303" s="238" t="s">
        <v>41</v>
      </c>
      <c r="G303" s="239"/>
      <c r="H303" s="151"/>
    </row>
    <row r="304" spans="2:8" s="43" customFormat="1" x14ac:dyDescent="0.3">
      <c r="B304" s="44" t="s">
        <v>30</v>
      </c>
      <c r="C304" s="45">
        <v>2</v>
      </c>
      <c r="D304" s="126" t="str">
        <f t="shared" ref="D304" si="44" xml:space="preserve"> IF(C304="","",setValueToTime(C304))</f>
        <v xml:space="preserve"> 10 min</v>
      </c>
      <c r="E304" s="42"/>
      <c r="F304" s="240"/>
      <c r="G304" s="241"/>
      <c r="H304" s="152"/>
    </row>
    <row r="305" spans="2:8" s="43" customFormat="1" x14ac:dyDescent="0.3">
      <c r="B305" s="44" t="s">
        <v>31</v>
      </c>
      <c r="C305" s="45">
        <v>5</v>
      </c>
      <c r="D305" s="126" t="str">
        <f xml:space="preserve"> IF(C305="","",setValueToTime(C305))</f>
        <v xml:space="preserve"> 25 min</v>
      </c>
      <c r="E305" t="s">
        <v>97</v>
      </c>
      <c r="F305" s="232"/>
      <c r="G305" s="233"/>
      <c r="H305" s="152"/>
    </row>
    <row r="306" spans="2:8" s="43" customFormat="1" ht="27" x14ac:dyDescent="0.3">
      <c r="B306" s="44" t="s">
        <v>50</v>
      </c>
      <c r="C306" s="45">
        <v>12</v>
      </c>
      <c r="D306" s="126" t="str">
        <f t="shared" ref="D306" si="45" xml:space="preserve"> IF(C306="","",setValueToTime(C306))</f>
        <v>1h</v>
      </c>
      <c r="E306" s="247" t="s">
        <v>96</v>
      </c>
      <c r="F306" s="232"/>
      <c r="G306" s="233"/>
      <c r="H306" s="152"/>
    </row>
    <row r="307" spans="2:8" s="43" customFormat="1" x14ac:dyDescent="0.3">
      <c r="B307" s="44" t="s">
        <v>102</v>
      </c>
      <c r="C307" s="45">
        <v>8</v>
      </c>
      <c r="D307" s="126" t="str">
        <f t="shared" ref="D305:D311" si="46" xml:space="preserve"> IF(C307="","",setValueToTime(C307))</f>
        <v xml:space="preserve"> 40 min</v>
      </c>
      <c r="E307" s="247" t="s">
        <v>125</v>
      </c>
      <c r="F307" s="232"/>
      <c r="G307" s="233"/>
      <c r="H307" s="152"/>
    </row>
    <row r="308" spans="2:8" s="43" customFormat="1" x14ac:dyDescent="0.3">
      <c r="B308" s="44"/>
      <c r="C308" s="45"/>
      <c r="D308" s="127" t="str">
        <f t="shared" si="46"/>
        <v/>
      </c>
      <c r="E308" s="46"/>
      <c r="F308" s="232"/>
      <c r="G308" s="233"/>
      <c r="H308" s="152"/>
    </row>
    <row r="309" spans="2:8" s="43" customFormat="1" x14ac:dyDescent="0.3">
      <c r="B309" s="44"/>
      <c r="C309" s="45"/>
      <c r="D309" s="127" t="str">
        <f t="shared" si="46"/>
        <v/>
      </c>
      <c r="E309" s="46"/>
      <c r="F309" s="232"/>
      <c r="G309" s="233"/>
      <c r="H309" s="152"/>
    </row>
    <row r="310" spans="2:8" s="43" customFormat="1" x14ac:dyDescent="0.3">
      <c r="B310" s="44"/>
      <c r="C310" s="45"/>
      <c r="D310" s="127" t="str">
        <f t="shared" si="46"/>
        <v/>
      </c>
      <c r="E310" s="46"/>
      <c r="F310" s="232"/>
      <c r="G310" s="233"/>
      <c r="H310" s="152"/>
    </row>
    <row r="311" spans="2:8" s="43" customFormat="1" ht="15" thickBot="1" x14ac:dyDescent="0.35">
      <c r="B311" s="44"/>
      <c r="C311" s="47"/>
      <c r="D311" s="128" t="str">
        <f t="shared" si="46"/>
        <v/>
      </c>
      <c r="E311" s="48"/>
      <c r="F311" s="234"/>
      <c r="G311" s="235"/>
      <c r="H311" s="152"/>
    </row>
    <row r="312" spans="2:8" s="43" customFormat="1" ht="15" thickBot="1" x14ac:dyDescent="0.35">
      <c r="B312" s="86" t="s">
        <v>43</v>
      </c>
      <c r="C312" s="67">
        <f>SUM(C304:C311)</f>
        <v>27</v>
      </c>
      <c r="D312" s="86" t="str">
        <f xml:space="preserve"> setValueToTime(C312)</f>
        <v>2h 15 min</v>
      </c>
      <c r="E312" s="95"/>
      <c r="F312" s="236"/>
      <c r="G312" s="237"/>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66</v>
      </c>
      <c r="H314" s="151"/>
    </row>
    <row r="315" spans="2:8" s="39" customFormat="1" ht="30" customHeight="1" thickBot="1" x14ac:dyDescent="0.3">
      <c r="B315" s="63" t="s">
        <v>38</v>
      </c>
      <c r="C315" s="123" t="s">
        <v>39</v>
      </c>
      <c r="D315" s="124"/>
      <c r="E315" s="63" t="s">
        <v>40</v>
      </c>
      <c r="F315" s="238" t="s">
        <v>41</v>
      </c>
      <c r="G315" s="239"/>
      <c r="H315" s="151"/>
    </row>
    <row r="316" spans="2:8" s="43" customFormat="1" x14ac:dyDescent="0.3">
      <c r="B316" s="44" t="s">
        <v>30</v>
      </c>
      <c r="C316" s="45">
        <v>2</v>
      </c>
      <c r="D316" s="126" t="str">
        <f t="shared" ref="D316:D317" si="47" xml:space="preserve"> IF(C316="","",setValueToTime(C316))</f>
        <v xml:space="preserve"> 10 min</v>
      </c>
      <c r="E316" s="42"/>
      <c r="F316" s="240"/>
      <c r="G316" s="241"/>
      <c r="H316" s="152"/>
    </row>
    <row r="317" spans="2:8" s="43" customFormat="1" x14ac:dyDescent="0.3">
      <c r="B317" s="44" t="s">
        <v>29</v>
      </c>
      <c r="C317" s="45">
        <v>8</v>
      </c>
      <c r="D317" s="126" t="str">
        <f t="shared" si="47"/>
        <v xml:space="preserve"> 40 min</v>
      </c>
      <c r="E317" s="247" t="s">
        <v>98</v>
      </c>
      <c r="F317" s="232"/>
      <c r="G317" s="233"/>
      <c r="H317" s="152"/>
    </row>
    <row r="318" spans="2:8" s="43" customFormat="1" ht="27" x14ac:dyDescent="0.3">
      <c r="B318" s="44" t="s">
        <v>50</v>
      </c>
      <c r="C318" s="45">
        <v>26</v>
      </c>
      <c r="D318" s="126" t="str">
        <f t="shared" ref="D317:D323" si="48" xml:space="preserve"> IF(C318="","",setValueToTime(C318))</f>
        <v>2h 10 min</v>
      </c>
      <c r="E318" s="247" t="s">
        <v>96</v>
      </c>
      <c r="F318" s="232"/>
      <c r="G318" s="233"/>
      <c r="H318" s="152"/>
    </row>
    <row r="319" spans="2:8" s="43" customFormat="1" x14ac:dyDescent="0.3">
      <c r="B319" s="44"/>
      <c r="C319" s="45"/>
      <c r="D319" s="126"/>
      <c r="E319"/>
      <c r="F319" s="232"/>
      <c r="G319" s="233"/>
      <c r="H319" s="152"/>
    </row>
    <row r="320" spans="2:8" s="43" customFormat="1" x14ac:dyDescent="0.3">
      <c r="B320" s="44"/>
      <c r="C320" s="45"/>
      <c r="D320" s="127" t="str">
        <f t="shared" si="48"/>
        <v/>
      </c>
      <c r="E320" s="46"/>
      <c r="F320" s="232"/>
      <c r="G320" s="233"/>
      <c r="H320" s="152"/>
    </row>
    <row r="321" spans="2:8" s="43" customFormat="1" x14ac:dyDescent="0.3">
      <c r="B321" s="44"/>
      <c r="C321" s="45"/>
      <c r="D321" s="127" t="str">
        <f t="shared" si="48"/>
        <v/>
      </c>
      <c r="E321" s="46"/>
      <c r="F321" s="232"/>
      <c r="G321" s="233"/>
      <c r="H321" s="152"/>
    </row>
    <row r="322" spans="2:8" s="43" customFormat="1" x14ac:dyDescent="0.3">
      <c r="B322" s="44"/>
      <c r="C322" s="45"/>
      <c r="D322" s="127" t="str">
        <f t="shared" si="48"/>
        <v/>
      </c>
      <c r="E322" s="46"/>
      <c r="F322" s="232"/>
      <c r="G322" s="233"/>
      <c r="H322" s="152"/>
    </row>
    <row r="323" spans="2:8" s="43" customFormat="1" ht="15" thickBot="1" x14ac:dyDescent="0.35">
      <c r="B323" s="44"/>
      <c r="C323" s="47"/>
      <c r="D323" s="128" t="str">
        <f t="shared" si="48"/>
        <v/>
      </c>
      <c r="E323" s="48"/>
      <c r="F323" s="234"/>
      <c r="G323" s="235"/>
      <c r="H323" s="152"/>
    </row>
    <row r="324" spans="2:8" s="43" customFormat="1" ht="15" thickBot="1" x14ac:dyDescent="0.35">
      <c r="B324" s="86" t="s">
        <v>43</v>
      </c>
      <c r="C324" s="67">
        <f>SUM(C316:C323)</f>
        <v>36</v>
      </c>
      <c r="D324" s="86" t="str">
        <f xml:space="preserve"> setValueToTime(C324)</f>
        <v>3h</v>
      </c>
      <c r="E324" s="95"/>
      <c r="F324" s="236"/>
      <c r="G324" s="237"/>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65</v>
      </c>
      <c r="H326" s="151"/>
    </row>
    <row r="327" spans="2:8" s="39" customFormat="1" ht="30" customHeight="1" thickBot="1" x14ac:dyDescent="0.3">
      <c r="B327" s="63" t="s">
        <v>38</v>
      </c>
      <c r="C327" s="123" t="s">
        <v>39</v>
      </c>
      <c r="D327" s="124"/>
      <c r="E327" s="63" t="s">
        <v>40</v>
      </c>
      <c r="F327" s="238" t="s">
        <v>41</v>
      </c>
      <c r="G327" s="239"/>
      <c r="H327" s="151"/>
    </row>
    <row r="328" spans="2:8" s="43" customFormat="1" x14ac:dyDescent="0.3">
      <c r="B328" s="44" t="s">
        <v>30</v>
      </c>
      <c r="C328" s="45">
        <v>2</v>
      </c>
      <c r="D328" s="126" t="str">
        <f t="shared" ref="D328" si="49" xml:space="preserve"> IF(C328="","",setValueToTime(C328))</f>
        <v xml:space="preserve"> 10 min</v>
      </c>
      <c r="E328" s="42"/>
      <c r="F328" s="240"/>
      <c r="G328" s="241"/>
      <c r="H328" s="152"/>
    </row>
    <row r="329" spans="2:8" s="43" customFormat="1" ht="27" x14ac:dyDescent="0.3">
      <c r="B329" s="44" t="s">
        <v>50</v>
      </c>
      <c r="C329" s="45">
        <v>12</v>
      </c>
      <c r="D329" s="126" t="str">
        <f t="shared" ref="D329" si="50" xml:space="preserve"> IF(C329="","",setValueToTime(C329))</f>
        <v>1h</v>
      </c>
      <c r="E329" s="46" t="s">
        <v>94</v>
      </c>
      <c r="F329" s="232"/>
      <c r="G329" s="233"/>
      <c r="H329" s="152"/>
    </row>
    <row r="330" spans="2:8" s="43" customFormat="1" x14ac:dyDescent="0.3">
      <c r="B330" s="44" t="s">
        <v>31</v>
      </c>
      <c r="C330" s="45">
        <v>10</v>
      </c>
      <c r="D330" s="126" t="str">
        <f t="shared" ref="D330:D331" si="51" xml:space="preserve"> IF(C330="","",setValueToTime(C330))</f>
        <v xml:space="preserve"> 50 min</v>
      </c>
      <c r="E330" s="46" t="s">
        <v>95</v>
      </c>
      <c r="F330" s="232"/>
      <c r="G330" s="233"/>
      <c r="H330" s="152"/>
    </row>
    <row r="331" spans="2:8" s="43" customFormat="1" ht="27" x14ac:dyDescent="0.3">
      <c r="B331" s="44" t="s">
        <v>46</v>
      </c>
      <c r="C331" s="45">
        <v>12</v>
      </c>
      <c r="D331" s="126" t="str">
        <f t="shared" si="51"/>
        <v>1h</v>
      </c>
      <c r="E331" s="46" t="s">
        <v>93</v>
      </c>
      <c r="F331" s="232"/>
      <c r="G331" s="233"/>
      <c r="H331" s="152"/>
    </row>
    <row r="332" spans="2:8" s="43" customFormat="1" x14ac:dyDescent="0.3">
      <c r="B332" s="44"/>
      <c r="C332" s="45"/>
      <c r="D332" s="127" t="str">
        <f t="shared" ref="D332:D335" si="52" xml:space="preserve"> IF(C332="","",setValueToTime(C332))</f>
        <v/>
      </c>
      <c r="E332" s="46"/>
      <c r="F332" s="232"/>
      <c r="G332" s="233"/>
      <c r="H332" s="152"/>
    </row>
    <row r="333" spans="2:8" s="43" customFormat="1" x14ac:dyDescent="0.3">
      <c r="B333" s="44"/>
      <c r="C333" s="45"/>
      <c r="D333" s="127" t="str">
        <f t="shared" si="52"/>
        <v/>
      </c>
      <c r="E333" s="46"/>
      <c r="F333" s="232"/>
      <c r="G333" s="233"/>
      <c r="H333" s="152"/>
    </row>
    <row r="334" spans="2:8" s="43" customFormat="1" x14ac:dyDescent="0.3">
      <c r="B334" s="44"/>
      <c r="C334" s="45"/>
      <c r="D334" s="127" t="str">
        <f t="shared" si="52"/>
        <v/>
      </c>
      <c r="E334" s="46"/>
      <c r="F334" s="232"/>
      <c r="G334" s="233"/>
      <c r="H334" s="152"/>
    </row>
    <row r="335" spans="2:8" s="43" customFormat="1" ht="15" thickBot="1" x14ac:dyDescent="0.35">
      <c r="B335" s="44"/>
      <c r="C335" s="47"/>
      <c r="D335" s="128" t="str">
        <f t="shared" si="52"/>
        <v/>
      </c>
      <c r="E335" s="48"/>
      <c r="F335" s="234"/>
      <c r="G335" s="235"/>
      <c r="H335" s="152"/>
    </row>
    <row r="336" spans="2:8" s="43" customFormat="1" ht="15" thickBot="1" x14ac:dyDescent="0.35">
      <c r="B336" s="86" t="s">
        <v>43</v>
      </c>
      <c r="C336" s="67">
        <f>SUM(C328:C335)</f>
        <v>36</v>
      </c>
      <c r="D336" s="86" t="str">
        <f xml:space="preserve"> setValueToTime(C336)</f>
        <v>3h</v>
      </c>
      <c r="E336" s="95"/>
      <c r="F336" s="236"/>
      <c r="G336" s="237"/>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66</v>
      </c>
      <c r="H338" s="151"/>
    </row>
    <row r="339" spans="2:8" s="39" customFormat="1" ht="30" customHeight="1" thickBot="1" x14ac:dyDescent="0.3">
      <c r="B339" s="63" t="s">
        <v>38</v>
      </c>
      <c r="C339" s="123" t="s">
        <v>39</v>
      </c>
      <c r="D339" s="124"/>
      <c r="E339" s="63" t="s">
        <v>40</v>
      </c>
      <c r="F339" s="238" t="s">
        <v>41</v>
      </c>
      <c r="G339" s="239"/>
      <c r="H339" s="151"/>
    </row>
    <row r="340" spans="2:8" s="43" customFormat="1" x14ac:dyDescent="0.3">
      <c r="B340" s="44" t="s">
        <v>48</v>
      </c>
      <c r="C340" s="45">
        <v>18</v>
      </c>
      <c r="D340" s="126" t="str">
        <f t="shared" ref="D340" si="53" xml:space="preserve"> IF(C340="","",setValueToTime(C340))</f>
        <v>1h 30 min</v>
      </c>
      <c r="E340" s="46" t="s">
        <v>91</v>
      </c>
      <c r="F340" s="240"/>
      <c r="G340" s="241"/>
      <c r="H340" s="152"/>
    </row>
    <row r="341" spans="2:8" s="43" customFormat="1" x14ac:dyDescent="0.3">
      <c r="B341" s="44" t="s">
        <v>59</v>
      </c>
      <c r="C341" s="45">
        <v>3</v>
      </c>
      <c r="D341" s="126" t="str">
        <f t="shared" ref="D341:D343" si="54" xml:space="preserve"> IF(C341="","",setValueToTime(C341))</f>
        <v xml:space="preserve"> 15 min</v>
      </c>
      <c r="E341" s="46" t="s">
        <v>92</v>
      </c>
      <c r="F341" s="232"/>
      <c r="G341" s="233"/>
      <c r="H341" s="152"/>
    </row>
    <row r="342" spans="2:8" s="43" customFormat="1" ht="27" x14ac:dyDescent="0.3">
      <c r="B342" s="44" t="s">
        <v>46</v>
      </c>
      <c r="C342" s="45">
        <v>12</v>
      </c>
      <c r="D342" s="126" t="str">
        <f t="shared" si="54"/>
        <v>1h</v>
      </c>
      <c r="E342" s="46" t="s">
        <v>93</v>
      </c>
      <c r="F342" s="232"/>
      <c r="G342" s="233"/>
      <c r="H342" s="152"/>
    </row>
    <row r="343" spans="2:8" s="43" customFormat="1" ht="27" x14ac:dyDescent="0.3">
      <c r="B343" s="44" t="s">
        <v>50</v>
      </c>
      <c r="C343" s="45">
        <v>12</v>
      </c>
      <c r="D343" s="126" t="str">
        <f t="shared" si="54"/>
        <v>1h</v>
      </c>
      <c r="E343" s="46" t="s">
        <v>94</v>
      </c>
      <c r="F343" s="232"/>
      <c r="G343" s="233"/>
      <c r="H343" s="152"/>
    </row>
    <row r="344" spans="2:8" s="43" customFormat="1" x14ac:dyDescent="0.3">
      <c r="B344" s="44"/>
      <c r="C344" s="45"/>
      <c r="D344" s="127" t="str">
        <f t="shared" ref="D344:D347" si="55" xml:space="preserve"> IF(C344="","",setValueToTime(C344))</f>
        <v/>
      </c>
      <c r="E344" s="46"/>
      <c r="F344" s="232"/>
      <c r="G344" s="233"/>
      <c r="H344" s="152"/>
    </row>
    <row r="345" spans="2:8" s="43" customFormat="1" x14ac:dyDescent="0.3">
      <c r="B345" s="44"/>
      <c r="C345" s="45"/>
      <c r="D345" s="127" t="str">
        <f t="shared" si="55"/>
        <v/>
      </c>
      <c r="E345" s="46"/>
      <c r="F345" s="232"/>
      <c r="G345" s="233"/>
      <c r="H345" s="152"/>
    </row>
    <row r="346" spans="2:8" s="43" customFormat="1" x14ac:dyDescent="0.3">
      <c r="B346" s="44"/>
      <c r="C346" s="45"/>
      <c r="D346" s="127" t="str">
        <f t="shared" si="55"/>
        <v/>
      </c>
      <c r="E346" s="46"/>
      <c r="F346" s="232"/>
      <c r="G346" s="233"/>
      <c r="H346" s="152"/>
    </row>
    <row r="347" spans="2:8" s="43" customFormat="1" ht="15" thickBot="1" x14ac:dyDescent="0.35">
      <c r="B347" s="44"/>
      <c r="C347" s="47"/>
      <c r="D347" s="128" t="str">
        <f t="shared" si="55"/>
        <v/>
      </c>
      <c r="E347" s="48"/>
      <c r="F347" s="234"/>
      <c r="G347" s="235"/>
      <c r="H347" s="152"/>
    </row>
    <row r="348" spans="2:8" s="43" customFormat="1" ht="15" thickBot="1" x14ac:dyDescent="0.35">
      <c r="B348" s="86" t="s">
        <v>43</v>
      </c>
      <c r="C348" s="67">
        <f>SUM(C340:C347)</f>
        <v>45</v>
      </c>
      <c r="D348" s="86" t="str">
        <f xml:space="preserve"> setValueToTime(C348)</f>
        <v>3h 45 min</v>
      </c>
      <c r="E348" s="95"/>
      <c r="F348" s="236"/>
      <c r="G348" s="237"/>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65</v>
      </c>
      <c r="H350" s="151"/>
    </row>
    <row r="351" spans="2:8" s="39" customFormat="1" ht="30" customHeight="1" thickBot="1" x14ac:dyDescent="0.3">
      <c r="B351" s="63" t="s">
        <v>38</v>
      </c>
      <c r="C351" s="123" t="s">
        <v>39</v>
      </c>
      <c r="D351" s="124"/>
      <c r="E351" s="63" t="s">
        <v>40</v>
      </c>
      <c r="F351" s="238" t="s">
        <v>41</v>
      </c>
      <c r="G351" s="239"/>
      <c r="H351" s="151"/>
    </row>
    <row r="352" spans="2:8" s="43" customFormat="1" x14ac:dyDescent="0.3">
      <c r="B352" s="40" t="s">
        <v>30</v>
      </c>
      <c r="C352" s="41">
        <v>10</v>
      </c>
      <c r="D352" s="125" t="str">
        <f xml:space="preserve"> IF(C352="","",setValueToTime(C352))</f>
        <v xml:space="preserve"> 50 min</v>
      </c>
      <c r="E352" s="42" t="s">
        <v>87</v>
      </c>
      <c r="F352" s="240"/>
      <c r="G352" s="241"/>
      <c r="H352" s="152"/>
    </row>
    <row r="353" spans="2:8" s="43" customFormat="1" x14ac:dyDescent="0.3">
      <c r="B353" s="44" t="s">
        <v>59</v>
      </c>
      <c r="C353" s="45">
        <v>3</v>
      </c>
      <c r="D353" s="126" t="str">
        <f t="shared" ref="D353:D355" si="56" xml:space="preserve"> IF(C353="","",setValueToTime(C353))</f>
        <v xml:space="preserve"> 15 min</v>
      </c>
      <c r="E353" s="46" t="s">
        <v>88</v>
      </c>
      <c r="F353" s="232"/>
      <c r="G353" s="233"/>
      <c r="H353" s="152"/>
    </row>
    <row r="354" spans="2:8" s="43" customFormat="1" x14ac:dyDescent="0.3">
      <c r="B354" s="44" t="s">
        <v>48</v>
      </c>
      <c r="C354" s="45">
        <v>12</v>
      </c>
      <c r="D354" s="126" t="str">
        <f t="shared" si="56"/>
        <v>1h</v>
      </c>
      <c r="E354" s="46" t="s">
        <v>89</v>
      </c>
      <c r="F354" s="232"/>
      <c r="G354" s="233"/>
      <c r="H354" s="152"/>
    </row>
    <row r="355" spans="2:8" s="43" customFormat="1" ht="27" x14ac:dyDescent="0.3">
      <c r="B355" s="44" t="s">
        <v>54</v>
      </c>
      <c r="C355" s="45">
        <v>11</v>
      </c>
      <c r="D355" s="126" t="str">
        <f t="shared" si="56"/>
        <v xml:space="preserve"> 55 min</v>
      </c>
      <c r="E355" s="46" t="s">
        <v>90</v>
      </c>
      <c r="F355" s="232"/>
      <c r="G355" s="233"/>
      <c r="H355" s="152"/>
    </row>
    <row r="356" spans="2:8" s="43" customFormat="1" x14ac:dyDescent="0.3">
      <c r="B356" s="44"/>
      <c r="C356" s="45"/>
      <c r="D356" s="127" t="str">
        <f t="shared" ref="D356:D359" si="57" xml:space="preserve"> IF(C356="","",setValueToTime(C356))</f>
        <v/>
      </c>
      <c r="E356" s="46"/>
      <c r="F356" s="232"/>
      <c r="G356" s="233"/>
      <c r="H356" s="152"/>
    </row>
    <row r="357" spans="2:8" s="43" customFormat="1" x14ac:dyDescent="0.3">
      <c r="B357" s="44"/>
      <c r="C357" s="45"/>
      <c r="D357" s="127" t="str">
        <f t="shared" si="57"/>
        <v/>
      </c>
      <c r="E357" s="46"/>
      <c r="F357" s="232"/>
      <c r="G357" s="233"/>
      <c r="H357" s="152"/>
    </row>
    <row r="358" spans="2:8" s="43" customFormat="1" x14ac:dyDescent="0.3">
      <c r="B358" s="44"/>
      <c r="C358" s="45"/>
      <c r="D358" s="127" t="str">
        <f t="shared" si="57"/>
        <v/>
      </c>
      <c r="E358" s="46"/>
      <c r="F358" s="232"/>
      <c r="G358" s="233"/>
      <c r="H358" s="152"/>
    </row>
    <row r="359" spans="2:8" s="43" customFormat="1" ht="15" thickBot="1" x14ac:dyDescent="0.35">
      <c r="B359" s="44"/>
      <c r="C359" s="47"/>
      <c r="D359" s="128" t="str">
        <f t="shared" si="57"/>
        <v/>
      </c>
      <c r="E359" s="48"/>
      <c r="F359" s="234"/>
      <c r="G359" s="235"/>
      <c r="H359" s="152"/>
    </row>
    <row r="360" spans="2:8" s="43" customFormat="1" ht="15" thickBot="1" x14ac:dyDescent="0.35">
      <c r="B360" s="86" t="s">
        <v>43</v>
      </c>
      <c r="C360" s="67">
        <f>SUM(C352:C359)</f>
        <v>36</v>
      </c>
      <c r="D360" s="86" t="str">
        <f xml:space="preserve"> setValueToTime(C360)</f>
        <v>3h</v>
      </c>
      <c r="E360" s="95"/>
      <c r="F360" s="236"/>
      <c r="G360" s="237"/>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66</v>
      </c>
      <c r="H362" s="151"/>
    </row>
    <row r="363" spans="2:8" s="39" customFormat="1" ht="30" customHeight="1" thickBot="1" x14ac:dyDescent="0.3">
      <c r="B363" s="63" t="s">
        <v>38</v>
      </c>
      <c r="C363" s="123" t="s">
        <v>39</v>
      </c>
      <c r="D363" s="124"/>
      <c r="E363" s="63" t="s">
        <v>40</v>
      </c>
      <c r="F363" s="238" t="s">
        <v>41</v>
      </c>
      <c r="G363" s="239"/>
      <c r="H363" s="151"/>
    </row>
    <row r="364" spans="2:8" s="43" customFormat="1" x14ac:dyDescent="0.3">
      <c r="B364" s="40" t="s">
        <v>30</v>
      </c>
      <c r="C364" s="41">
        <v>18</v>
      </c>
      <c r="D364" s="125" t="str">
        <f xml:space="preserve"> IF(C364="","",setValueToTime(C364))</f>
        <v>1h 30 min</v>
      </c>
      <c r="E364" s="42" t="s">
        <v>83</v>
      </c>
      <c r="F364" s="240"/>
      <c r="G364" s="241"/>
      <c r="H364" s="152"/>
    </row>
    <row r="365" spans="2:8" s="43" customFormat="1" x14ac:dyDescent="0.3">
      <c r="B365" s="44" t="s">
        <v>31</v>
      </c>
      <c r="C365" s="45">
        <v>5</v>
      </c>
      <c r="D365" s="126" t="str">
        <f t="shared" ref="D365:D367" si="58" xml:space="preserve"> IF(C365="","",setValueToTime(C365))</f>
        <v xml:space="preserve"> 25 min</v>
      </c>
      <c r="E365" s="46" t="s">
        <v>84</v>
      </c>
      <c r="F365" s="232"/>
      <c r="G365" s="233"/>
      <c r="H365" s="152"/>
    </row>
    <row r="366" spans="2:8" s="43" customFormat="1" x14ac:dyDescent="0.3">
      <c r="B366" s="44" t="s">
        <v>52</v>
      </c>
      <c r="C366" s="45">
        <v>12</v>
      </c>
      <c r="D366" s="126" t="str">
        <f t="shared" si="58"/>
        <v>1h</v>
      </c>
      <c r="E366" s="46" t="s">
        <v>85</v>
      </c>
      <c r="F366" s="232"/>
      <c r="G366" s="233"/>
      <c r="H366" s="152"/>
    </row>
    <row r="367" spans="2:8" s="43" customFormat="1" ht="27" x14ac:dyDescent="0.3">
      <c r="B367" s="44" t="s">
        <v>51</v>
      </c>
      <c r="C367" s="45">
        <v>10</v>
      </c>
      <c r="D367" s="126" t="str">
        <f t="shared" si="58"/>
        <v xml:space="preserve"> 50 min</v>
      </c>
      <c r="E367" s="46" t="s">
        <v>86</v>
      </c>
      <c r="F367" s="232"/>
      <c r="G367" s="233"/>
      <c r="H367" s="152"/>
    </row>
    <row r="368" spans="2:8" s="43" customFormat="1" x14ac:dyDescent="0.3">
      <c r="B368" s="44"/>
      <c r="C368" s="45"/>
      <c r="D368" s="127" t="str">
        <f t="shared" ref="D368:D371" si="59" xml:space="preserve"> IF(C368="","",setValueToTime(C368))</f>
        <v/>
      </c>
      <c r="E368" s="46"/>
      <c r="F368" s="232"/>
      <c r="G368" s="233"/>
      <c r="H368" s="152"/>
    </row>
    <row r="369" spans="2:8" s="43" customFormat="1" x14ac:dyDescent="0.3">
      <c r="B369" s="44"/>
      <c r="C369" s="45"/>
      <c r="D369" s="127" t="str">
        <f t="shared" si="59"/>
        <v/>
      </c>
      <c r="E369" s="46"/>
      <c r="F369" s="232"/>
      <c r="G369" s="233"/>
      <c r="H369" s="152"/>
    </row>
    <row r="370" spans="2:8" s="43" customFormat="1" x14ac:dyDescent="0.3">
      <c r="B370" s="44"/>
      <c r="C370" s="45"/>
      <c r="D370" s="127" t="str">
        <f t="shared" si="59"/>
        <v/>
      </c>
      <c r="E370" s="46"/>
      <c r="F370" s="232"/>
      <c r="G370" s="233"/>
      <c r="H370" s="152"/>
    </row>
    <row r="371" spans="2:8" s="43" customFormat="1" ht="15" thickBot="1" x14ac:dyDescent="0.35">
      <c r="B371" s="44"/>
      <c r="C371" s="47"/>
      <c r="D371" s="128" t="str">
        <f t="shared" si="59"/>
        <v/>
      </c>
      <c r="E371" s="48"/>
      <c r="F371" s="234"/>
      <c r="G371" s="235"/>
      <c r="H371" s="152"/>
    </row>
    <row r="372" spans="2:8" s="43" customFormat="1" ht="15" thickBot="1" x14ac:dyDescent="0.35">
      <c r="B372" s="86" t="s">
        <v>43</v>
      </c>
      <c r="C372" s="67">
        <f>SUM(C364:C371)</f>
        <v>45</v>
      </c>
      <c r="D372" s="86" t="str">
        <f xml:space="preserve"> setValueToTime(C372)</f>
        <v>3h 45 min</v>
      </c>
      <c r="E372" s="95"/>
      <c r="F372" s="236"/>
      <c r="G372" s="237"/>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6:G126"/>
    <mergeCell ref="F127:G127"/>
    <mergeCell ref="F128:G128"/>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124:G124"/>
    <mergeCell ref="F125:G125"/>
    <mergeCell ref="F219:G219"/>
    <mergeCell ref="F220:G220"/>
    <mergeCell ref="F221:G221"/>
    <mergeCell ref="F222:G222"/>
    <mergeCell ref="F223:G223"/>
    <mergeCell ref="F224:G224"/>
    <mergeCell ref="F129:G129"/>
    <mergeCell ref="F130:G130"/>
    <mergeCell ref="F131:G131"/>
    <mergeCell ref="F132:G132"/>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33" priority="31" operator="greaterThan">
      <formula>60</formula>
    </cfRule>
  </conditionalFormatting>
  <conditionalFormatting sqref="C360">
    <cfRule type="cellIs" dxfId="32" priority="30" operator="greaterThan">
      <formula>60</formula>
    </cfRule>
  </conditionalFormatting>
  <conditionalFormatting sqref="C348">
    <cfRule type="cellIs" dxfId="31" priority="29" operator="greaterThan">
      <formula>60</formula>
    </cfRule>
  </conditionalFormatting>
  <conditionalFormatting sqref="C336">
    <cfRule type="cellIs" dxfId="30" priority="28" operator="greaterThan">
      <formula>60</formula>
    </cfRule>
  </conditionalFormatting>
  <conditionalFormatting sqref="C324">
    <cfRule type="cellIs" dxfId="29" priority="27" operator="greaterThan">
      <formula>60</formula>
    </cfRule>
  </conditionalFormatting>
  <conditionalFormatting sqref="C312">
    <cfRule type="cellIs" dxfId="28" priority="26" operator="greaterThan">
      <formula>60</formula>
    </cfRule>
  </conditionalFormatting>
  <conditionalFormatting sqref="C300">
    <cfRule type="cellIs" dxfId="27" priority="25" operator="greaterThan">
      <formula>60</formula>
    </cfRule>
  </conditionalFormatting>
  <conditionalFormatting sqref="C288">
    <cfRule type="cellIs" dxfId="26" priority="24" operator="greaterThan">
      <formula>60</formula>
    </cfRule>
  </conditionalFormatting>
  <conditionalFormatting sqref="C276">
    <cfRule type="cellIs" dxfId="25" priority="23" operator="greaterThan">
      <formula>60</formula>
    </cfRule>
  </conditionalFormatting>
  <conditionalFormatting sqref="C264">
    <cfRule type="cellIs" dxfId="24" priority="22" operator="greaterThan">
      <formula>60</formula>
    </cfRule>
  </conditionalFormatting>
  <conditionalFormatting sqref="C252">
    <cfRule type="cellIs" dxfId="23" priority="21" operator="greaterThan">
      <formula>60</formula>
    </cfRule>
  </conditionalFormatting>
  <conditionalFormatting sqref="C240">
    <cfRule type="cellIs" dxfId="22" priority="20" operator="greaterThan">
      <formula>60</formula>
    </cfRule>
  </conditionalFormatting>
  <conditionalFormatting sqref="C228">
    <cfRule type="cellIs" dxfId="21" priority="19" operator="greaterThan">
      <formula>60</formula>
    </cfRule>
  </conditionalFormatting>
  <conditionalFormatting sqref="C216">
    <cfRule type="cellIs" dxfId="20" priority="18" operator="greaterThan">
      <formula>60</formula>
    </cfRule>
  </conditionalFormatting>
  <conditionalFormatting sqref="C204">
    <cfRule type="cellIs" dxfId="19" priority="17" operator="greaterThan">
      <formula>60</formula>
    </cfRule>
  </conditionalFormatting>
  <conditionalFormatting sqref="C192">
    <cfRule type="cellIs" dxfId="18" priority="16" operator="greaterThan">
      <formula>60</formula>
    </cfRule>
  </conditionalFormatting>
  <conditionalFormatting sqref="C180">
    <cfRule type="cellIs" dxfId="17" priority="15" operator="greaterThan">
      <formula>60</formula>
    </cfRule>
  </conditionalFormatting>
  <conditionalFormatting sqref="C168">
    <cfRule type="cellIs" dxfId="16" priority="14" operator="greaterThan">
      <formula>60</formula>
    </cfRule>
  </conditionalFormatting>
  <conditionalFormatting sqref="C156">
    <cfRule type="cellIs" dxfId="15" priority="13" operator="greaterThan">
      <formula>60</formula>
    </cfRule>
  </conditionalFormatting>
  <conditionalFormatting sqref="C144">
    <cfRule type="cellIs" dxfId="14" priority="12" operator="greaterThan">
      <formula>60</formula>
    </cfRule>
  </conditionalFormatting>
  <conditionalFormatting sqref="C132">
    <cfRule type="cellIs" dxfId="13" priority="11" operator="greaterThan">
      <formula>60</formula>
    </cfRule>
  </conditionalFormatting>
  <conditionalFormatting sqref="C120">
    <cfRule type="cellIs" dxfId="12" priority="10" operator="greaterThan">
      <formula>60</formula>
    </cfRule>
  </conditionalFormatting>
  <conditionalFormatting sqref="C108">
    <cfRule type="cellIs" dxfId="11" priority="9" operator="greaterThan">
      <formula>60</formula>
    </cfRule>
  </conditionalFormatting>
  <conditionalFormatting sqref="C96">
    <cfRule type="cellIs" dxfId="10" priority="8" operator="greaterThan">
      <formula>60</formula>
    </cfRule>
  </conditionalFormatting>
  <conditionalFormatting sqref="C84">
    <cfRule type="cellIs" dxfId="9" priority="7" operator="greaterThan">
      <formula>60</formula>
    </cfRule>
  </conditionalFormatting>
  <conditionalFormatting sqref="C72">
    <cfRule type="cellIs" dxfId="8" priority="6" operator="greaterThan">
      <formula>60</formula>
    </cfRule>
  </conditionalFormatting>
  <conditionalFormatting sqref="C60">
    <cfRule type="cellIs" dxfId="7" priority="5" operator="greaterThan">
      <formula>60</formula>
    </cfRule>
  </conditionalFormatting>
  <conditionalFormatting sqref="C48">
    <cfRule type="cellIs" dxfId="6" priority="4" operator="greaterThan">
      <formula>60</formula>
    </cfRule>
  </conditionalFormatting>
  <conditionalFormatting sqref="C36">
    <cfRule type="cellIs" dxfId="5" priority="3" operator="greaterThan">
      <formula>60</formula>
    </cfRule>
  </conditionalFormatting>
  <conditionalFormatting sqref="C24">
    <cfRule type="cellIs" dxfId="4" priority="2" operator="greaterThan">
      <formula>60</formula>
    </cfRule>
  </conditionalFormatting>
  <conditionalFormatting sqref="C12">
    <cfRule type="cellIs" dxfId="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210:C215 C172:C179 C160:C167 C184:C191 C148:C155 C124:C131 C112:C119 C100:C107 C88:C95 C136:C143 C64:C71 C52:C59 C40:C47 C4:C11 C28:C35 C16:C23 C316:C323 C208 C196:C203 C76:C83"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B344:B347 B368:B371 B356:B359 B332:B335 B293:B299 B305:B311 B269:B275 B281:B287 B257:B263 B245:B251 B233:B239 B221:B227 B210:B215 B173:B179 B161:B167 B185:B191 B149:B155 B125:B131 B113:B119 B101:B107 B89:B95 B137:B143 B65:B71 B53:B59 B41:B47 B4:B11 B28:B35 B16:B23 B317:B323 B197:B203 B77:B83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
  <sheetViews>
    <sheetView showGridLines="0" zoomScaleNormal="100"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1</v>
      </c>
      <c r="D2" s="137"/>
      <c r="E2" s="130" t="s">
        <v>37</v>
      </c>
      <c r="F2" s="131" t="s">
        <v>82</v>
      </c>
      <c r="G2" s="132" t="s">
        <v>66</v>
      </c>
      <c r="H2" s="151"/>
    </row>
    <row r="3" spans="2:8" s="39" customFormat="1" ht="30" customHeight="1" thickBot="1" x14ac:dyDescent="0.3">
      <c r="B3" s="61" t="s">
        <v>38</v>
      </c>
      <c r="C3" s="134" t="s">
        <v>39</v>
      </c>
      <c r="D3" s="133"/>
      <c r="E3" s="61" t="s">
        <v>40</v>
      </c>
      <c r="F3" s="245" t="s">
        <v>41</v>
      </c>
      <c r="G3" s="246"/>
      <c r="H3" s="151"/>
    </row>
    <row r="4" spans="2:8" s="43" customFormat="1" x14ac:dyDescent="0.3">
      <c r="B4" s="40"/>
      <c r="C4" s="41"/>
      <c r="D4" s="125" t="str">
        <f xml:space="preserve"> IF(C4="","",setValueToTime(C4))</f>
        <v/>
      </c>
      <c r="E4" s="42"/>
      <c r="F4" s="240"/>
      <c r="G4" s="241"/>
      <c r="H4" s="152"/>
    </row>
    <row r="5" spans="2:8" s="43" customFormat="1" x14ac:dyDescent="0.3">
      <c r="B5" s="44"/>
      <c r="C5" s="45"/>
      <c r="D5" s="126" t="str">
        <f t="shared" ref="D5:D11" si="0" xml:space="preserve"> IF(C5="","",setValueToTime(C5))</f>
        <v/>
      </c>
      <c r="E5" s="46"/>
      <c r="F5" s="232"/>
      <c r="G5" s="233"/>
      <c r="H5" s="152"/>
    </row>
    <row r="6" spans="2:8" s="43" customFormat="1" x14ac:dyDescent="0.3">
      <c r="B6" s="44"/>
      <c r="C6" s="45"/>
      <c r="D6" s="126" t="str">
        <f t="shared" si="0"/>
        <v/>
      </c>
      <c r="E6" s="46"/>
      <c r="F6" s="232"/>
      <c r="G6" s="233"/>
      <c r="H6" s="152"/>
    </row>
    <row r="7" spans="2:8" s="43" customFormat="1" x14ac:dyDescent="0.3">
      <c r="B7" s="44"/>
      <c r="C7" s="45"/>
      <c r="D7" s="126" t="str">
        <f t="shared" si="0"/>
        <v/>
      </c>
      <c r="E7" s="46"/>
      <c r="F7" s="232"/>
      <c r="G7" s="233"/>
      <c r="H7" s="152"/>
    </row>
    <row r="8" spans="2:8" s="43" customFormat="1" x14ac:dyDescent="0.3">
      <c r="B8" s="45"/>
      <c r="C8" s="45"/>
      <c r="D8" s="127" t="str">
        <f t="shared" si="0"/>
        <v/>
      </c>
      <c r="E8" s="46"/>
      <c r="F8" s="232"/>
      <c r="G8" s="233"/>
      <c r="H8" s="152"/>
    </row>
    <row r="9" spans="2:8" s="43" customFormat="1" x14ac:dyDescent="0.3">
      <c r="B9" s="45"/>
      <c r="C9" s="45"/>
      <c r="D9" s="127" t="str">
        <f t="shared" si="0"/>
        <v/>
      </c>
      <c r="E9" s="46"/>
      <c r="F9" s="232"/>
      <c r="G9" s="233"/>
      <c r="H9" s="152"/>
    </row>
    <row r="10" spans="2:8" s="43" customFormat="1" x14ac:dyDescent="0.3">
      <c r="B10" s="45"/>
      <c r="C10" s="45"/>
      <c r="D10" s="127" t="str">
        <f t="shared" si="0"/>
        <v/>
      </c>
      <c r="E10" s="46"/>
      <c r="F10" s="232"/>
      <c r="G10" s="233"/>
      <c r="H10" s="152"/>
    </row>
    <row r="11" spans="2:8" s="43" customFormat="1" ht="15" thickBot="1" x14ac:dyDescent="0.35">
      <c r="B11" s="47"/>
      <c r="C11" s="47"/>
      <c r="D11" s="128" t="str">
        <f t="shared" si="0"/>
        <v/>
      </c>
      <c r="E11" s="48"/>
      <c r="F11" s="234"/>
      <c r="G11" s="235"/>
      <c r="H11" s="152"/>
    </row>
    <row r="12" spans="2:8" s="43" customFormat="1" ht="15" thickBot="1" x14ac:dyDescent="0.35">
      <c r="B12" s="135" t="s">
        <v>43</v>
      </c>
      <c r="C12" s="66">
        <f>SUM(C4:C11)</f>
        <v>0</v>
      </c>
      <c r="D12" s="135" t="str">
        <f xml:space="preserve"> setValueToTime(C12)</f>
        <v/>
      </c>
      <c r="E12" s="96"/>
      <c r="F12" s="243"/>
      <c r="G12" s="244"/>
      <c r="H12" s="152"/>
    </row>
    <row r="13" spans="2:8" s="43" customFormat="1" x14ac:dyDescent="0.3">
      <c r="B13" s="60"/>
      <c r="C13" s="60"/>
      <c r="D13" s="60"/>
      <c r="E13" s="60"/>
      <c r="F13" s="60"/>
      <c r="G13" s="60"/>
      <c r="H13" s="152"/>
    </row>
  </sheetData>
  <sheetProtection formatRows="0" insertRows="0" insertHyperlinks="0" deleteRows="0" selectLockedCells="1"/>
  <mergeCells count="10">
    <mergeCell ref="F9:G9"/>
    <mergeCell ref="F10:G10"/>
    <mergeCell ref="F11:G11"/>
    <mergeCell ref="F12:G12"/>
    <mergeCell ref="F3:G3"/>
    <mergeCell ref="F4:G4"/>
    <mergeCell ref="F5:G5"/>
    <mergeCell ref="F6:G6"/>
    <mergeCell ref="F7:G7"/>
    <mergeCell ref="F8:G8"/>
  </mergeCells>
  <phoneticPr fontId="0" type="noConversion"/>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F07B0E06-BAEF-4AB8-8489-5985F597403F}">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9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73"/>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73"/>
    </row>
    <row r="12" spans="1:61" ht="18.75" thickBo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73"/>
    </row>
    <row r="13" spans="1:61" ht="18.75" thickBot="1" x14ac:dyDescent="0.3">
      <c r="A13" s="220" t="s">
        <v>36</v>
      </c>
      <c r="B13" s="221"/>
      <c r="C13" s="221"/>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1"/>
      <c r="AB13" s="221"/>
      <c r="AC13" s="221"/>
      <c r="AD13" s="221"/>
      <c r="AE13" s="221"/>
      <c r="AF13" s="221"/>
      <c r="AG13" s="221"/>
      <c r="AH13" s="221"/>
      <c r="AI13" s="221"/>
      <c r="AJ13" s="221"/>
      <c r="AK13" s="221"/>
      <c r="AL13" s="221"/>
      <c r="AM13" s="221"/>
      <c r="AN13" s="221"/>
      <c r="AO13" s="221"/>
      <c r="AP13" s="221"/>
      <c r="AQ13" s="221"/>
      <c r="AR13" s="221"/>
      <c r="AS13" s="221"/>
      <c r="AT13" s="221"/>
      <c r="AU13" s="221"/>
      <c r="AV13" s="221"/>
      <c r="AW13" s="221"/>
      <c r="AX13" s="221"/>
      <c r="AY13" s="221"/>
      <c r="AZ13" s="221"/>
      <c r="BA13" s="221"/>
      <c r="BB13" s="221"/>
      <c r="BC13" s="221"/>
      <c r="BD13" s="221"/>
      <c r="BE13" s="221"/>
      <c r="BF13" s="221"/>
      <c r="BG13" s="221"/>
      <c r="BH13" s="222"/>
      <c r="BI13" s="73"/>
    </row>
    <row r="14" spans="1:61" ht="15.75" thickBot="1" x14ac:dyDescent="0.35">
      <c r="A14" s="81"/>
      <c r="B14" s="82"/>
      <c r="C14" s="82"/>
      <c r="D14" s="82"/>
      <c r="E14" s="207" t="s">
        <v>17</v>
      </c>
      <c r="F14" s="207"/>
      <c r="G14" s="207"/>
      <c r="H14" s="207"/>
      <c r="I14" s="82"/>
      <c r="J14" s="82"/>
      <c r="K14" s="208" t="s">
        <v>18</v>
      </c>
      <c r="L14" s="208"/>
      <c r="M14" s="208"/>
      <c r="N14" s="208"/>
      <c r="O14" s="102"/>
      <c r="P14" s="102"/>
      <c r="Q14" s="207" t="s">
        <v>19</v>
      </c>
      <c r="R14" s="207"/>
      <c r="S14" s="207"/>
      <c r="T14" s="207"/>
      <c r="U14" s="82"/>
      <c r="V14" s="82"/>
      <c r="W14" s="208" t="s">
        <v>20</v>
      </c>
      <c r="X14" s="208"/>
      <c r="Y14" s="208"/>
      <c r="Z14" s="208"/>
      <c r="AA14" s="102"/>
      <c r="AB14" s="102"/>
      <c r="AC14" s="207" t="s">
        <v>21</v>
      </c>
      <c r="AD14" s="207"/>
      <c r="AE14" s="207"/>
      <c r="AF14" s="207"/>
      <c r="AG14" s="82"/>
      <c r="AH14" s="82"/>
      <c r="AI14" s="208" t="s">
        <v>22</v>
      </c>
      <c r="AJ14" s="208"/>
      <c r="AK14" s="208"/>
      <c r="AL14" s="208"/>
      <c r="AM14" s="102"/>
      <c r="AN14" s="102"/>
      <c r="AO14" s="207" t="s">
        <v>23</v>
      </c>
      <c r="AP14" s="207"/>
      <c r="AQ14" s="207"/>
      <c r="AR14" s="207"/>
      <c r="AS14" s="82"/>
      <c r="AT14" s="82"/>
      <c r="AU14" s="208" t="s">
        <v>24</v>
      </c>
      <c r="AV14" s="208"/>
      <c r="AW14" s="208"/>
      <c r="AX14" s="208"/>
      <c r="AY14" s="102"/>
      <c r="AZ14" s="102"/>
      <c r="BA14" s="207" t="s">
        <v>25</v>
      </c>
      <c r="BB14" s="207"/>
      <c r="BC14" s="207"/>
      <c r="BD14" s="20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38" t="s">
        <v>41</v>
      </c>
      <c r="G2" s="239"/>
      <c r="H2" s="151"/>
    </row>
    <row r="3" spans="2:8" s="43" customFormat="1" x14ac:dyDescent="0.3">
      <c r="B3" s="40" t="s">
        <v>42</v>
      </c>
      <c r="C3" s="41"/>
      <c r="D3" s="125" t="str">
        <f xml:space="preserve"> IF(C3="","",setValueToTime(C3))</f>
        <v/>
      </c>
      <c r="E3" s="42"/>
      <c r="F3" s="240"/>
      <c r="G3" s="241"/>
      <c r="H3" s="152"/>
    </row>
    <row r="4" spans="2:8" s="43" customFormat="1" x14ac:dyDescent="0.3">
      <c r="B4" s="44"/>
      <c r="C4" s="45"/>
      <c r="D4" s="126" t="str">
        <f t="shared" ref="D4:D10" si="0" xml:space="preserve"> IF(C4="","",setValueToTime(C4))</f>
        <v/>
      </c>
      <c r="E4" s="46"/>
      <c r="F4" s="232"/>
      <c r="G4" s="233"/>
      <c r="H4" s="152"/>
    </row>
    <row r="5" spans="2:8" s="43" customFormat="1" x14ac:dyDescent="0.3">
      <c r="B5" s="44"/>
      <c r="C5" s="45"/>
      <c r="D5" s="126" t="str">
        <f t="shared" si="0"/>
        <v/>
      </c>
      <c r="E5" s="46"/>
      <c r="F5" s="232"/>
      <c r="G5" s="233"/>
      <c r="H5" s="152"/>
    </row>
    <row r="6" spans="2:8" s="43" customFormat="1" x14ac:dyDescent="0.3">
      <c r="B6" s="44"/>
      <c r="C6" s="45"/>
      <c r="D6" s="126" t="str">
        <f t="shared" si="0"/>
        <v/>
      </c>
      <c r="E6" s="46"/>
      <c r="F6" s="232"/>
      <c r="G6" s="233"/>
      <c r="H6" s="152"/>
    </row>
    <row r="7" spans="2:8" s="43" customFormat="1" x14ac:dyDescent="0.3">
      <c r="B7" s="44"/>
      <c r="C7" s="45"/>
      <c r="D7" s="127" t="str">
        <f t="shared" si="0"/>
        <v/>
      </c>
      <c r="E7" s="46"/>
      <c r="F7" s="232"/>
      <c r="G7" s="233"/>
      <c r="H7" s="152"/>
    </row>
    <row r="8" spans="2:8" s="43" customFormat="1" x14ac:dyDescent="0.3">
      <c r="B8" s="44"/>
      <c r="C8" s="45"/>
      <c r="D8" s="127" t="str">
        <f t="shared" si="0"/>
        <v/>
      </c>
      <c r="E8" s="46"/>
      <c r="F8" s="232"/>
      <c r="G8" s="233"/>
      <c r="H8" s="152"/>
    </row>
    <row r="9" spans="2:8" s="43" customFormat="1" x14ac:dyDescent="0.3">
      <c r="B9" s="44"/>
      <c r="C9" s="45"/>
      <c r="D9" s="127" t="str">
        <f t="shared" si="0"/>
        <v/>
      </c>
      <c r="E9" s="46"/>
      <c r="F9" s="232"/>
      <c r="G9" s="233"/>
      <c r="H9" s="152"/>
    </row>
    <row r="10" spans="2:8" s="43" customFormat="1" ht="15" thickBot="1" x14ac:dyDescent="0.35">
      <c r="B10" s="44"/>
      <c r="C10" s="47"/>
      <c r="D10" s="128" t="str">
        <f t="shared" si="0"/>
        <v/>
      </c>
      <c r="E10" s="48"/>
      <c r="F10" s="234"/>
      <c r="G10" s="235"/>
      <c r="H10" s="152"/>
    </row>
    <row r="11" spans="2:8" s="43" customFormat="1" ht="15" thickBot="1" x14ac:dyDescent="0.35">
      <c r="B11" s="86" t="s">
        <v>43</v>
      </c>
      <c r="C11" s="67">
        <f>SUM(C3:C10)</f>
        <v>0</v>
      </c>
      <c r="D11" s="86" t="str">
        <f xml:space="preserve"> setValueToTime(C11)</f>
        <v/>
      </c>
      <c r="E11" s="95"/>
      <c r="F11" s="236"/>
      <c r="G11" s="237"/>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45" t="s">
        <v>41</v>
      </c>
      <c r="G2" s="246"/>
      <c r="H2" s="151"/>
    </row>
    <row r="3" spans="2:8" s="43" customFormat="1" x14ac:dyDescent="0.3">
      <c r="B3" s="40"/>
      <c r="C3" s="41"/>
      <c r="D3" s="125" t="str">
        <f xml:space="preserve"> IF(C3="","",setValueToTime(C3))</f>
        <v/>
      </c>
      <c r="E3" s="42"/>
      <c r="F3" s="240"/>
      <c r="G3" s="241"/>
      <c r="H3" s="152"/>
    </row>
    <row r="4" spans="2:8" s="43" customFormat="1" x14ac:dyDescent="0.3">
      <c r="B4" s="44"/>
      <c r="C4" s="45"/>
      <c r="D4" s="126" t="str">
        <f t="shared" ref="D4:D10" si="0" xml:space="preserve"> IF(C4="","",setValueToTime(C4))</f>
        <v/>
      </c>
      <c r="E4" s="46"/>
      <c r="F4" s="232"/>
      <c r="G4" s="233"/>
      <c r="H4" s="152"/>
    </row>
    <row r="5" spans="2:8" s="43" customFormat="1" x14ac:dyDescent="0.3">
      <c r="B5" s="44"/>
      <c r="C5" s="45"/>
      <c r="D5" s="126" t="str">
        <f t="shared" si="0"/>
        <v/>
      </c>
      <c r="E5" s="46"/>
      <c r="F5" s="232"/>
      <c r="G5" s="233"/>
      <c r="H5" s="152"/>
    </row>
    <row r="6" spans="2:8" s="43" customFormat="1" x14ac:dyDescent="0.3">
      <c r="B6" s="44"/>
      <c r="C6" s="45"/>
      <c r="D6" s="126" t="str">
        <f t="shared" si="0"/>
        <v/>
      </c>
      <c r="E6" s="46"/>
      <c r="F6" s="232"/>
      <c r="G6" s="233"/>
      <c r="H6" s="152"/>
    </row>
    <row r="7" spans="2:8" s="43" customFormat="1" x14ac:dyDescent="0.3">
      <c r="B7" s="45"/>
      <c r="C7" s="45"/>
      <c r="D7" s="127" t="str">
        <f t="shared" si="0"/>
        <v/>
      </c>
      <c r="E7" s="46"/>
      <c r="F7" s="232"/>
      <c r="G7" s="233"/>
      <c r="H7" s="152"/>
    </row>
    <row r="8" spans="2:8" s="43" customFormat="1" x14ac:dyDescent="0.3">
      <c r="B8" s="45"/>
      <c r="C8" s="45"/>
      <c r="D8" s="127" t="str">
        <f t="shared" si="0"/>
        <v/>
      </c>
      <c r="E8" s="46"/>
      <c r="F8" s="232"/>
      <c r="G8" s="233"/>
      <c r="H8" s="152"/>
    </row>
    <row r="9" spans="2:8" s="43" customFormat="1" x14ac:dyDescent="0.3">
      <c r="B9" s="45"/>
      <c r="C9" s="45"/>
      <c r="D9" s="127" t="str">
        <f t="shared" si="0"/>
        <v/>
      </c>
      <c r="E9" s="46"/>
      <c r="F9" s="232"/>
      <c r="G9" s="233"/>
      <c r="H9" s="152"/>
    </row>
    <row r="10" spans="2:8" s="43" customFormat="1" ht="15" thickBot="1" x14ac:dyDescent="0.35">
      <c r="B10" s="47"/>
      <c r="C10" s="47"/>
      <c r="D10" s="128" t="str">
        <f t="shared" si="0"/>
        <v/>
      </c>
      <c r="E10" s="48"/>
      <c r="F10" s="234"/>
      <c r="G10" s="235"/>
      <c r="H10" s="152"/>
    </row>
    <row r="11" spans="2:8" s="43" customFormat="1" ht="15" thickBot="1" x14ac:dyDescent="0.35">
      <c r="B11" s="135" t="s">
        <v>43</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2026-02-05T12:29:37Z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