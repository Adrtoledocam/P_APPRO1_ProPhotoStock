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512786D2-AFB3-471C-B3FF-13E66B9C7546}" xr6:coauthVersionLast="47" xr6:coauthVersionMax="47" xr10:uidLastSave="{00000000-0000-0000-0000-000000000000}"/>
  <bookViews>
    <workbookView xWindow="-120" yWindow="-120" windowWidth="29040" windowHeight="1584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C36" i="12"/>
  <c r="D35" i="12"/>
  <c r="D34" i="12"/>
  <c r="D33" i="12"/>
  <c r="D32" i="12"/>
  <c r="C48" i="12"/>
  <c r="D47" i="12"/>
  <c r="D46" i="12"/>
  <c r="D45" i="12"/>
  <c r="D44" i="12"/>
  <c r="D43" i="12"/>
  <c r="C60" i="12"/>
  <c r="D59" i="12"/>
  <c r="D58" i="12"/>
  <c r="D57" i="12"/>
  <c r="D56" i="12"/>
  <c r="C72" i="12"/>
  <c r="D71" i="12"/>
  <c r="D70" i="12"/>
  <c r="D69" i="12"/>
  <c r="C84" i="12"/>
  <c r="D83" i="12"/>
  <c r="D82" i="12"/>
  <c r="D81" i="12"/>
  <c r="C96" i="12"/>
  <c r="D95" i="12"/>
  <c r="D94" i="12"/>
  <c r="D93" i="12"/>
  <c r="C108" i="12"/>
  <c r="D107" i="12"/>
  <c r="D106" i="12"/>
  <c r="D105" i="12"/>
  <c r="D104" i="12"/>
  <c r="D103" i="12"/>
  <c r="C120" i="12"/>
  <c r="D119" i="12"/>
  <c r="D118" i="12"/>
  <c r="D117" i="12"/>
  <c r="D116" i="12"/>
  <c r="C132" i="12"/>
  <c r="D131" i="12"/>
  <c r="D130" i="12"/>
  <c r="D129" i="12"/>
  <c r="C144" i="12"/>
  <c r="D143" i="12"/>
  <c r="D142" i="12"/>
  <c r="D141" i="12"/>
  <c r="D140" i="12"/>
  <c r="C156" i="12"/>
  <c r="D155" i="12"/>
  <c r="D154" i="12"/>
  <c r="D153" i="12"/>
  <c r="D152" i="12"/>
  <c r="C168" i="12"/>
  <c r="D167" i="12"/>
  <c r="D166" i="12"/>
  <c r="D165" i="12"/>
  <c r="C180" i="12"/>
  <c r="D179" i="12"/>
  <c r="D178" i="12"/>
  <c r="D177" i="12"/>
  <c r="D176" i="12"/>
  <c r="C192" i="12"/>
  <c r="D191" i="12"/>
  <c r="D190" i="12"/>
  <c r="D189" i="12"/>
  <c r="D188" i="12"/>
  <c r="C204" i="12"/>
  <c r="D203" i="12"/>
  <c r="D202" i="12"/>
  <c r="D201" i="12"/>
  <c r="D200" i="12"/>
  <c r="C216" i="12"/>
  <c r="D215" i="12"/>
  <c r="D214" i="12"/>
  <c r="D213" i="12"/>
  <c r="D212" i="12"/>
  <c r="C228" i="12"/>
  <c r="D227" i="12"/>
  <c r="D226" i="12"/>
  <c r="D225" i="12"/>
  <c r="D224" i="12"/>
  <c r="C240" i="12"/>
  <c r="D239" i="12"/>
  <c r="D238" i="12"/>
  <c r="C252" i="12"/>
  <c r="D251" i="12"/>
  <c r="D250" i="12"/>
  <c r="D249" i="12"/>
  <c r="D234" i="12"/>
  <c r="D67" i="10"/>
  <c r="D90" i="10"/>
  <c r="D102" i="10"/>
  <c r="D209" i="10"/>
  <c r="D211" i="10"/>
  <c r="D78" i="10"/>
  <c r="D141" i="10"/>
  <c r="D151" i="10"/>
  <c r="D140" i="10"/>
  <c r="D137" i="10"/>
  <c r="D149" i="10"/>
  <c r="D186" i="10"/>
  <c r="D222" i="10"/>
  <c r="D16" i="12"/>
  <c r="D17" i="12"/>
  <c r="D18" i="12"/>
  <c r="D19" i="12"/>
  <c r="D31" i="12"/>
  <c r="D30" i="12"/>
  <c r="D29" i="12"/>
  <c r="D28" i="12"/>
  <c r="D42" i="12"/>
  <c r="D41" i="12"/>
  <c r="D40" i="12"/>
  <c r="D55" i="12"/>
  <c r="D54" i="12"/>
  <c r="D12" i="12"/>
  <c r="D24" i="12"/>
  <c r="D36" i="12"/>
  <c r="D48" i="12"/>
  <c r="D64" i="12"/>
  <c r="D67" i="12"/>
  <c r="D184" i="12"/>
  <c r="D198" i="12"/>
  <c r="D168" i="12"/>
  <c r="D68" i="12"/>
  <c r="D144" i="12"/>
  <c r="D233" i="12"/>
  <c r="D192" i="12"/>
  <c r="D228" i="12"/>
  <c r="D114" i="12"/>
  <c r="D236" i="12"/>
  <c r="D149" i="12"/>
  <c r="D66" i="12"/>
  <c r="D163" i="12"/>
  <c r="D136" i="12"/>
  <c r="D210" i="12"/>
  <c r="D245" i="12"/>
  <c r="D77" i="12"/>
  <c r="D156" i="12"/>
  <c r="D246" i="12"/>
  <c r="D78" i="12"/>
  <c r="D161" i="12"/>
  <c r="D180" i="12"/>
  <c r="D196" i="12"/>
  <c r="D160" i="12"/>
  <c r="D240" i="12"/>
  <c r="D80" i="12"/>
  <c r="D137" i="12"/>
  <c r="D187" i="12"/>
  <c r="D132" i="12"/>
  <c r="D232" i="12"/>
  <c r="D53" i="12"/>
  <c r="D101" i="12"/>
  <c r="D162" i="12"/>
  <c r="D248" i="12"/>
  <c r="D223" i="12"/>
  <c r="D72" i="12"/>
  <c r="D139" i="12"/>
  <c r="D52" i="12"/>
  <c r="D150" i="12"/>
  <c r="D235" i="12"/>
  <c r="D79" i="12"/>
  <c r="D60" i="12"/>
  <c r="D76" i="12"/>
  <c r="D102" i="12"/>
  <c r="D92" i="12"/>
  <c r="D151" i="12"/>
  <c r="D148" i="12"/>
  <c r="D126" i="12"/>
  <c r="D172" i="12"/>
  <c r="D237" i="12"/>
  <c r="D174" i="12"/>
  <c r="D247" i="12"/>
  <c r="D252" i="12"/>
  <c r="D186" i="12"/>
  <c r="D211" i="12"/>
  <c r="D91" i="12"/>
  <c r="D84" i="12"/>
  <c r="D120" i="12"/>
  <c r="D124" i="12"/>
  <c r="D185" i="12"/>
  <c r="D112" i="12"/>
  <c r="D113" i="12"/>
  <c r="D65" i="12"/>
  <c r="D220" i="12"/>
  <c r="D199" i="12"/>
  <c r="D216" i="12"/>
  <c r="D90" i="12"/>
  <c r="D96" i="12"/>
  <c r="D108" i="12"/>
  <c r="D197" i="12"/>
  <c r="D208" i="12"/>
  <c r="D115" i="12"/>
  <c r="D89" i="12"/>
  <c r="D204" i="12"/>
  <c r="D164" i="12"/>
  <c r="D175" i="12"/>
  <c r="D128" i="12"/>
  <c r="D100" i="12"/>
  <c r="D88" i="12"/>
  <c r="D138" i="12"/>
  <c r="D125" i="12"/>
  <c r="D222" i="12"/>
  <c r="D127" i="12"/>
  <c r="D173" i="12"/>
  <c r="D209" i="12"/>
  <c r="D221"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247" i="10"/>
  <c r="D246" i="10"/>
  <c r="D252" i="10"/>
  <c r="D24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<sst xmlns="http://schemas.openxmlformats.org/spreadsheetml/2006/main" count="1270" uniqueCount="246">
  <si>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</si>
  <si>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</si>
  <si>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</si>
  <si>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</si>
  <si>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</si>
  <si>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</si>
  <si>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</si>
  <si>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</si>
  <si>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</si>
  <si>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</si>
  <si>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</si>
  <si>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</si>
  <si>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</si>
  <si>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</si>
  <si>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</si>
  <si>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</si>
  <si>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</si>
  <si>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</si>
  <si>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</si>
  <si>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</si>
  <si>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</si>
  <si>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</si>
  <si>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</si>
  <si>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</si>
  <si>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</si>
  <si>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</si>
  <si>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</si>
  <si>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</si>
  <si>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</si>
  <si>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</si>
  <si>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</si>
  <si>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</si>
  <si>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</si>
  <si>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</si>
  <si>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</si>
  <si>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</si>
  <si>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</si>
  <si>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</si>
  <si>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</si>
  <si>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</si>
  <si>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</si>
  <si>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</si>
  <si>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</si>
  <si>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</si>
  <si>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</si>
  <si>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</si>
  <si>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</si>
  <si>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</si>
  <si>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</si>
  <si>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</si>
  <si>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</si>
  <si>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</si>
  <si>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</si>
  <si>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</si>
  <si>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</si>
  <si>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</si>
  <si>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</si>
  <si>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</si>
  <si>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</si>
  <si>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</si>
  <si>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</si>
  <si>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</si>
  <si>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</si>
  <si>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</si>
  <si>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</si>
  <si>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</si>
  <si>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</si>
  <si>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</si>
  <si>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</si>
  <si>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</si>
  <si>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</si>
  <si>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</si>
  <si>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</si>
  <si>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</si>
  <si>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</si>
  <si>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</si>
  <si>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</si>
  <si>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</si>
  <si>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</si>
  <si>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</si>
  <si>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</si>
  <si>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</si>
  <si>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</si>
  <si>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</si>
  <si>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</si>
  <si>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</si>
  <si>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</si>
  <si>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</si>
  <si>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</si>
  <si>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</si>
  <si>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</si>
  <si>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</si>
  <si>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</si>
  <si>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</si>
  <si>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</si>
  <si>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</si>
  <si>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</si>
  <si>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</si>
  <si>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</si>
  <si>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</si>
  <si>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</si>
  <si>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</si>
  <si>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</si>
  <si>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</si>
  <si>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</si>
  <si>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</si>
  <si>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</si>
  <si>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</si>
  <si>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</si>
  <si>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</si>
  <si>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</si>
  <si>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</si>
  <si>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</si>
  <si>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</si>
  <si>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</si>
  <si>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</si>
  <si>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</si>
  <si>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</si>
  <si>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</si>
  <si>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</si>
  <si>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</si>
  <si>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</si>
  <si>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</si>
  <si>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</si>
  <si>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</si>
  <si>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</si>
  <si>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</si>
  <si>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</si>
  <si>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</si>
  <si>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</si>
  <si>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</si>
  <si>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</si>
  <si>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</si>
  <si>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</si>
  <si>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</si>
  <si>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</si>
  <si>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</si>
  <si>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</si>
  <si>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</si>
  <si>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</si>
  <si>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</si>
  <si>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</si>
  <si>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</si>
  <si>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</si>
  <si>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</si>
  <si>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</si>
  <si>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</si>
  <si>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</si>
  <si>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</si>
  <si>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</si>
  <si>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</si>
  <si>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</si>
  <si>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</si>
  <si>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</si>
  <si>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</si>
  <si>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</si>
  <si>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</si>
  <si>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</si>
  <si>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</si>
  <si>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</si>
  <si>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</si>
  <si>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</si>
  <si>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</si>
  <si>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</si>
  <si>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</si>
  <si>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</si>
  <si>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</si>
  <si>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</si>
  <si>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</si>
  <si>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</si>
  <si>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</si>
  <si>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</si>
  <si>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</si>
  <si>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</si>
  <si>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</si>
  <si>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</si>
  <si>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</si>
  <si>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</si>
  <si>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</si>
  <si>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</si>
  <si>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</si>
  <si>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</si>
  <si>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</si>
  <si>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</si>
  <si>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</si>
  <si>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</si>
  <si>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</si>
  <si>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</si>
  <si>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</si>
  <si>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</si>
  <si>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</si>
  <si>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</si>
  <si>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</si>
  <si>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</si>
  <si>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</si>
  <si>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</si>
  <si>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</si>
  <si>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</si>
  <si>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</si>
  <si>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</si>
  <si>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</si>
  <si>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</si>
  <si>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</si>
  <si>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</si>
  <si>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</si>
  <si>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</si>
  <si>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</si>
  <si>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</si>
  <si>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</si>
  <si>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</si>
  <si>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</si>
  <si>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</si>
  <si>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</si>
  <si>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</si>
  <si>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</si>
  <si>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</si>
  <si>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</si>
  <si>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</si>
  <si>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</si>
  <si>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</si>
  <si>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</si>
  <si>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</si>
  <si>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</si>
  <si>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</si>
  <si>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</si>
  <si>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</si>
  <si>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</si>
  <si>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</si>
  <si>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</si>
  <si>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</si>
  <si>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</si>
  <si>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</si>
  <si>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</si>
  <si>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</si>
  <si>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</si>
  <si>
    <t>La création et la connexion de compte avec l'API fonctionnent.</t>
  </si>
  <si>
    <t>Ajustements avec le docker et sa structure pour avoir accès à ses ports</t>
  </si>
  <si>
    <t>Code : structure des routes et contrôleurs pour photos</t>
  </si>
  <si>
    <t>Correction de la structure des fichiers</t>
  </si>
  <si>
    <t>Code : structure des routes et contrôleurs pour contrats</t>
  </si>
  <si>
    <t>Modification du db pour l'adapter au backend</t>
  </si>
  <si>
    <t>systèmes de cryptage de mdp et création de droits d'accès pour les utilisateurs</t>
  </si>
  <si>
    <t>Validation d'une liste de requets utilisées pour l'utilisation de l'application</t>
  </si>
  <si>
    <t>Code pour l'intégration du backend avec le frontend : service/ApiService.cs</t>
  </si>
  <si>
    <t>Modification de Docker et de ses ports pour l'adapter au frontend</t>
  </si>
  <si>
    <t>Modification des requêtes et de leurs noms pour les adapter au frontend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</si>
</sst>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70" zoomScale="55" zoomScaleNormal="55" zoomScaleSheetLayoutView="43" workbookViewId="0">
      <selection activeCell="F93" sqref="F93:BSS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40" t="s">
        <v>3</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4" t="str">
        <f>E96</f>
        <v>90h 40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12h 30 min</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220"/>
      <c r="BJO10" s="220"/>
      <c r="BJP10" s="220"/>
      <c r="BJQ10" s="220"/>
      <c r="BJR10" s="220"/>
      <c r="BJS10" s="220"/>
      <c r="BJT10" s="220"/>
      <c r="BJU10" s="220"/>
      <c r="BJV10" s="220"/>
      <c r="BJW10" s="220"/>
      <c r="BJX10" s="220"/>
      <c r="BJY10" s="220"/>
      <c r="BJZ10" s="220"/>
      <c r="BKA10" s="220"/>
      <c r="BKB10" s="220"/>
      <c r="BKC10" s="220"/>
      <c r="BKD10" s="220"/>
      <c r="BKE10" s="220"/>
      <c r="BKF10" s="220"/>
      <c r="BKG10" s="220"/>
      <c r="BKH10" s="220"/>
      <c r="BKI10" s="220"/>
      <c r="BKJ10" s="220"/>
      <c r="BKK10" s="220"/>
      <c r="BKL10" s="220"/>
      <c r="BKM10" s="220"/>
      <c r="BKN10" s="220"/>
      <c r="BKO10" s="220"/>
      <c r="BKP10" s="220"/>
      <c r="BKQ10" s="220"/>
      <c r="BKR10" s="220"/>
      <c r="BKS10" s="220"/>
      <c r="BKT10" s="220"/>
      <c r="BKU10" s="220"/>
      <c r="BKV10" s="220"/>
      <c r="BKW10" s="220"/>
      <c r="BKX10" s="220"/>
      <c r="BKY10" s="220"/>
      <c r="BKZ10" s="220"/>
      <c r="BLA10" s="220"/>
      <c r="BLB10" s="220"/>
      <c r="BLC10" s="220"/>
      <c r="BLD10" s="220"/>
      <c r="BLE10" s="220"/>
      <c r="BLF10" s="220"/>
      <c r="BLG10" s="220"/>
      <c r="BLH10" s="220"/>
      <c r="BLI10" s="220"/>
      <c r="BLJ10" s="220"/>
      <c r="BLK10" s="220"/>
      <c r="BLL10" s="220"/>
      <c r="BLM10" s="220"/>
      <c r="BLN10" s="220"/>
      <c r="BLO10" s="220"/>
      <c r="BLP10" s="220"/>
      <c r="BLQ10" s="220"/>
      <c r="BLR10" s="220"/>
      <c r="BLS10" s="220"/>
      <c r="BLT10" s="220"/>
      <c r="BLU10" s="220"/>
      <c r="BLV10" s="220"/>
      <c r="BLW10" s="220"/>
      <c r="BLX10" s="220"/>
      <c r="BLY10" s="220"/>
      <c r="BLZ10" s="220"/>
      <c r="BMA10" s="220"/>
      <c r="BMB10" s="220"/>
      <c r="BMC10" s="220"/>
      <c r="BMD10" s="220"/>
      <c r="BME10" s="220"/>
      <c r="BMF10" s="220"/>
      <c r="BMG10" s="220"/>
      <c r="BMH10" s="220"/>
      <c r="BMI10" s="220"/>
      <c r="BMJ10" s="220"/>
      <c r="BMK10" s="220"/>
      <c r="BML10" s="220"/>
      <c r="BMM10" s="220"/>
      <c r="BMN10" s="220"/>
      <c r="BMO10" s="220"/>
      <c r="BMP10" s="220"/>
      <c r="BMQ10" s="220"/>
      <c r="BMR10" s="220"/>
      <c r="BMS10" s="220"/>
      <c r="BMT10" s="220"/>
      <c r="BMU10" s="220"/>
      <c r="BMV10" s="220"/>
      <c r="BMW10" s="220"/>
      <c r="BMX10" s="220"/>
      <c r="BMY10" s="220"/>
      <c r="BMZ10" s="220"/>
      <c r="BNA10" s="220"/>
      <c r="BNB10" s="220"/>
      <c r="BNC10" s="220"/>
      <c r="BND10" s="220"/>
      <c r="BNE10" s="220"/>
      <c r="BNF10" s="220"/>
      <c r="BNG10" s="220"/>
      <c r="BNH10" s="220"/>
      <c r="BNI10" s="220"/>
      <c r="BNJ10" s="220"/>
      <c r="BNK10" s="220"/>
      <c r="BNL10" s="220"/>
      <c r="BNM10" s="220"/>
      <c r="BNN10" s="220"/>
      <c r="BNO10" s="220"/>
      <c r="BNP10" s="220"/>
      <c r="BNQ10" s="220"/>
      <c r="BNR10" s="220"/>
      <c r="BNS10" s="220"/>
      <c r="BNT10" s="220"/>
      <c r="BNU10" s="220"/>
      <c r="BNV10" s="220"/>
      <c r="BNW10" s="220"/>
      <c r="BNX10" s="220"/>
      <c r="BNY10" s="220"/>
      <c r="BNZ10" s="220"/>
      <c r="BOA10" s="220"/>
      <c r="BOB10" s="220"/>
      <c r="BOC10" s="220"/>
      <c r="BOD10" s="220"/>
      <c r="BOE10" s="220"/>
      <c r="BOF10" s="220"/>
      <c r="BOG10" s="220"/>
      <c r="BOH10" s="220"/>
      <c r="BOI10" s="220"/>
      <c r="BOJ10" s="220"/>
      <c r="BOK10" s="220"/>
      <c r="BOL10" s="220"/>
      <c r="BOM10" s="220"/>
      <c r="BON10" s="220"/>
      <c r="BOO10" s="220"/>
      <c r="BOP10" s="220"/>
      <c r="BOQ10" s="220"/>
      <c r="BOR10" s="220"/>
      <c r="BOS10" s="220"/>
      <c r="BOT10" s="220"/>
      <c r="BOU10" s="220"/>
      <c r="BOV10" s="220"/>
      <c r="BOW10" s="220"/>
      <c r="BOX10" s="220"/>
      <c r="BOY10" s="220"/>
      <c r="BOZ10" s="220"/>
      <c r="BPA10" s="220"/>
      <c r="BPB10" s="220"/>
      <c r="BPC10" s="220"/>
      <c r="BPD10" s="220"/>
      <c r="BPE10" s="220"/>
      <c r="BPF10" s="220"/>
      <c r="BPG10" s="220"/>
      <c r="BPH10" s="220"/>
      <c r="BPI10" s="220"/>
      <c r="BPJ10" s="220"/>
      <c r="BPK10" s="220"/>
      <c r="BPL10" s="220"/>
      <c r="BPM10" s="220"/>
      <c r="BPN10" s="220"/>
      <c r="BPO10" s="220"/>
      <c r="BPP10" s="220"/>
      <c r="BPQ10" s="220"/>
      <c r="BPR10" s="220"/>
      <c r="BPS10" s="220"/>
      <c r="BPT10" s="220"/>
      <c r="BPU10" s="220"/>
      <c r="BPV10" s="220"/>
      <c r="BPW10" s="220"/>
      <c r="BPX10" s="220"/>
      <c r="BPY10" s="220"/>
      <c r="BPZ10" s="220"/>
      <c r="BQA10" s="220"/>
      <c r="BQB10" s="220"/>
      <c r="BQC10" s="220"/>
      <c r="BQD10" s="220"/>
      <c r="BQE10" s="220"/>
      <c r="BQF10" s="220"/>
      <c r="BQG10" s="220"/>
      <c r="BQH10" s="220"/>
      <c r="BQI10" s="220"/>
      <c r="BQJ10" s="220"/>
      <c r="BQK10" s="220"/>
      <c r="BQL10" s="220"/>
      <c r="BQM10" s="220"/>
      <c r="BQN10" s="220"/>
      <c r="BQO10" s="220"/>
      <c r="BQP10" s="220"/>
      <c r="BQQ10" s="220"/>
      <c r="BQR10" s="220"/>
      <c r="BQS10" s="220"/>
      <c r="BQT10" s="220"/>
      <c r="BQU10" s="220"/>
      <c r="BQV10" s="220"/>
      <c r="BQW10" s="220"/>
      <c r="BQX10" s="220"/>
      <c r="BQY10" s="220"/>
      <c r="BQZ10" s="220"/>
      <c r="BRA10" s="220"/>
      <c r="BRB10" s="220"/>
      <c r="BRC10" s="220"/>
      <c r="BRD10" s="220"/>
      <c r="BRE10" s="220"/>
      <c r="BRF10" s="220"/>
      <c r="BRG10" s="220"/>
      <c r="BRH10" s="220"/>
      <c r="BRI10" s="220"/>
      <c r="BRJ10" s="220"/>
      <c r="BRK10" s="220"/>
      <c r="BRL10" s="220"/>
      <c r="BRM10" s="220"/>
      <c r="BRN10" s="220"/>
      <c r="BRO10" s="220"/>
      <c r="BRP10" s="220"/>
      <c r="BRQ10" s="220"/>
      <c r="BRR10" s="220"/>
      <c r="BRS10" s="220"/>
      <c r="BRT10" s="220"/>
      <c r="BRU10" s="220"/>
      <c r="BRV10" s="220"/>
      <c r="BRW10" s="220"/>
      <c r="BRX10" s="220"/>
      <c r="BRY10" s="220"/>
      <c r="BRZ10" s="220"/>
      <c r="BSA10" s="220"/>
      <c r="BSB10" s="220"/>
      <c r="BSC10" s="220"/>
      <c r="BSD10" s="220"/>
      <c r="BSE10" s="220"/>
      <c r="BSF10" s="220"/>
      <c r="BSG10" s="220"/>
      <c r="BSH10" s="220"/>
      <c r="BSI10" s="220"/>
      <c r="BSJ10" s="220"/>
      <c r="BSK10" s="220"/>
      <c r="BSL10" s="220"/>
      <c r="BSM10" s="220"/>
      <c r="BSN10" s="220"/>
      <c r="BSO10" s="220"/>
      <c r="BSP10" s="220"/>
      <c r="BSQ10" s="220"/>
      <c r="BSR10" s="220"/>
      <c r="BSS10" s="220"/>
      <c r="BST10" s="73"/>
    </row>
    <row r="11" spans="1:1866" s="71" customFormat="1" ht="20.100000000000001" customHeight="1" x14ac:dyDescent="0.25">
      <c r="A11" s="146"/>
      <c r="B11" s="142"/>
      <c r="C11" s="231"/>
      <c r="D11" s="231"/>
      <c r="E11" s="231"/>
      <c r="F11" s="221" t="s">
        <v>72</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72</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71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71</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68</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65</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151</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151</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148</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148</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145</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145</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142</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142</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139</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139</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136</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136</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133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133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64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64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58</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58</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221"/>
      <c r="BLW11" s="221"/>
      <c r="BLX11" s="221"/>
      <c r="BLY11" s="221"/>
      <c r="BLZ11" s="221"/>
      <c r="BMA11" s="221"/>
      <c r="BMB11" s="221"/>
      <c r="BMC11" s="221"/>
      <c r="BMD11" s="221"/>
      <c r="BME11" s="221"/>
      <c r="BMF11" s="221"/>
      <c r="BMG11" s="221"/>
      <c r="BMH11" s="221"/>
      <c r="BMI11" s="221"/>
      <c r="BMJ11" s="221"/>
      <c r="BMK11" s="221"/>
      <c r="BML11" s="221"/>
      <c r="BMM11" s="221"/>
      <c r="BMN11" s="221"/>
      <c r="BMO11" s="221"/>
      <c r="BMP11" s="221"/>
      <c r="BMQ11" s="221"/>
      <c r="BMR11" s="221"/>
      <c r="BMS11" s="221"/>
      <c r="BMT11" s="221"/>
      <c r="BMU11" s="221"/>
      <c r="BMV11" s="221"/>
      <c r="BMW11" s="221"/>
      <c r="BMX11" s="221"/>
      <c r="BMY11" s="221"/>
      <c r="BMZ11" s="221"/>
      <c r="BNA11" s="221"/>
      <c r="BNB11" s="221"/>
      <c r="BNC11" s="221"/>
      <c r="BND11" s="221"/>
      <c r="BNE11" s="221"/>
      <c r="BNF11" s="221"/>
      <c r="BNG11" s="221"/>
      <c r="BNH11" s="221"/>
      <c r="BNI11" s="221"/>
      <c r="BNJ11" s="221"/>
      <c r="BNK11" s="221"/>
      <c r="BNL11" s="221"/>
      <c r="BNM11" s="221"/>
      <c r="BNN11" s="221"/>
      <c r="BNO11" s="221"/>
      <c r="BNP11" s="221"/>
      <c r="BNQ11" s="221"/>
      <c r="BNR11" s="221"/>
      <c r="BNS11" s="221"/>
      <c r="BNT11" s="221"/>
      <c r="BNU11" s="221"/>
      <c r="BNV11" s="221"/>
      <c r="BNW11" s="221"/>
      <c r="BNX11" s="221"/>
      <c r="BNY11" s="221"/>
      <c r="BNZ11" s="221"/>
      <c r="BOA11" s="221"/>
      <c r="BOB11" s="221"/>
      <c r="BOC11" s="221"/>
      <c r="BOD11" s="221"/>
      <c r="BOE11" s="221"/>
      <c r="BOF11" s="221"/>
      <c r="BOG11" s="221"/>
      <c r="BOH11" s="221"/>
      <c r="BOI11" s="221"/>
      <c r="BOJ11" s="221"/>
      <c r="BOK11" s="221"/>
      <c r="BOL11" s="221"/>
      <c r="BOM11" s="221"/>
      <c r="BON11" s="221"/>
      <c r="BOO11" s="221"/>
      <c r="BOP11" s="221"/>
      <c r="BOQ11" s="221"/>
      <c r="BOR11" s="221"/>
      <c r="BOS11" s="221"/>
      <c r="BOT11" s="221"/>
      <c r="BOU11" s="221"/>
      <c r="BOV11" s="221"/>
      <c r="BOW11" s="221"/>
      <c r="BOX11" s="221"/>
      <c r="BOY11" s="221"/>
      <c r="BOZ11" s="221"/>
      <c r="BPA11" s="221"/>
      <c r="BPB11" s="221"/>
      <c r="BPC11" s="221"/>
      <c r="BPD11" s="221"/>
      <c r="BPE11" s="221"/>
      <c r="BPF11" s="221"/>
      <c r="BPG11" s="221"/>
      <c r="BPH11" s="221"/>
      <c r="BPI11" s="221"/>
      <c r="BPJ11" s="221"/>
      <c r="BPK11" s="221"/>
      <c r="BPL11" s="221"/>
      <c r="BPM11" s="221"/>
      <c r="BPN11" s="221"/>
      <c r="BPO11" s="221"/>
      <c r="BPP11" s="221"/>
      <c r="BPQ11" s="221"/>
      <c r="BPR11" s="221"/>
      <c r="BPS11" s="221"/>
      <c r="BPT11" s="221"/>
      <c r="BPU11" s="221"/>
      <c r="BPV11" s="221"/>
      <c r="BPW11" s="221"/>
      <c r="BPX11" s="221"/>
      <c r="BPY11" s="221"/>
      <c r="BPZ11" s="221"/>
      <c r="BQA11" s="221"/>
      <c r="BQB11" s="221"/>
      <c r="BQC11" s="221"/>
      <c r="BQD11" s="221"/>
      <c r="BQE11" s="221"/>
      <c r="BQF11" s="221"/>
      <c r="BQG11" s="221"/>
      <c r="BQH11" s="221"/>
      <c r="BQI11" s="221"/>
      <c r="BQJ11" s="221"/>
      <c r="BQK11" s="221"/>
      <c r="BQL11" s="221"/>
      <c r="BQM11" s="221"/>
      <c r="BQN11" s="221"/>
      <c r="BQO11" s="221"/>
      <c r="BQP11" s="221"/>
      <c r="BQQ11" s="221"/>
      <c r="BQR11" s="221"/>
      <c r="BQS11" s="221"/>
      <c r="BQT11" s="221"/>
      <c r="BQU11" s="221"/>
      <c r="BQV11" s="221"/>
      <c r="BQW11" s="221"/>
      <c r="BQX11" s="221"/>
      <c r="BQY11" s="221"/>
      <c r="BQZ11" s="221"/>
      <c r="BRA11" s="221"/>
      <c r="BRB11" s="221"/>
      <c r="BRC11" s="221"/>
      <c r="BRD11" s="221"/>
      <c r="BRE11" s="221"/>
      <c r="BRF11" s="221"/>
      <c r="BRG11" s="221"/>
      <c r="BRH11" s="221"/>
      <c r="BRI11" s="221"/>
      <c r="BRJ11" s="221"/>
      <c r="BRK11" s="221"/>
      <c r="BRL11" s="221"/>
      <c r="BRM11" s="221"/>
      <c r="BRN11" s="221"/>
      <c r="BRO11" s="221"/>
      <c r="BRP11" s="221"/>
      <c r="BRQ11" s="221"/>
      <c r="BRR11" s="221"/>
      <c r="BRS11" s="221"/>
      <c r="BRT11" s="221"/>
      <c r="BRU11" s="221"/>
      <c r="BRV11" s="221"/>
      <c r="BRW11" s="221"/>
      <c r="BRX11" s="221"/>
      <c r="BRY11" s="221"/>
      <c r="BRZ11" s="221"/>
      <c r="BSA11" s="221"/>
      <c r="BSB11" s="221"/>
      <c r="BSC11" s="221"/>
      <c r="BSD11" s="221"/>
      <c r="BSE11" s="221"/>
      <c r="BSF11" s="221"/>
      <c r="BSG11" s="221"/>
      <c r="BSH11" s="221"/>
      <c r="BSI11" s="221"/>
      <c r="BSJ11" s="221"/>
      <c r="BSK11" s="221"/>
      <c r="BSL11" s="221"/>
      <c r="BSM11" s="221"/>
      <c r="BSN11" s="221"/>
      <c r="BSO11" s="221"/>
      <c r="BSP11" s="221"/>
      <c r="BSQ11" s="221"/>
      <c r="BSR11" s="221"/>
      <c r="BSS11" s="221"/>
      <c r="BST11" s="73"/>
    </row>
    <row r="12" spans="1:1866" ht="49.5" customHeight="1" thickBot="1" x14ac:dyDescent="0.3">
      <c r="B12" s="143"/>
      <c r="C12" s="232"/>
      <c r="D12" s="232"/>
      <c r="E12" s="232"/>
      <c r="F12" s="242" t="s">
        <v>56</v>
      </c>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t="s">
        <v>55</v>
      </c>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28" t="s">
        <v>56</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2" t="s">
        <v>55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56</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55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56</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55</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56</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55</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56</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55</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56</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55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56</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55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56</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55</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56</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55</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56</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55</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56</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55</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56</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55</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56</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55</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222"/>
      <c r="BLW12" s="222"/>
      <c r="BLX12" s="222"/>
      <c r="BLY12" s="222"/>
      <c r="BLZ12" s="222"/>
      <c r="BMA12" s="222"/>
      <c r="BMB12" s="222"/>
      <c r="BMC12" s="222"/>
      <c r="BMD12" s="222"/>
      <c r="BME12" s="222"/>
      <c r="BMF12" s="222"/>
      <c r="BMG12" s="222"/>
      <c r="BMH12" s="222"/>
      <c r="BMI12" s="222"/>
      <c r="BMJ12" s="222"/>
      <c r="BMK12" s="222"/>
      <c r="BML12" s="222"/>
      <c r="BMM12" s="222"/>
      <c r="BMN12" s="222"/>
      <c r="BMO12" s="222"/>
      <c r="BMP12" s="222"/>
      <c r="BMQ12" s="222"/>
      <c r="BMR12" s="222"/>
      <c r="BMS12" s="222"/>
      <c r="BMT12" s="222"/>
      <c r="BMU12" s="222"/>
      <c r="BMV12" s="222"/>
      <c r="BMW12" s="222"/>
      <c r="BMX12" s="222"/>
      <c r="BMY12" s="222"/>
      <c r="BMZ12" s="222"/>
      <c r="BNA12" s="222"/>
      <c r="BNB12" s="222"/>
      <c r="BNC12" s="222"/>
      <c r="BND12" s="222"/>
      <c r="BNE12" s="222"/>
      <c r="BNF12" s="222"/>
      <c r="BNG12" s="222"/>
      <c r="BNH12" s="222"/>
      <c r="BNI12" s="222"/>
      <c r="BNJ12" s="222"/>
      <c r="BNK12" s="222"/>
      <c r="BNL12" s="222"/>
      <c r="BNM12" s="222"/>
      <c r="BNN12" s="222"/>
      <c r="BNO12" s="222"/>
      <c r="BNP12" s="222"/>
      <c r="BNQ12" s="222"/>
      <c r="BNR12" s="222"/>
      <c r="BNS12" s="222"/>
      <c r="BNT12" s="222"/>
      <c r="BNU12" s="222"/>
      <c r="BNV12" s="222"/>
      <c r="BNW12" s="222"/>
      <c r="BNX12" s="222"/>
      <c r="BNY12" s="222"/>
      <c r="BNZ12" s="222"/>
      <c r="BOA12" s="222"/>
      <c r="BOB12" s="222"/>
      <c r="BOC12" s="222"/>
      <c r="BOD12" s="222"/>
      <c r="BOE12" s="222"/>
      <c r="BOF12" s="222"/>
      <c r="BOG12" s="222"/>
      <c r="BOH12" s="222"/>
      <c r="BOI12" s="222"/>
      <c r="BOJ12" s="222"/>
      <c r="BOK12" s="222"/>
      <c r="BOL12" s="222"/>
      <c r="BOM12" s="222"/>
      <c r="BON12" s="222"/>
      <c r="BOO12" s="222"/>
      <c r="BOP12" s="222"/>
      <c r="BOQ12" s="222"/>
      <c r="BOR12" s="222"/>
      <c r="BOS12" s="222"/>
      <c r="BOT12" s="222"/>
      <c r="BOU12" s="222"/>
      <c r="BOV12" s="222"/>
      <c r="BOW12" s="222"/>
      <c r="BOX12" s="222"/>
      <c r="BOY12" s="222"/>
      <c r="BOZ12" s="222"/>
      <c r="BPA12" s="222"/>
      <c r="BPB12" s="222"/>
      <c r="BPC12" s="222"/>
      <c r="BPD12" s="222"/>
      <c r="BPE12" s="222"/>
      <c r="BPF12" s="222"/>
      <c r="BPG12" s="222"/>
      <c r="BPH12" s="222"/>
      <c r="BPI12" s="222"/>
      <c r="BPJ12" s="222"/>
      <c r="BPK12" s="222"/>
      <c r="BPL12" s="222"/>
      <c r="BPM12" s="222"/>
      <c r="BPN12" s="222"/>
      <c r="BPO12" s="222"/>
      <c r="BPP12" s="222"/>
      <c r="BPQ12" s="222"/>
      <c r="BPR12" s="222"/>
      <c r="BPS12" s="222"/>
      <c r="BPT12" s="222"/>
      <c r="BPU12" s="222"/>
      <c r="BPV12" s="222"/>
      <c r="BPW12" s="222"/>
      <c r="BPX12" s="222"/>
      <c r="BPY12" s="222"/>
      <c r="BPZ12" s="222"/>
      <c r="BQA12" s="222"/>
      <c r="BQB12" s="222"/>
      <c r="BQC12" s="222"/>
      <c r="BQD12" s="222"/>
      <c r="BQE12" s="222"/>
      <c r="BQF12" s="222"/>
      <c r="BQG12" s="222"/>
      <c r="BQH12" s="222"/>
      <c r="BQI12" s="222"/>
      <c r="BQJ12" s="222"/>
      <c r="BQK12" s="222"/>
      <c r="BQL12" s="222"/>
      <c r="BQM12" s="222"/>
      <c r="BQN12" s="222"/>
      <c r="BQO12" s="222"/>
      <c r="BQP12" s="222"/>
      <c r="BQQ12" s="222"/>
      <c r="BQR12" s="222"/>
      <c r="BQS12" s="222"/>
      <c r="BQT12" s="222"/>
      <c r="BQU12" s="222"/>
      <c r="BQV12" s="222"/>
      <c r="BQW12" s="222"/>
      <c r="BQX12" s="222"/>
      <c r="BQY12" s="222"/>
      <c r="BQZ12" s="222"/>
      <c r="BRA12" s="222"/>
      <c r="BRB12" s="222"/>
      <c r="BRC12" s="222"/>
      <c r="BRD12" s="222"/>
      <c r="BRE12" s="222"/>
      <c r="BRF12" s="222"/>
      <c r="BRG12" s="222"/>
      <c r="BRH12" s="222"/>
      <c r="BRI12" s="222"/>
      <c r="BRJ12" s="222"/>
      <c r="BRK12" s="222"/>
      <c r="BRL12" s="222"/>
      <c r="BRM12" s="222"/>
      <c r="BRN12" s="222"/>
      <c r="BRO12" s="222"/>
      <c r="BRP12" s="222"/>
      <c r="BRQ12" s="222"/>
      <c r="BRR12" s="222"/>
      <c r="BRS12" s="222"/>
      <c r="BRT12" s="222"/>
      <c r="BRU12" s="222"/>
      <c r="BRV12" s="222"/>
      <c r="BRW12" s="222"/>
      <c r="BRX12" s="222"/>
      <c r="BRY12" s="222"/>
      <c r="BRZ12" s="222"/>
      <c r="BSA12" s="222"/>
      <c r="BSB12" s="222"/>
      <c r="BSC12" s="222"/>
      <c r="BSD12" s="222"/>
      <c r="BSE12" s="222"/>
      <c r="BSF12" s="222"/>
      <c r="BSG12" s="222"/>
      <c r="BSH12" s="222"/>
      <c r="BSI12" s="222"/>
      <c r="BSJ12" s="222"/>
      <c r="BSK12" s="222"/>
      <c r="BSL12" s="222"/>
      <c r="BSM12" s="222"/>
      <c r="BSN12" s="222"/>
      <c r="BSO12" s="222"/>
      <c r="BSP12" s="222"/>
      <c r="BSQ12" s="222"/>
      <c r="BSR12" s="222"/>
      <c r="BSS12" s="222"/>
      <c r="BST12" s="73"/>
    </row>
    <row r="13" spans="1:1866" ht="42.75" customHeight="1" thickBot="1" x14ac:dyDescent="0.3">
      <c r="B13" s="51"/>
      <c r="C13" s="238" t="s">
        <v>12</v>
      </c>
      <c r="D13" s="117"/>
      <c r="E13" s="236"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70</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69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67</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66</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153</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152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150</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149</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147</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146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144</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143</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141</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140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138</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137</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135</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134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132</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131</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63</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62</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60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59</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57</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c r="BLV13" s="223" t="s">
        <v>36</v>
      </c>
      <c r="BLW13" s="224"/>
      <c r="BLX13" s="224"/>
      <c r="BLY13" s="224"/>
      <c r="BLZ13" s="224"/>
      <c r="BMA13" s="224"/>
      <c r="BMB13" s="224"/>
      <c r="BMC13" s="224"/>
      <c r="BMD13" s="224"/>
      <c r="BME13" s="224"/>
      <c r="BMF13" s="224"/>
      <c r="BMG13" s="224"/>
      <c r="BMH13" s="224"/>
      <c r="BMI13" s="224"/>
      <c r="BMJ13" s="224"/>
      <c r="BMK13" s="224"/>
      <c r="BML13" s="224"/>
      <c r="BMM13" s="224"/>
      <c r="BMN13" s="224"/>
      <c r="BMO13" s="224"/>
      <c r="BMP13" s="224"/>
      <c r="BMQ13" s="224"/>
      <c r="BMR13" s="224"/>
      <c r="BMS13" s="224"/>
      <c r="BMT13" s="224"/>
      <c r="BMU13" s="224"/>
      <c r="BMV13" s="224"/>
      <c r="BMW13" s="224"/>
      <c r="BMX13" s="224"/>
      <c r="BMY13" s="224"/>
      <c r="BMZ13" s="224"/>
      <c r="BNA13" s="224"/>
      <c r="BNB13" s="224"/>
      <c r="BNC13" s="224"/>
      <c r="BND13" s="224"/>
      <c r="BNE13" s="224"/>
      <c r="BNF13" s="224"/>
      <c r="BNG13" s="224"/>
      <c r="BNH13" s="224"/>
      <c r="BNI13" s="224"/>
      <c r="BNJ13" s="224"/>
      <c r="BNK13" s="224"/>
      <c r="BNL13" s="224"/>
      <c r="BNM13" s="224"/>
      <c r="BNN13" s="224"/>
      <c r="BNO13" s="224"/>
      <c r="BNP13" s="224"/>
      <c r="BNQ13" s="224"/>
      <c r="BNR13" s="224"/>
      <c r="BNS13" s="224"/>
      <c r="BNT13" s="224"/>
      <c r="BNU13" s="224"/>
      <c r="BNV13" s="224"/>
      <c r="BNW13" s="224"/>
      <c r="BNX13" s="224"/>
      <c r="BNY13" s="224"/>
      <c r="BNZ13" s="224"/>
      <c r="BOA13" s="224"/>
      <c r="BOB13" s="224"/>
      <c r="BOC13" s="225"/>
      <c r="BOD13" s="223" t="s">
        <v>36</v>
      </c>
      <c r="BOE13" s="224"/>
      <c r="BOF13" s="224"/>
      <c r="BOG13" s="224"/>
      <c r="BOH13" s="224"/>
      <c r="BOI13" s="224"/>
      <c r="BOJ13" s="224"/>
      <c r="BOK13" s="224"/>
      <c r="BOL13" s="224"/>
      <c r="BOM13" s="224"/>
      <c r="BON13" s="224"/>
      <c r="BOO13" s="224"/>
      <c r="BOP13" s="224"/>
      <c r="BOQ13" s="224"/>
      <c r="BOR13" s="224"/>
      <c r="BOS13" s="224"/>
      <c r="BOT13" s="224"/>
      <c r="BOU13" s="224"/>
      <c r="BOV13" s="224"/>
      <c r="BOW13" s="224"/>
      <c r="BOX13" s="224"/>
      <c r="BOY13" s="224"/>
      <c r="BOZ13" s="224"/>
      <c r="BPA13" s="224"/>
      <c r="BPB13" s="224"/>
      <c r="BPC13" s="224"/>
      <c r="BPD13" s="224"/>
      <c r="BPE13" s="224"/>
      <c r="BPF13" s="224"/>
      <c r="BPG13" s="224"/>
      <c r="BPH13" s="224"/>
      <c r="BPI13" s="224"/>
      <c r="BPJ13" s="224"/>
      <c r="BPK13" s="224"/>
      <c r="BPL13" s="224"/>
      <c r="BPM13" s="224"/>
      <c r="BPN13" s="224"/>
      <c r="BPO13" s="224"/>
      <c r="BPP13" s="224"/>
      <c r="BPQ13" s="224"/>
      <c r="BPR13" s="224"/>
      <c r="BPS13" s="224"/>
      <c r="BPT13" s="224"/>
      <c r="BPU13" s="224"/>
      <c r="BPV13" s="224"/>
      <c r="BPW13" s="224"/>
      <c r="BPX13" s="224"/>
      <c r="BPY13" s="224"/>
      <c r="BPZ13" s="224"/>
      <c r="BQA13" s="224"/>
      <c r="BQB13" s="224"/>
      <c r="BQC13" s="224"/>
      <c r="BQD13" s="224"/>
      <c r="BQE13" s="224"/>
      <c r="BQF13" s="224"/>
      <c r="BQG13" s="224"/>
      <c r="BQH13" s="224"/>
      <c r="BQI13" s="224"/>
      <c r="BQJ13" s="224"/>
      <c r="BQK13" s="225"/>
      <c r="BQL13" s="223" t="s">
        <v>36</v>
      </c>
      <c r="BQM13" s="224"/>
      <c r="BQN13" s="224"/>
      <c r="BQO13" s="224"/>
      <c r="BQP13" s="224"/>
      <c r="BQQ13" s="224"/>
      <c r="BQR13" s="224"/>
      <c r="BQS13" s="224"/>
      <c r="BQT13" s="224"/>
      <c r="BQU13" s="224"/>
      <c r="BQV13" s="224"/>
      <c r="BQW13" s="224"/>
      <c r="BQX13" s="224"/>
      <c r="BQY13" s="224"/>
      <c r="BQZ13" s="224"/>
      <c r="BRA13" s="224"/>
      <c r="BRB13" s="224"/>
      <c r="BRC13" s="224"/>
      <c r="BRD13" s="224"/>
      <c r="BRE13" s="224"/>
      <c r="BRF13" s="224"/>
      <c r="BRG13" s="224"/>
      <c r="BRH13" s="224"/>
      <c r="BRI13" s="224"/>
      <c r="BRJ13" s="224"/>
      <c r="BRK13" s="224"/>
      <c r="BRL13" s="224"/>
      <c r="BRM13" s="224"/>
      <c r="BRN13" s="224"/>
      <c r="BRO13" s="224"/>
      <c r="BRP13" s="224"/>
      <c r="BRQ13" s="224"/>
      <c r="BRR13" s="224"/>
      <c r="BRS13" s="224"/>
      <c r="BRT13" s="224"/>
      <c r="BRU13" s="224"/>
      <c r="BRV13" s="224"/>
      <c r="BRW13" s="224"/>
      <c r="BRX13" s="224"/>
      <c r="BRY13" s="224"/>
      <c r="BRZ13" s="224"/>
      <c r="BSA13" s="224"/>
      <c r="BSB13" s="224"/>
      <c r="BSC13" s="224"/>
      <c r="BSD13" s="224"/>
      <c r="BSE13" s="224"/>
      <c r="BSF13" s="224"/>
      <c r="BSG13" s="224"/>
      <c r="BSH13" s="224"/>
      <c r="BSI13" s="224"/>
      <c r="BSJ13" s="224"/>
      <c r="BSK13" s="224"/>
      <c r="BSL13" s="224"/>
      <c r="BSM13" s="224"/>
      <c r="BSN13" s="224"/>
      <c r="BSO13" s="224"/>
      <c r="BSP13" s="224"/>
      <c r="BSQ13" s="224"/>
      <c r="BSR13" s="224"/>
      <c r="BSS13" s="225"/>
      <c r="BST13" s="73"/>
    </row>
    <row r="14" spans="1:1866" ht="12.75" customHeight="1" thickBot="1" x14ac:dyDescent="0.35">
      <c r="B14" s="51"/>
      <c r="C14" s="239"/>
      <c r="D14" s="118"/>
      <c r="E14" s="237"/>
      <c r="F14" s="81"/>
      <c r="G14" s="82"/>
      <c r="H14" s="82"/>
      <c r="I14" s="82"/>
      <c r="J14" s="226" t="s">
        <v>17</v>
      </c>
      <c r="K14" s="226"/>
      <c r="L14" s="226"/>
      <c r="M14" s="226"/>
      <c r="N14" s="82"/>
      <c r="O14" s="82"/>
      <c r="P14" s="227" t="s">
        <v>18</v>
      </c>
      <c r="Q14" s="227"/>
      <c r="R14" s="227"/>
      <c r="S14" s="227"/>
      <c r="T14" s="102"/>
      <c r="U14" s="102"/>
      <c r="V14" s="226" t="s">
        <v>19</v>
      </c>
      <c r="W14" s="226"/>
      <c r="X14" s="226"/>
      <c r="Y14" s="226"/>
      <c r="Z14" s="82"/>
      <c r="AA14" s="82"/>
      <c r="AB14" s="227" t="s">
        <v>20</v>
      </c>
      <c r="AC14" s="227"/>
      <c r="AD14" s="227"/>
      <c r="AE14" s="227"/>
      <c r="AF14" s="102"/>
      <c r="AG14" s="102"/>
      <c r="AH14" s="226" t="s">
        <v>21</v>
      </c>
      <c r="AI14" s="226"/>
      <c r="AJ14" s="226"/>
      <c r="AK14" s="226"/>
      <c r="AL14" s="82"/>
      <c r="AM14" s="82"/>
      <c r="AN14" s="227" t="s">
        <v>22</v>
      </c>
      <c r="AO14" s="227"/>
      <c r="AP14" s="227"/>
      <c r="AQ14" s="227"/>
      <c r="AR14" s="102"/>
      <c r="AS14" s="102"/>
      <c r="AT14" s="226" t="s">
        <v>23</v>
      </c>
      <c r="AU14" s="226"/>
      <c r="AV14" s="226"/>
      <c r="AW14" s="226"/>
      <c r="AX14" s="82"/>
      <c r="AY14" s="82"/>
      <c r="AZ14" s="227" t="s">
        <v>24</v>
      </c>
      <c r="BA14" s="227"/>
      <c r="BB14" s="227"/>
      <c r="BC14" s="227"/>
      <c r="BD14" s="102"/>
      <c r="BE14" s="102"/>
      <c r="BF14" s="226" t="s">
        <v>25</v>
      </c>
      <c r="BG14" s="226"/>
      <c r="BH14" s="226"/>
      <c r="BI14" s="226"/>
      <c r="BJ14" s="82"/>
      <c r="BK14" s="82"/>
      <c r="BL14" s="82"/>
      <c r="BM14" s="83"/>
      <c r="BN14" s="81"/>
      <c r="BO14" s="82"/>
      <c r="BP14" s="82"/>
      <c r="BQ14" s="82"/>
      <c r="BR14" s="226" t="s">
        <v>17</v>
      </c>
      <c r="BS14" s="226"/>
      <c r="BT14" s="226"/>
      <c r="BU14" s="226"/>
      <c r="BV14" s="82"/>
      <c r="BW14" s="82"/>
      <c r="BX14" s="227" t="s">
        <v>18</v>
      </c>
      <c r="BY14" s="227"/>
      <c r="BZ14" s="227"/>
      <c r="CA14" s="227"/>
      <c r="CB14" s="102"/>
      <c r="CC14" s="102"/>
      <c r="CD14" s="226" t="s">
        <v>19</v>
      </c>
      <c r="CE14" s="226"/>
      <c r="CF14" s="226"/>
      <c r="CG14" s="226"/>
      <c r="CH14" s="82"/>
      <c r="CI14" s="82"/>
      <c r="CJ14" s="227" t="s">
        <v>20</v>
      </c>
      <c r="CK14" s="227"/>
      <c r="CL14" s="227"/>
      <c r="CM14" s="227"/>
      <c r="CN14" s="102"/>
      <c r="CO14" s="102"/>
      <c r="CP14" s="226" t="s">
        <v>21</v>
      </c>
      <c r="CQ14" s="226"/>
      <c r="CR14" s="226"/>
      <c r="CS14" s="226"/>
      <c r="CT14" s="82"/>
      <c r="CU14" s="82"/>
      <c r="CV14" s="227" t="s">
        <v>22</v>
      </c>
      <c r="CW14" s="227"/>
      <c r="CX14" s="227"/>
      <c r="CY14" s="227"/>
      <c r="CZ14" s="102"/>
      <c r="DA14" s="102"/>
      <c r="DB14" s="226" t="s">
        <v>23</v>
      </c>
      <c r="DC14" s="226"/>
      <c r="DD14" s="226"/>
      <c r="DE14" s="226"/>
      <c r="DF14" s="82"/>
      <c r="DG14" s="82"/>
      <c r="DH14" s="227" t="s">
        <v>24</v>
      </c>
      <c r="DI14" s="227"/>
      <c r="DJ14" s="227"/>
      <c r="DK14" s="227"/>
      <c r="DL14" s="102"/>
      <c r="DM14" s="102"/>
      <c r="DN14" s="226" t="s">
        <v>25</v>
      </c>
      <c r="DO14" s="226"/>
      <c r="DP14" s="226"/>
      <c r="DQ14" s="226"/>
      <c r="DR14" s="82"/>
      <c r="DS14" s="82"/>
      <c r="DT14" s="82"/>
      <c r="DU14" s="83"/>
      <c r="DV14" s="81"/>
      <c r="DW14" s="82"/>
      <c r="DX14" s="82"/>
      <c r="DY14" s="82"/>
      <c r="DZ14" s="226" t="s">
        <v>17</v>
      </c>
      <c r="EA14" s="226"/>
      <c r="EB14" s="226"/>
      <c r="EC14" s="226"/>
      <c r="ED14" s="82"/>
      <c r="EE14" s="82"/>
      <c r="EF14" s="227" t="s">
        <v>18</v>
      </c>
      <c r="EG14" s="227"/>
      <c r="EH14" s="227"/>
      <c r="EI14" s="227"/>
      <c r="EJ14" s="102"/>
      <c r="EK14" s="102"/>
      <c r="EL14" s="226" t="s">
        <v>19</v>
      </c>
      <c r="EM14" s="226"/>
      <c r="EN14" s="226"/>
      <c r="EO14" s="226"/>
      <c r="EP14" s="82"/>
      <c r="EQ14" s="82"/>
      <c r="ER14" s="227" t="s">
        <v>20</v>
      </c>
      <c r="ES14" s="227"/>
      <c r="ET14" s="227"/>
      <c r="EU14" s="227"/>
      <c r="EV14" s="102"/>
      <c r="EW14" s="102"/>
      <c r="EX14" s="226" t="s">
        <v>21</v>
      </c>
      <c r="EY14" s="226"/>
      <c r="EZ14" s="226"/>
      <c r="FA14" s="226"/>
      <c r="FB14" s="82"/>
      <c r="FC14" s="82"/>
      <c r="FD14" s="227" t="s">
        <v>22</v>
      </c>
      <c r="FE14" s="227"/>
      <c r="FF14" s="227"/>
      <c r="FG14" s="227"/>
      <c r="FH14" s="102"/>
      <c r="FI14" s="102"/>
      <c r="FJ14" s="226" t="s">
        <v>23</v>
      </c>
      <c r="FK14" s="226"/>
      <c r="FL14" s="226"/>
      <c r="FM14" s="226"/>
      <c r="FN14" s="82"/>
      <c r="FO14" s="82"/>
      <c r="FP14" s="227" t="s">
        <v>24</v>
      </c>
      <c r="FQ14" s="227"/>
      <c r="FR14" s="227"/>
      <c r="FS14" s="227"/>
      <c r="FT14" s="102"/>
      <c r="FU14" s="102"/>
      <c r="FV14" s="226" t="s">
        <v>25</v>
      </c>
      <c r="FW14" s="226"/>
      <c r="FX14" s="226"/>
      <c r="FY14" s="226"/>
      <c r="FZ14" s="82"/>
      <c r="GA14" s="82"/>
      <c r="GB14" s="82"/>
      <c r="GC14" s="83"/>
      <c r="GD14" s="81"/>
      <c r="GE14" s="82"/>
      <c r="GF14" s="82"/>
      <c r="GG14" s="82"/>
      <c r="GH14" s="226" t="s">
        <v>17</v>
      </c>
      <c r="GI14" s="226"/>
      <c r="GJ14" s="226"/>
      <c r="GK14" s="226"/>
      <c r="GL14" s="82"/>
      <c r="GM14" s="82"/>
      <c r="GN14" s="227" t="s">
        <v>18</v>
      </c>
      <c r="GO14" s="227"/>
      <c r="GP14" s="227"/>
      <c r="GQ14" s="227"/>
      <c r="GR14" s="102"/>
      <c r="GS14" s="102"/>
      <c r="GT14" s="226" t="s">
        <v>19</v>
      </c>
      <c r="GU14" s="226"/>
      <c r="GV14" s="226"/>
      <c r="GW14" s="226"/>
      <c r="GX14" s="82"/>
      <c r="GY14" s="82"/>
      <c r="GZ14" s="227" t="s">
        <v>20</v>
      </c>
      <c r="HA14" s="227"/>
      <c r="HB14" s="227"/>
      <c r="HC14" s="227"/>
      <c r="HD14" s="102"/>
      <c r="HE14" s="102"/>
      <c r="HF14" s="226" t="s">
        <v>21</v>
      </c>
      <c r="HG14" s="226"/>
      <c r="HH14" s="226"/>
      <c r="HI14" s="226"/>
      <c r="HJ14" s="82"/>
      <c r="HK14" s="82"/>
      <c r="HL14" s="227" t="s">
        <v>22</v>
      </c>
      <c r="HM14" s="227"/>
      <c r="HN14" s="227"/>
      <c r="HO14" s="227"/>
      <c r="HP14" s="102"/>
      <c r="HQ14" s="102"/>
      <c r="HR14" s="226" t="s">
        <v>23</v>
      </c>
      <c r="HS14" s="226"/>
      <c r="HT14" s="226"/>
      <c r="HU14" s="226"/>
      <c r="HV14" s="82"/>
      <c r="HW14" s="82"/>
      <c r="HX14" s="227" t="s">
        <v>24</v>
      </c>
      <c r="HY14" s="227"/>
      <c r="HZ14" s="227"/>
      <c r="IA14" s="227"/>
      <c r="IB14" s="102"/>
      <c r="IC14" s="102"/>
      <c r="ID14" s="226" t="s">
        <v>25</v>
      </c>
      <c r="IE14" s="226"/>
      <c r="IF14" s="226"/>
      <c r="IG14" s="226"/>
      <c r="IH14" s="82"/>
      <c r="II14" s="82"/>
      <c r="IJ14" s="82"/>
      <c r="IK14" s="83"/>
      <c r="IL14" s="81"/>
      <c r="IM14" s="82"/>
      <c r="IN14" s="82"/>
      <c r="IO14" s="82"/>
      <c r="IP14" s="226" t="s">
        <v>17</v>
      </c>
      <c r="IQ14" s="226"/>
      <c r="IR14" s="226"/>
      <c r="IS14" s="226"/>
      <c r="IT14" s="82"/>
      <c r="IU14" s="82"/>
      <c r="IV14" s="227" t="s">
        <v>18</v>
      </c>
      <c r="IW14" s="227"/>
      <c r="IX14" s="227"/>
      <c r="IY14" s="227"/>
      <c r="IZ14" s="102"/>
      <c r="JA14" s="102"/>
      <c r="JB14" s="226" t="s">
        <v>19</v>
      </c>
      <c r="JC14" s="226"/>
      <c r="JD14" s="226"/>
      <c r="JE14" s="226"/>
      <c r="JF14" s="82"/>
      <c r="JG14" s="82"/>
      <c r="JH14" s="227" t="s">
        <v>20</v>
      </c>
      <c r="JI14" s="227"/>
      <c r="JJ14" s="227"/>
      <c r="JK14" s="227"/>
      <c r="JL14" s="102"/>
      <c r="JM14" s="102"/>
      <c r="JN14" s="226" t="s">
        <v>21</v>
      </c>
      <c r="JO14" s="226"/>
      <c r="JP14" s="226"/>
      <c r="JQ14" s="226"/>
      <c r="JR14" s="82"/>
      <c r="JS14" s="82"/>
      <c r="JT14" s="227" t="s">
        <v>22</v>
      </c>
      <c r="JU14" s="227"/>
      <c r="JV14" s="227"/>
      <c r="JW14" s="227"/>
      <c r="JX14" s="102"/>
      <c r="JY14" s="102"/>
      <c r="JZ14" s="226" t="s">
        <v>23</v>
      </c>
      <c r="KA14" s="226"/>
      <c r="KB14" s="226"/>
      <c r="KC14" s="226"/>
      <c r="KD14" s="82"/>
      <c r="KE14" s="82"/>
      <c r="KF14" s="227" t="s">
        <v>24</v>
      </c>
      <c r="KG14" s="227"/>
      <c r="KH14" s="227"/>
      <c r="KI14" s="227"/>
      <c r="KJ14" s="102"/>
      <c r="KK14" s="102"/>
      <c r="KL14" s="226" t="s">
        <v>25</v>
      </c>
      <c r="KM14" s="226"/>
      <c r="KN14" s="226"/>
      <c r="KO14" s="226"/>
      <c r="KP14" s="82"/>
      <c r="KQ14" s="82"/>
      <c r="KR14" s="82"/>
      <c r="KS14" s="83"/>
      <c r="KT14" s="81"/>
      <c r="KU14" s="82"/>
      <c r="KV14" s="82"/>
      <c r="KW14" s="82"/>
      <c r="KX14" s="226" t="s">
        <v>17</v>
      </c>
      <c r="KY14" s="226"/>
      <c r="KZ14" s="226"/>
      <c r="LA14" s="226"/>
      <c r="LB14" s="82"/>
      <c r="LC14" s="82"/>
      <c r="LD14" s="227" t="s">
        <v>18</v>
      </c>
      <c r="LE14" s="227"/>
      <c r="LF14" s="227"/>
      <c r="LG14" s="227"/>
      <c r="LH14" s="102"/>
      <c r="LI14" s="102"/>
      <c r="LJ14" s="226" t="s">
        <v>19</v>
      </c>
      <c r="LK14" s="226"/>
      <c r="LL14" s="226"/>
      <c r="LM14" s="226"/>
      <c r="LN14" s="82"/>
      <c r="LO14" s="82"/>
      <c r="LP14" s="227" t="s">
        <v>20</v>
      </c>
      <c r="LQ14" s="227"/>
      <c r="LR14" s="227"/>
      <c r="LS14" s="227"/>
      <c r="LT14" s="102"/>
      <c r="LU14" s="102"/>
      <c r="LV14" s="226" t="s">
        <v>21</v>
      </c>
      <c r="LW14" s="226"/>
      <c r="LX14" s="226"/>
      <c r="LY14" s="226"/>
      <c r="LZ14" s="82"/>
      <c r="MA14" s="82"/>
      <c r="MB14" s="227" t="s">
        <v>22</v>
      </c>
      <c r="MC14" s="227"/>
      <c r="MD14" s="227"/>
      <c r="ME14" s="227"/>
      <c r="MF14" s="102"/>
      <c r="MG14" s="102"/>
      <c r="MH14" s="226" t="s">
        <v>23</v>
      </c>
      <c r="MI14" s="226"/>
      <c r="MJ14" s="226"/>
      <c r="MK14" s="226"/>
      <c r="ML14" s="82"/>
      <c r="MM14" s="82"/>
      <c r="MN14" s="227" t="s">
        <v>24</v>
      </c>
      <c r="MO14" s="227"/>
      <c r="MP14" s="227"/>
      <c r="MQ14" s="227"/>
      <c r="MR14" s="102"/>
      <c r="MS14" s="102"/>
      <c r="MT14" s="226" t="s">
        <v>25</v>
      </c>
      <c r="MU14" s="226"/>
      <c r="MV14" s="226"/>
      <c r="MW14" s="226"/>
      <c r="MX14" s="82"/>
      <c r="MY14" s="82"/>
      <c r="MZ14" s="82"/>
      <c r="NA14" s="83"/>
      <c r="NB14" s="81"/>
      <c r="NC14" s="82"/>
      <c r="ND14" s="82"/>
      <c r="NE14" s="82"/>
      <c r="NF14" s="226" t="s">
        <v>17</v>
      </c>
      <c r="NG14" s="226"/>
      <c r="NH14" s="226"/>
      <c r="NI14" s="226"/>
      <c r="NJ14" s="82"/>
      <c r="NK14" s="82"/>
      <c r="NL14" s="227" t="s">
        <v>18</v>
      </c>
      <c r="NM14" s="227"/>
      <c r="NN14" s="227"/>
      <c r="NO14" s="227"/>
      <c r="NP14" s="102"/>
      <c r="NQ14" s="102"/>
      <c r="NR14" s="226" t="s">
        <v>19</v>
      </c>
      <c r="NS14" s="226"/>
      <c r="NT14" s="226"/>
      <c r="NU14" s="226"/>
      <c r="NV14" s="82"/>
      <c r="NW14" s="82"/>
      <c r="NX14" s="227" t="s">
        <v>20</v>
      </c>
      <c r="NY14" s="227"/>
      <c r="NZ14" s="227"/>
      <c r="OA14" s="227"/>
      <c r="OB14" s="102"/>
      <c r="OC14" s="102"/>
      <c r="OD14" s="226" t="s">
        <v>21</v>
      </c>
      <c r="OE14" s="226"/>
      <c r="OF14" s="226"/>
      <c r="OG14" s="226"/>
      <c r="OH14" s="82"/>
      <c r="OI14" s="82"/>
      <c r="OJ14" s="227" t="s">
        <v>22</v>
      </c>
      <c r="OK14" s="227"/>
      <c r="OL14" s="227"/>
      <c r="OM14" s="227"/>
      <c r="ON14" s="102"/>
      <c r="OO14" s="102"/>
      <c r="OP14" s="226" t="s">
        <v>23</v>
      </c>
      <c r="OQ14" s="226"/>
      <c r="OR14" s="226"/>
      <c r="OS14" s="226"/>
      <c r="OT14" s="82"/>
      <c r="OU14" s="82"/>
      <c r="OV14" s="227" t="s">
        <v>24</v>
      </c>
      <c r="OW14" s="227"/>
      <c r="OX14" s="227"/>
      <c r="OY14" s="227"/>
      <c r="OZ14" s="102"/>
      <c r="PA14" s="102"/>
      <c r="PB14" s="226" t="s">
        <v>25</v>
      </c>
      <c r="PC14" s="226"/>
      <c r="PD14" s="226"/>
      <c r="PE14" s="226"/>
      <c r="PF14" s="82"/>
      <c r="PG14" s="82"/>
      <c r="PH14" s="82"/>
      <c r="PI14" s="83"/>
      <c r="PJ14" s="81"/>
      <c r="PK14" s="82"/>
      <c r="PL14" s="82"/>
      <c r="PM14" s="82"/>
      <c r="PN14" s="226" t="s">
        <v>17</v>
      </c>
      <c r="PO14" s="226"/>
      <c r="PP14" s="226"/>
      <c r="PQ14" s="226"/>
      <c r="PR14" s="82"/>
      <c r="PS14" s="82"/>
      <c r="PT14" s="227" t="s">
        <v>18</v>
      </c>
      <c r="PU14" s="227"/>
      <c r="PV14" s="227"/>
      <c r="PW14" s="227"/>
      <c r="PX14" s="102"/>
      <c r="PY14" s="102"/>
      <c r="PZ14" s="226" t="s">
        <v>19</v>
      </c>
      <c r="QA14" s="226"/>
      <c r="QB14" s="226"/>
      <c r="QC14" s="226"/>
      <c r="QD14" s="82"/>
      <c r="QE14" s="82"/>
      <c r="QF14" s="227" t="s">
        <v>20</v>
      </c>
      <c r="QG14" s="227"/>
      <c r="QH14" s="227"/>
      <c r="QI14" s="227"/>
      <c r="QJ14" s="102"/>
      <c r="QK14" s="102"/>
      <c r="QL14" s="226" t="s">
        <v>21</v>
      </c>
      <c r="QM14" s="226"/>
      <c r="QN14" s="226"/>
      <c r="QO14" s="226"/>
      <c r="QP14" s="82"/>
      <c r="QQ14" s="82"/>
      <c r="QR14" s="227" t="s">
        <v>22</v>
      </c>
      <c r="QS14" s="227"/>
      <c r="QT14" s="227"/>
      <c r="QU14" s="227"/>
      <c r="QV14" s="102"/>
      <c r="QW14" s="102"/>
      <c r="QX14" s="226" t="s">
        <v>23</v>
      </c>
      <c r="QY14" s="226"/>
      <c r="QZ14" s="226"/>
      <c r="RA14" s="226"/>
      <c r="RB14" s="82"/>
      <c r="RC14" s="82"/>
      <c r="RD14" s="227" t="s">
        <v>24</v>
      </c>
      <c r="RE14" s="227"/>
      <c r="RF14" s="227"/>
      <c r="RG14" s="227"/>
      <c r="RH14" s="102"/>
      <c r="RI14" s="102"/>
      <c r="RJ14" s="226" t="s">
        <v>25</v>
      </c>
      <c r="RK14" s="226"/>
      <c r="RL14" s="226"/>
      <c r="RM14" s="226"/>
      <c r="RN14" s="82"/>
      <c r="RO14" s="82"/>
      <c r="RP14" s="82"/>
      <c r="RQ14" s="83"/>
      <c r="RR14" s="81"/>
      <c r="RS14" s="82"/>
      <c r="RT14" s="82"/>
      <c r="RU14" s="82"/>
      <c r="RV14" s="226" t="s">
        <v>17</v>
      </c>
      <c r="RW14" s="226"/>
      <c r="RX14" s="226"/>
      <c r="RY14" s="226"/>
      <c r="RZ14" s="82"/>
      <c r="SA14" s="82"/>
      <c r="SB14" s="227" t="s">
        <v>18</v>
      </c>
      <c r="SC14" s="227"/>
      <c r="SD14" s="227"/>
      <c r="SE14" s="227"/>
      <c r="SF14" s="102"/>
      <c r="SG14" s="102"/>
      <c r="SH14" s="226" t="s">
        <v>19</v>
      </c>
      <c r="SI14" s="226"/>
      <c r="SJ14" s="226"/>
      <c r="SK14" s="226"/>
      <c r="SL14" s="82"/>
      <c r="SM14" s="82"/>
      <c r="SN14" s="227" t="s">
        <v>20</v>
      </c>
      <c r="SO14" s="227"/>
      <c r="SP14" s="227"/>
      <c r="SQ14" s="227"/>
      <c r="SR14" s="102"/>
      <c r="SS14" s="102"/>
      <c r="ST14" s="226" t="s">
        <v>21</v>
      </c>
      <c r="SU14" s="226"/>
      <c r="SV14" s="226"/>
      <c r="SW14" s="226"/>
      <c r="SX14" s="82"/>
      <c r="SY14" s="82"/>
      <c r="SZ14" s="227" t="s">
        <v>22</v>
      </c>
      <c r="TA14" s="227"/>
      <c r="TB14" s="227"/>
      <c r="TC14" s="227"/>
      <c r="TD14" s="102"/>
      <c r="TE14" s="102"/>
      <c r="TF14" s="226" t="s">
        <v>23</v>
      </c>
      <c r="TG14" s="226"/>
      <c r="TH14" s="226"/>
      <c r="TI14" s="226"/>
      <c r="TJ14" s="82"/>
      <c r="TK14" s="82"/>
      <c r="TL14" s="227" t="s">
        <v>24</v>
      </c>
      <c r="TM14" s="227"/>
      <c r="TN14" s="227"/>
      <c r="TO14" s="227"/>
      <c r="TP14" s="102"/>
      <c r="TQ14" s="102"/>
      <c r="TR14" s="226" t="s">
        <v>25</v>
      </c>
      <c r="TS14" s="226"/>
      <c r="TT14" s="226"/>
      <c r="TU14" s="226"/>
      <c r="TV14" s="82"/>
      <c r="TW14" s="82"/>
      <c r="TX14" s="82"/>
      <c r="TY14" s="83"/>
      <c r="TZ14" s="81"/>
      <c r="UA14" s="82"/>
      <c r="UB14" s="82"/>
      <c r="UC14" s="82"/>
      <c r="UD14" s="226" t="s">
        <v>17</v>
      </c>
      <c r="UE14" s="226"/>
      <c r="UF14" s="226"/>
      <c r="UG14" s="226"/>
      <c r="UH14" s="82"/>
      <c r="UI14" s="82"/>
      <c r="UJ14" s="227" t="s">
        <v>18</v>
      </c>
      <c r="UK14" s="227"/>
      <c r="UL14" s="227"/>
      <c r="UM14" s="227"/>
      <c r="UN14" s="102"/>
      <c r="UO14" s="102"/>
      <c r="UP14" s="226" t="s">
        <v>19</v>
      </c>
      <c r="UQ14" s="226"/>
      <c r="UR14" s="226"/>
      <c r="US14" s="226"/>
      <c r="UT14" s="82"/>
      <c r="UU14" s="82"/>
      <c r="UV14" s="227" t="s">
        <v>20</v>
      </c>
      <c r="UW14" s="227"/>
      <c r="UX14" s="227"/>
      <c r="UY14" s="227"/>
      <c r="UZ14" s="102"/>
      <c r="VA14" s="102"/>
      <c r="VB14" s="226" t="s">
        <v>21</v>
      </c>
      <c r="VC14" s="226"/>
      <c r="VD14" s="226"/>
      <c r="VE14" s="226"/>
      <c r="VF14" s="82"/>
      <c r="VG14" s="82"/>
      <c r="VH14" s="227" t="s">
        <v>22</v>
      </c>
      <c r="VI14" s="227"/>
      <c r="VJ14" s="227"/>
      <c r="VK14" s="227"/>
      <c r="VL14" s="102"/>
      <c r="VM14" s="102"/>
      <c r="VN14" s="226" t="s">
        <v>23</v>
      </c>
      <c r="VO14" s="226"/>
      <c r="VP14" s="226"/>
      <c r="VQ14" s="226"/>
      <c r="VR14" s="82"/>
      <c r="VS14" s="82"/>
      <c r="VT14" s="227" t="s">
        <v>24</v>
      </c>
      <c r="VU14" s="227"/>
      <c r="VV14" s="227"/>
      <c r="VW14" s="227"/>
      <c r="VX14" s="102"/>
      <c r="VY14" s="102"/>
      <c r="VZ14" s="226" t="s">
        <v>25</v>
      </c>
      <c r="WA14" s="226"/>
      <c r="WB14" s="226"/>
      <c r="WC14" s="226"/>
      <c r="WD14" s="82"/>
      <c r="WE14" s="82"/>
      <c r="WF14" s="82"/>
      <c r="WG14" s="83"/>
      <c r="WH14" s="81"/>
      <c r="WI14" s="82"/>
      <c r="WJ14" s="82"/>
      <c r="WK14" s="82"/>
      <c r="WL14" s="226" t="s">
        <v>17</v>
      </c>
      <c r="WM14" s="226"/>
      <c r="WN14" s="226"/>
      <c r="WO14" s="226"/>
      <c r="WP14" s="82"/>
      <c r="WQ14" s="82"/>
      <c r="WR14" s="227" t="s">
        <v>18</v>
      </c>
      <c r="WS14" s="227"/>
      <c r="WT14" s="227"/>
      <c r="WU14" s="227"/>
      <c r="WV14" s="102"/>
      <c r="WW14" s="102"/>
      <c r="WX14" s="226" t="s">
        <v>19</v>
      </c>
      <c r="WY14" s="226"/>
      <c r="WZ14" s="226"/>
      <c r="XA14" s="226"/>
      <c r="XB14" s="82"/>
      <c r="XC14" s="82"/>
      <c r="XD14" s="227" t="s">
        <v>20</v>
      </c>
      <c r="XE14" s="227"/>
      <c r="XF14" s="227"/>
      <c r="XG14" s="227"/>
      <c r="XH14" s="102"/>
      <c r="XI14" s="102"/>
      <c r="XJ14" s="226" t="s">
        <v>21</v>
      </c>
      <c r="XK14" s="226"/>
      <c r="XL14" s="226"/>
      <c r="XM14" s="226"/>
      <c r="XN14" s="82"/>
      <c r="XO14" s="82"/>
      <c r="XP14" s="227" t="s">
        <v>22</v>
      </c>
      <c r="XQ14" s="227"/>
      <c r="XR14" s="227"/>
      <c r="XS14" s="227"/>
      <c r="XT14" s="102"/>
      <c r="XU14" s="102"/>
      <c r="XV14" s="226" t="s">
        <v>23</v>
      </c>
      <c r="XW14" s="226"/>
      <c r="XX14" s="226"/>
      <c r="XY14" s="226"/>
      <c r="XZ14" s="82"/>
      <c r="YA14" s="82"/>
      <c r="YB14" s="227" t="s">
        <v>24</v>
      </c>
      <c r="YC14" s="227"/>
      <c r="YD14" s="227"/>
      <c r="YE14" s="227"/>
      <c r="YF14" s="102"/>
      <c r="YG14" s="102"/>
      <c r="YH14" s="226" t="s">
        <v>25</v>
      </c>
      <c r="YI14" s="226"/>
      <c r="YJ14" s="226"/>
      <c r="YK14" s="226"/>
      <c r="YL14" s="82"/>
      <c r="YM14" s="82"/>
      <c r="YN14" s="82"/>
      <c r="YO14" s="83"/>
      <c r="YP14" s="81"/>
      <c r="YQ14" s="82"/>
      <c r="YR14" s="82"/>
      <c r="YS14" s="82"/>
      <c r="YT14" s="226" t="s">
        <v>17</v>
      </c>
      <c r="YU14" s="226"/>
      <c r="YV14" s="226"/>
      <c r="YW14" s="226"/>
      <c r="YX14" s="82"/>
      <c r="YY14" s="82"/>
      <c r="YZ14" s="227" t="s">
        <v>18</v>
      </c>
      <c r="ZA14" s="227"/>
      <c r="ZB14" s="227"/>
      <c r="ZC14" s="227"/>
      <c r="ZD14" s="102"/>
      <c r="ZE14" s="102"/>
      <c r="ZF14" s="226" t="s">
        <v>19</v>
      </c>
      <c r="ZG14" s="226"/>
      <c r="ZH14" s="226"/>
      <c r="ZI14" s="226"/>
      <c r="ZJ14" s="82"/>
      <c r="ZK14" s="82"/>
      <c r="ZL14" s="227" t="s">
        <v>20</v>
      </c>
      <c r="ZM14" s="227"/>
      <c r="ZN14" s="227"/>
      <c r="ZO14" s="227"/>
      <c r="ZP14" s="102"/>
      <c r="ZQ14" s="102"/>
      <c r="ZR14" s="226" t="s">
        <v>21</v>
      </c>
      <c r="ZS14" s="226"/>
      <c r="ZT14" s="226"/>
      <c r="ZU14" s="226"/>
      <c r="ZV14" s="82"/>
      <c r="ZW14" s="82"/>
      <c r="ZX14" s="227" t="s">
        <v>22</v>
      </c>
      <c r="ZY14" s="227"/>
      <c r="ZZ14" s="227"/>
      <c r="AAA14" s="227"/>
      <c r="AAB14" s="102"/>
      <c r="AAC14" s="102"/>
      <c r="AAD14" s="226" t="s">
        <v>23</v>
      </c>
      <c r="AAE14" s="226"/>
      <c r="AAF14" s="226"/>
      <c r="AAG14" s="226"/>
      <c r="AAH14" s="82"/>
      <c r="AAI14" s="82"/>
      <c r="AAJ14" s="227" t="s">
        <v>24</v>
      </c>
      <c r="AAK14" s="227"/>
      <c r="AAL14" s="227"/>
      <c r="AAM14" s="227"/>
      <c r="AAN14" s="102"/>
      <c r="AAO14" s="102"/>
      <c r="AAP14" s="226" t="s">
        <v>25</v>
      </c>
      <c r="AAQ14" s="226"/>
      <c r="AAR14" s="226"/>
      <c r="AAS14" s="226"/>
      <c r="AAT14" s="82"/>
      <c r="AAU14" s="82"/>
      <c r="AAV14" s="82"/>
      <c r="AAW14" s="83"/>
      <c r="AAX14" s="81"/>
      <c r="AAY14" s="82"/>
      <c r="AAZ14" s="82"/>
      <c r="ABA14" s="82"/>
      <c r="ABB14" s="226" t="s">
        <v>17</v>
      </c>
      <c r="ABC14" s="226"/>
      <c r="ABD14" s="226"/>
      <c r="ABE14" s="226"/>
      <c r="ABF14" s="82"/>
      <c r="ABG14" s="82"/>
      <c r="ABH14" s="227" t="s">
        <v>18</v>
      </c>
      <c r="ABI14" s="227"/>
      <c r="ABJ14" s="227"/>
      <c r="ABK14" s="227"/>
      <c r="ABL14" s="102"/>
      <c r="ABM14" s="102"/>
      <c r="ABN14" s="226" t="s">
        <v>19</v>
      </c>
      <c r="ABO14" s="226"/>
      <c r="ABP14" s="226"/>
      <c r="ABQ14" s="226"/>
      <c r="ABR14" s="82"/>
      <c r="ABS14" s="82"/>
      <c r="ABT14" s="227" t="s">
        <v>20</v>
      </c>
      <c r="ABU14" s="227"/>
      <c r="ABV14" s="227"/>
      <c r="ABW14" s="227"/>
      <c r="ABX14" s="102"/>
      <c r="ABY14" s="102"/>
      <c r="ABZ14" s="226" t="s">
        <v>21</v>
      </c>
      <c r="ACA14" s="226"/>
      <c r="ACB14" s="226"/>
      <c r="ACC14" s="226"/>
      <c r="ACD14" s="82"/>
      <c r="ACE14" s="82"/>
      <c r="ACF14" s="227" t="s">
        <v>22</v>
      </c>
      <c r="ACG14" s="227"/>
      <c r="ACH14" s="227"/>
      <c r="ACI14" s="227"/>
      <c r="ACJ14" s="102"/>
      <c r="ACK14" s="102"/>
      <c r="ACL14" s="226" t="s">
        <v>23</v>
      </c>
      <c r="ACM14" s="226"/>
      <c r="ACN14" s="226"/>
      <c r="ACO14" s="226"/>
      <c r="ACP14" s="82"/>
      <c r="ACQ14" s="82"/>
      <c r="ACR14" s="227" t="s">
        <v>24</v>
      </c>
      <c r="ACS14" s="227"/>
      <c r="ACT14" s="227"/>
      <c r="ACU14" s="227"/>
      <c r="ACV14" s="102"/>
      <c r="ACW14" s="102"/>
      <c r="ACX14" s="226" t="s">
        <v>25</v>
      </c>
      <c r="ACY14" s="226"/>
      <c r="ACZ14" s="226"/>
      <c r="ADA14" s="226"/>
      <c r="ADB14" s="82"/>
      <c r="ADC14" s="82"/>
      <c r="ADD14" s="82"/>
      <c r="ADE14" s="83"/>
      <c r="ADF14" s="81"/>
      <c r="ADG14" s="82"/>
      <c r="ADH14" s="82"/>
      <c r="ADI14" s="82"/>
      <c r="ADJ14" s="226" t="s">
        <v>17</v>
      </c>
      <c r="ADK14" s="226"/>
      <c r="ADL14" s="226"/>
      <c r="ADM14" s="226"/>
      <c r="ADN14" s="82"/>
      <c r="ADO14" s="82"/>
      <c r="ADP14" s="227" t="s">
        <v>18</v>
      </c>
      <c r="ADQ14" s="227"/>
      <c r="ADR14" s="227"/>
      <c r="ADS14" s="227"/>
      <c r="ADT14" s="102"/>
      <c r="ADU14" s="102"/>
      <c r="ADV14" s="226" t="s">
        <v>19</v>
      </c>
      <c r="ADW14" s="226"/>
      <c r="ADX14" s="226"/>
      <c r="ADY14" s="226"/>
      <c r="ADZ14" s="82"/>
      <c r="AEA14" s="82"/>
      <c r="AEB14" s="227" t="s">
        <v>20</v>
      </c>
      <c r="AEC14" s="227"/>
      <c r="AED14" s="227"/>
      <c r="AEE14" s="227"/>
      <c r="AEF14" s="102"/>
      <c r="AEG14" s="102"/>
      <c r="AEH14" s="226" t="s">
        <v>21</v>
      </c>
      <c r="AEI14" s="226"/>
      <c r="AEJ14" s="226"/>
      <c r="AEK14" s="226"/>
      <c r="AEL14" s="82"/>
      <c r="AEM14" s="82"/>
      <c r="AEN14" s="227" t="s">
        <v>22</v>
      </c>
      <c r="AEO14" s="227"/>
      <c r="AEP14" s="227"/>
      <c r="AEQ14" s="227"/>
      <c r="AER14" s="102"/>
      <c r="AES14" s="102"/>
      <c r="AET14" s="226" t="s">
        <v>23</v>
      </c>
      <c r="AEU14" s="226"/>
      <c r="AEV14" s="226"/>
      <c r="AEW14" s="226"/>
      <c r="AEX14" s="82"/>
      <c r="AEY14" s="82"/>
      <c r="AEZ14" s="227" t="s">
        <v>24</v>
      </c>
      <c r="AFA14" s="227"/>
      <c r="AFB14" s="227"/>
      <c r="AFC14" s="227"/>
      <c r="AFD14" s="102"/>
      <c r="AFE14" s="102"/>
      <c r="AFF14" s="226" t="s">
        <v>25</v>
      </c>
      <c r="AFG14" s="226"/>
      <c r="AFH14" s="226"/>
      <c r="AFI14" s="226"/>
      <c r="AFJ14" s="82"/>
      <c r="AFK14" s="82"/>
      <c r="AFL14" s="82"/>
      <c r="AFM14" s="83"/>
      <c r="AFN14" s="81"/>
      <c r="AFO14" s="82"/>
      <c r="AFP14" s="82"/>
      <c r="AFQ14" s="82"/>
      <c r="AFR14" s="226" t="s">
        <v>17</v>
      </c>
      <c r="AFS14" s="226"/>
      <c r="AFT14" s="226"/>
      <c r="AFU14" s="226"/>
      <c r="AFV14" s="82"/>
      <c r="AFW14" s="82"/>
      <c r="AFX14" s="227" t="s">
        <v>18</v>
      </c>
      <c r="AFY14" s="227"/>
      <c r="AFZ14" s="227"/>
      <c r="AGA14" s="227"/>
      <c r="AGB14" s="102"/>
      <c r="AGC14" s="102"/>
      <c r="AGD14" s="226" t="s">
        <v>19</v>
      </c>
      <c r="AGE14" s="226"/>
      <c r="AGF14" s="226"/>
      <c r="AGG14" s="226"/>
      <c r="AGH14" s="82"/>
      <c r="AGI14" s="82"/>
      <c r="AGJ14" s="227" t="s">
        <v>20</v>
      </c>
      <c r="AGK14" s="227"/>
      <c r="AGL14" s="227"/>
      <c r="AGM14" s="227"/>
      <c r="AGN14" s="102"/>
      <c r="AGO14" s="102"/>
      <c r="AGP14" s="226" t="s">
        <v>21</v>
      </c>
      <c r="AGQ14" s="226"/>
      <c r="AGR14" s="226"/>
      <c r="AGS14" s="226"/>
      <c r="AGT14" s="82"/>
      <c r="AGU14" s="82"/>
      <c r="AGV14" s="227" t="s">
        <v>22</v>
      </c>
      <c r="AGW14" s="227"/>
      <c r="AGX14" s="227"/>
      <c r="AGY14" s="227"/>
      <c r="AGZ14" s="102"/>
      <c r="AHA14" s="102"/>
      <c r="AHB14" s="226" t="s">
        <v>23</v>
      </c>
      <c r="AHC14" s="226"/>
      <c r="AHD14" s="226"/>
      <c r="AHE14" s="226"/>
      <c r="AHF14" s="82"/>
      <c r="AHG14" s="82"/>
      <c r="AHH14" s="227" t="s">
        <v>24</v>
      </c>
      <c r="AHI14" s="227"/>
      <c r="AHJ14" s="227"/>
      <c r="AHK14" s="227"/>
      <c r="AHL14" s="102"/>
      <c r="AHM14" s="102"/>
      <c r="AHN14" s="226" t="s">
        <v>25</v>
      </c>
      <c r="AHO14" s="226"/>
      <c r="AHP14" s="226"/>
      <c r="AHQ14" s="226"/>
      <c r="AHR14" s="82"/>
      <c r="AHS14" s="82"/>
      <c r="AHT14" s="82"/>
      <c r="AHU14" s="83"/>
      <c r="AHV14" s="81"/>
      <c r="AHW14" s="82"/>
      <c r="AHX14" s="82"/>
      <c r="AHY14" s="82"/>
      <c r="AHZ14" s="226" t="s">
        <v>17</v>
      </c>
      <c r="AIA14" s="226"/>
      <c r="AIB14" s="226"/>
      <c r="AIC14" s="226"/>
      <c r="AID14" s="82"/>
      <c r="AIE14" s="82"/>
      <c r="AIF14" s="227" t="s">
        <v>18</v>
      </c>
      <c r="AIG14" s="227"/>
      <c r="AIH14" s="227"/>
      <c r="AII14" s="227"/>
      <c r="AIJ14" s="102"/>
      <c r="AIK14" s="102"/>
      <c r="AIL14" s="226" t="s">
        <v>19</v>
      </c>
      <c r="AIM14" s="226"/>
      <c r="AIN14" s="226"/>
      <c r="AIO14" s="226"/>
      <c r="AIP14" s="82"/>
      <c r="AIQ14" s="82"/>
      <c r="AIR14" s="227" t="s">
        <v>20</v>
      </c>
      <c r="AIS14" s="227"/>
      <c r="AIT14" s="227"/>
      <c r="AIU14" s="227"/>
      <c r="AIV14" s="102"/>
      <c r="AIW14" s="102"/>
      <c r="AIX14" s="226" t="s">
        <v>21</v>
      </c>
      <c r="AIY14" s="226"/>
      <c r="AIZ14" s="226"/>
      <c r="AJA14" s="226"/>
      <c r="AJB14" s="82"/>
      <c r="AJC14" s="82"/>
      <c r="AJD14" s="227" t="s">
        <v>22</v>
      </c>
      <c r="AJE14" s="227"/>
      <c r="AJF14" s="227"/>
      <c r="AJG14" s="227"/>
      <c r="AJH14" s="102"/>
      <c r="AJI14" s="102"/>
      <c r="AJJ14" s="226" t="s">
        <v>23</v>
      </c>
      <c r="AJK14" s="226"/>
      <c r="AJL14" s="226"/>
      <c r="AJM14" s="226"/>
      <c r="AJN14" s="82"/>
      <c r="AJO14" s="82"/>
      <c r="AJP14" s="227" t="s">
        <v>24</v>
      </c>
      <c r="AJQ14" s="227"/>
      <c r="AJR14" s="227"/>
      <c r="AJS14" s="227"/>
      <c r="AJT14" s="102"/>
      <c r="AJU14" s="102"/>
      <c r="AJV14" s="226" t="s">
        <v>25</v>
      </c>
      <c r="AJW14" s="226"/>
      <c r="AJX14" s="226"/>
      <c r="AJY14" s="226"/>
      <c r="AJZ14" s="82"/>
      <c r="AKA14" s="82"/>
      <c r="AKB14" s="82"/>
      <c r="AKC14" s="83"/>
      <c r="AKD14" s="81"/>
      <c r="AKE14" s="82"/>
      <c r="AKF14" s="82"/>
      <c r="AKG14" s="82"/>
      <c r="AKH14" s="226" t="s">
        <v>17</v>
      </c>
      <c r="AKI14" s="226"/>
      <c r="AKJ14" s="226"/>
      <c r="AKK14" s="226"/>
      <c r="AKL14" s="82"/>
      <c r="AKM14" s="82"/>
      <c r="AKN14" s="227" t="s">
        <v>18</v>
      </c>
      <c r="AKO14" s="227"/>
      <c r="AKP14" s="227"/>
      <c r="AKQ14" s="227"/>
      <c r="AKR14" s="102"/>
      <c r="AKS14" s="102"/>
      <c r="AKT14" s="226" t="s">
        <v>19</v>
      </c>
      <c r="AKU14" s="226"/>
      <c r="AKV14" s="226"/>
      <c r="AKW14" s="226"/>
      <c r="AKX14" s="82"/>
      <c r="AKY14" s="82"/>
      <c r="AKZ14" s="227" t="s">
        <v>20</v>
      </c>
      <c r="ALA14" s="227"/>
      <c r="ALB14" s="227"/>
      <c r="ALC14" s="227"/>
      <c r="ALD14" s="102"/>
      <c r="ALE14" s="102"/>
      <c r="ALF14" s="226" t="s">
        <v>21</v>
      </c>
      <c r="ALG14" s="226"/>
      <c r="ALH14" s="226"/>
      <c r="ALI14" s="226"/>
      <c r="ALJ14" s="82"/>
      <c r="ALK14" s="82"/>
      <c r="ALL14" s="227" t="s">
        <v>22</v>
      </c>
      <c r="ALM14" s="227"/>
      <c r="ALN14" s="227"/>
      <c r="ALO14" s="227"/>
      <c r="ALP14" s="102"/>
      <c r="ALQ14" s="102"/>
      <c r="ALR14" s="226" t="s">
        <v>23</v>
      </c>
      <c r="ALS14" s="226"/>
      <c r="ALT14" s="226"/>
      <c r="ALU14" s="226"/>
      <c r="ALV14" s="82"/>
      <c r="ALW14" s="82"/>
      <c r="ALX14" s="227" t="s">
        <v>24</v>
      </c>
      <c r="ALY14" s="227"/>
      <c r="ALZ14" s="227"/>
      <c r="AMA14" s="227"/>
      <c r="AMB14" s="102"/>
      <c r="AMC14" s="102"/>
      <c r="AMD14" s="226" t="s">
        <v>25</v>
      </c>
      <c r="AME14" s="226"/>
      <c r="AMF14" s="226"/>
      <c r="AMG14" s="226"/>
      <c r="AMH14" s="82"/>
      <c r="AMI14" s="82"/>
      <c r="AMJ14" s="82"/>
      <c r="AMK14" s="83"/>
      <c r="AML14" s="81"/>
      <c r="AMM14" s="82"/>
      <c r="AMN14" s="82"/>
      <c r="AMO14" s="82"/>
      <c r="AMP14" s="226" t="s">
        <v>17</v>
      </c>
      <c r="AMQ14" s="226"/>
      <c r="AMR14" s="226"/>
      <c r="AMS14" s="226"/>
      <c r="AMT14" s="82"/>
      <c r="AMU14" s="82"/>
      <c r="AMV14" s="227" t="s">
        <v>18</v>
      </c>
      <c r="AMW14" s="227"/>
      <c r="AMX14" s="227"/>
      <c r="AMY14" s="227"/>
      <c r="AMZ14" s="102"/>
      <c r="ANA14" s="102"/>
      <c r="ANB14" s="226" t="s">
        <v>19</v>
      </c>
      <c r="ANC14" s="226"/>
      <c r="AND14" s="226"/>
      <c r="ANE14" s="226"/>
      <c r="ANF14" s="82"/>
      <c r="ANG14" s="82"/>
      <c r="ANH14" s="227" t="s">
        <v>20</v>
      </c>
      <c r="ANI14" s="227"/>
      <c r="ANJ14" s="227"/>
      <c r="ANK14" s="227"/>
      <c r="ANL14" s="102"/>
      <c r="ANM14" s="102"/>
      <c r="ANN14" s="226" t="s">
        <v>21</v>
      </c>
      <c r="ANO14" s="226"/>
      <c r="ANP14" s="226"/>
      <c r="ANQ14" s="226"/>
      <c r="ANR14" s="82"/>
      <c r="ANS14" s="82"/>
      <c r="ANT14" s="227" t="s">
        <v>22</v>
      </c>
      <c r="ANU14" s="227"/>
      <c r="ANV14" s="227"/>
      <c r="ANW14" s="227"/>
      <c r="ANX14" s="102"/>
      <c r="ANY14" s="102"/>
      <c r="ANZ14" s="226" t="s">
        <v>23</v>
      </c>
      <c r="AOA14" s="226"/>
      <c r="AOB14" s="226"/>
      <c r="AOC14" s="226"/>
      <c r="AOD14" s="82"/>
      <c r="AOE14" s="82"/>
      <c r="AOF14" s="227" t="s">
        <v>24</v>
      </c>
      <c r="AOG14" s="227"/>
      <c r="AOH14" s="227"/>
      <c r="AOI14" s="227"/>
      <c r="AOJ14" s="102"/>
      <c r="AOK14" s="102"/>
      <c r="AOL14" s="226" t="s">
        <v>25</v>
      </c>
      <c r="AOM14" s="226"/>
      <c r="AON14" s="226"/>
      <c r="AOO14" s="226"/>
      <c r="AOP14" s="82"/>
      <c r="AOQ14" s="82"/>
      <c r="AOR14" s="82"/>
      <c r="AOS14" s="83"/>
      <c r="AOT14" s="81"/>
      <c r="AOU14" s="82"/>
      <c r="AOV14" s="82"/>
      <c r="AOW14" s="82"/>
      <c r="AOX14" s="226" t="s">
        <v>17</v>
      </c>
      <c r="AOY14" s="226"/>
      <c r="AOZ14" s="226"/>
      <c r="APA14" s="226"/>
      <c r="APB14" s="82"/>
      <c r="APC14" s="82"/>
      <c r="APD14" s="227" t="s">
        <v>18</v>
      </c>
      <c r="APE14" s="227"/>
      <c r="APF14" s="227"/>
      <c r="APG14" s="227"/>
      <c r="APH14" s="102"/>
      <c r="API14" s="102"/>
      <c r="APJ14" s="226" t="s">
        <v>19</v>
      </c>
      <c r="APK14" s="226"/>
      <c r="APL14" s="226"/>
      <c r="APM14" s="226"/>
      <c r="APN14" s="82"/>
      <c r="APO14" s="82"/>
      <c r="APP14" s="227" t="s">
        <v>20</v>
      </c>
      <c r="APQ14" s="227"/>
      <c r="APR14" s="227"/>
      <c r="APS14" s="227"/>
      <c r="APT14" s="102"/>
      <c r="APU14" s="102"/>
      <c r="APV14" s="226" t="s">
        <v>21</v>
      </c>
      <c r="APW14" s="226"/>
      <c r="APX14" s="226"/>
      <c r="APY14" s="226"/>
      <c r="APZ14" s="82"/>
      <c r="AQA14" s="82"/>
      <c r="AQB14" s="227" t="s">
        <v>22</v>
      </c>
      <c r="AQC14" s="227"/>
      <c r="AQD14" s="227"/>
      <c r="AQE14" s="227"/>
      <c r="AQF14" s="102"/>
      <c r="AQG14" s="102"/>
      <c r="AQH14" s="226" t="s">
        <v>23</v>
      </c>
      <c r="AQI14" s="226"/>
      <c r="AQJ14" s="226"/>
      <c r="AQK14" s="226"/>
      <c r="AQL14" s="82"/>
      <c r="AQM14" s="82"/>
      <c r="AQN14" s="227" t="s">
        <v>24</v>
      </c>
      <c r="AQO14" s="227"/>
      <c r="AQP14" s="227"/>
      <c r="AQQ14" s="227"/>
      <c r="AQR14" s="102"/>
      <c r="AQS14" s="102"/>
      <c r="AQT14" s="226" t="s">
        <v>25</v>
      </c>
      <c r="AQU14" s="226"/>
      <c r="AQV14" s="226"/>
      <c r="AQW14" s="226"/>
      <c r="AQX14" s="82"/>
      <c r="AQY14" s="82"/>
      <c r="AQZ14" s="82"/>
      <c r="ARA14" s="83"/>
      <c r="ARB14" s="81"/>
      <c r="ARC14" s="82"/>
      <c r="ARD14" s="82"/>
      <c r="ARE14" s="82"/>
      <c r="ARF14" s="226" t="s">
        <v>17</v>
      </c>
      <c r="ARG14" s="226"/>
      <c r="ARH14" s="226"/>
      <c r="ARI14" s="226"/>
      <c r="ARJ14" s="82"/>
      <c r="ARK14" s="82"/>
      <c r="ARL14" s="227" t="s">
        <v>18</v>
      </c>
      <c r="ARM14" s="227"/>
      <c r="ARN14" s="227"/>
      <c r="ARO14" s="227"/>
      <c r="ARP14" s="102"/>
      <c r="ARQ14" s="102"/>
      <c r="ARR14" s="226" t="s">
        <v>19</v>
      </c>
      <c r="ARS14" s="226"/>
      <c r="ART14" s="226"/>
      <c r="ARU14" s="226"/>
      <c r="ARV14" s="82"/>
      <c r="ARW14" s="82"/>
      <c r="ARX14" s="227" t="s">
        <v>20</v>
      </c>
      <c r="ARY14" s="227"/>
      <c r="ARZ14" s="227"/>
      <c r="ASA14" s="227"/>
      <c r="ASB14" s="102"/>
      <c r="ASC14" s="102"/>
      <c r="ASD14" s="226" t="s">
        <v>21</v>
      </c>
      <c r="ASE14" s="226"/>
      <c r="ASF14" s="226"/>
      <c r="ASG14" s="226"/>
      <c r="ASH14" s="82"/>
      <c r="ASI14" s="82"/>
      <c r="ASJ14" s="227" t="s">
        <v>22</v>
      </c>
      <c r="ASK14" s="227"/>
      <c r="ASL14" s="227"/>
      <c r="ASM14" s="227"/>
      <c r="ASN14" s="102"/>
      <c r="ASO14" s="102"/>
      <c r="ASP14" s="226" t="s">
        <v>23</v>
      </c>
      <c r="ASQ14" s="226"/>
      <c r="ASR14" s="226"/>
      <c r="ASS14" s="226"/>
      <c r="AST14" s="82"/>
      <c r="ASU14" s="82"/>
      <c r="ASV14" s="227" t="s">
        <v>24</v>
      </c>
      <c r="ASW14" s="227"/>
      <c r="ASX14" s="227"/>
      <c r="ASY14" s="227"/>
      <c r="ASZ14" s="102"/>
      <c r="ATA14" s="102"/>
      <c r="ATB14" s="226" t="s">
        <v>25</v>
      </c>
      <c r="ATC14" s="226"/>
      <c r="ATD14" s="226"/>
      <c r="ATE14" s="226"/>
      <c r="ATF14" s="82"/>
      <c r="ATG14" s="82"/>
      <c r="ATH14" s="82"/>
      <c r="ATI14" s="83"/>
      <c r="ATJ14" s="81"/>
      <c r="ATK14" s="82"/>
      <c r="ATL14" s="82"/>
      <c r="ATM14" s="82"/>
      <c r="ATN14" s="226" t="s">
        <v>17</v>
      </c>
      <c r="ATO14" s="226"/>
      <c r="ATP14" s="226"/>
      <c r="ATQ14" s="226"/>
      <c r="ATR14" s="82"/>
      <c r="ATS14" s="82"/>
      <c r="ATT14" s="227" t="s">
        <v>18</v>
      </c>
      <c r="ATU14" s="227"/>
      <c r="ATV14" s="227"/>
      <c r="ATW14" s="227"/>
      <c r="ATX14" s="102"/>
      <c r="ATY14" s="102"/>
      <c r="ATZ14" s="226" t="s">
        <v>19</v>
      </c>
      <c r="AUA14" s="226"/>
      <c r="AUB14" s="226"/>
      <c r="AUC14" s="226"/>
      <c r="AUD14" s="82"/>
      <c r="AUE14" s="82"/>
      <c r="AUF14" s="227" t="s">
        <v>20</v>
      </c>
      <c r="AUG14" s="227"/>
      <c r="AUH14" s="227"/>
      <c r="AUI14" s="227"/>
      <c r="AUJ14" s="102"/>
      <c r="AUK14" s="102"/>
      <c r="AUL14" s="226" t="s">
        <v>21</v>
      </c>
      <c r="AUM14" s="226"/>
      <c r="AUN14" s="226"/>
      <c r="AUO14" s="226"/>
      <c r="AUP14" s="82"/>
      <c r="AUQ14" s="82"/>
      <c r="AUR14" s="227" t="s">
        <v>22</v>
      </c>
      <c r="AUS14" s="227"/>
      <c r="AUT14" s="227"/>
      <c r="AUU14" s="227"/>
      <c r="AUV14" s="102"/>
      <c r="AUW14" s="102"/>
      <c r="AUX14" s="226" t="s">
        <v>23</v>
      </c>
      <c r="AUY14" s="226"/>
      <c r="AUZ14" s="226"/>
      <c r="AVA14" s="226"/>
      <c r="AVB14" s="82"/>
      <c r="AVC14" s="82"/>
      <c r="AVD14" s="227" t="s">
        <v>24</v>
      </c>
      <c r="AVE14" s="227"/>
      <c r="AVF14" s="227"/>
      <c r="AVG14" s="227"/>
      <c r="AVH14" s="102"/>
      <c r="AVI14" s="102"/>
      <c r="AVJ14" s="226" t="s">
        <v>25</v>
      </c>
      <c r="AVK14" s="226"/>
      <c r="AVL14" s="226"/>
      <c r="AVM14" s="226"/>
      <c r="AVN14" s="82"/>
      <c r="AVO14" s="82"/>
      <c r="AVP14" s="82"/>
      <c r="AVQ14" s="83"/>
      <c r="AVR14" s="81"/>
      <c r="AVS14" s="82"/>
      <c r="AVT14" s="82"/>
      <c r="AVU14" s="82"/>
      <c r="AVV14" s="226" t="s">
        <v>17</v>
      </c>
      <c r="AVW14" s="226"/>
      <c r="AVX14" s="226"/>
      <c r="AVY14" s="226"/>
      <c r="AVZ14" s="82"/>
      <c r="AWA14" s="82"/>
      <c r="AWB14" s="227" t="s">
        <v>18</v>
      </c>
      <c r="AWC14" s="227"/>
      <c r="AWD14" s="227"/>
      <c r="AWE14" s="227"/>
      <c r="AWF14" s="102"/>
      <c r="AWG14" s="102"/>
      <c r="AWH14" s="226" t="s">
        <v>19</v>
      </c>
      <c r="AWI14" s="226"/>
      <c r="AWJ14" s="226"/>
      <c r="AWK14" s="226"/>
      <c r="AWL14" s="82"/>
      <c r="AWM14" s="82"/>
      <c r="AWN14" s="227" t="s">
        <v>20</v>
      </c>
      <c r="AWO14" s="227"/>
      <c r="AWP14" s="227"/>
      <c r="AWQ14" s="227"/>
      <c r="AWR14" s="102"/>
      <c r="AWS14" s="102"/>
      <c r="AWT14" s="226" t="s">
        <v>21</v>
      </c>
      <c r="AWU14" s="226"/>
      <c r="AWV14" s="226"/>
      <c r="AWW14" s="226"/>
      <c r="AWX14" s="82"/>
      <c r="AWY14" s="82"/>
      <c r="AWZ14" s="227" t="s">
        <v>22</v>
      </c>
      <c r="AXA14" s="227"/>
      <c r="AXB14" s="227"/>
      <c r="AXC14" s="227"/>
      <c r="AXD14" s="102"/>
      <c r="AXE14" s="102"/>
      <c r="AXF14" s="226" t="s">
        <v>23</v>
      </c>
      <c r="AXG14" s="226"/>
      <c r="AXH14" s="226"/>
      <c r="AXI14" s="226"/>
      <c r="AXJ14" s="82"/>
      <c r="AXK14" s="82"/>
      <c r="AXL14" s="227" t="s">
        <v>24</v>
      </c>
      <c r="AXM14" s="227"/>
      <c r="AXN14" s="227"/>
      <c r="AXO14" s="227"/>
      <c r="AXP14" s="102"/>
      <c r="AXQ14" s="102"/>
      <c r="AXR14" s="226" t="s">
        <v>25</v>
      </c>
      <c r="AXS14" s="226"/>
      <c r="AXT14" s="226"/>
      <c r="AXU14" s="226"/>
      <c r="AXV14" s="82"/>
      <c r="AXW14" s="82"/>
      <c r="AXX14" s="82"/>
      <c r="AXY14" s="83"/>
      <c r="AXZ14" s="81"/>
      <c r="AYA14" s="82"/>
      <c r="AYB14" s="82"/>
      <c r="AYC14" s="82"/>
      <c r="AYD14" s="226" t="s">
        <v>17</v>
      </c>
      <c r="AYE14" s="226"/>
      <c r="AYF14" s="226"/>
      <c r="AYG14" s="226"/>
      <c r="AYH14" s="82"/>
      <c r="AYI14" s="82"/>
      <c r="AYJ14" s="227" t="s">
        <v>18</v>
      </c>
      <c r="AYK14" s="227"/>
      <c r="AYL14" s="227"/>
      <c r="AYM14" s="227"/>
      <c r="AYN14" s="102"/>
      <c r="AYO14" s="102"/>
      <c r="AYP14" s="226" t="s">
        <v>19</v>
      </c>
      <c r="AYQ14" s="226"/>
      <c r="AYR14" s="226"/>
      <c r="AYS14" s="226"/>
      <c r="AYT14" s="82"/>
      <c r="AYU14" s="82"/>
      <c r="AYV14" s="227" t="s">
        <v>20</v>
      </c>
      <c r="AYW14" s="227"/>
      <c r="AYX14" s="227"/>
      <c r="AYY14" s="227"/>
      <c r="AYZ14" s="102"/>
      <c r="AZA14" s="102"/>
      <c r="AZB14" s="226" t="s">
        <v>21</v>
      </c>
      <c r="AZC14" s="226"/>
      <c r="AZD14" s="226"/>
      <c r="AZE14" s="226"/>
      <c r="AZF14" s="82"/>
      <c r="AZG14" s="82"/>
      <c r="AZH14" s="227" t="s">
        <v>22</v>
      </c>
      <c r="AZI14" s="227"/>
      <c r="AZJ14" s="227"/>
      <c r="AZK14" s="227"/>
      <c r="AZL14" s="102"/>
      <c r="AZM14" s="102"/>
      <c r="AZN14" s="226" t="s">
        <v>23</v>
      </c>
      <c r="AZO14" s="226"/>
      <c r="AZP14" s="226"/>
      <c r="AZQ14" s="226"/>
      <c r="AZR14" s="82"/>
      <c r="AZS14" s="82"/>
      <c r="AZT14" s="227" t="s">
        <v>24</v>
      </c>
      <c r="AZU14" s="227"/>
      <c r="AZV14" s="227"/>
      <c r="AZW14" s="227"/>
      <c r="AZX14" s="102"/>
      <c r="AZY14" s="102"/>
      <c r="AZZ14" s="226" t="s">
        <v>25</v>
      </c>
      <c r="BAA14" s="226"/>
      <c r="BAB14" s="226"/>
      <c r="BAC14" s="226"/>
      <c r="BAD14" s="82"/>
      <c r="BAE14" s="82"/>
      <c r="BAF14" s="82"/>
      <c r="BAG14" s="83"/>
      <c r="BAH14" s="81"/>
      <c r="BAI14" s="82"/>
      <c r="BAJ14" s="82"/>
      <c r="BAK14" s="82"/>
      <c r="BAL14" s="226" t="s">
        <v>17</v>
      </c>
      <c r="BAM14" s="226"/>
      <c r="BAN14" s="226"/>
      <c r="BAO14" s="226"/>
      <c r="BAP14" s="82"/>
      <c r="BAQ14" s="82"/>
      <c r="BAR14" s="227" t="s">
        <v>18</v>
      </c>
      <c r="BAS14" s="227"/>
      <c r="BAT14" s="227"/>
      <c r="BAU14" s="227"/>
      <c r="BAV14" s="102"/>
      <c r="BAW14" s="102"/>
      <c r="BAX14" s="226" t="s">
        <v>19</v>
      </c>
      <c r="BAY14" s="226"/>
      <c r="BAZ14" s="226"/>
      <c r="BBA14" s="226"/>
      <c r="BBB14" s="82"/>
      <c r="BBC14" s="82"/>
      <c r="BBD14" s="227" t="s">
        <v>20</v>
      </c>
      <c r="BBE14" s="227"/>
      <c r="BBF14" s="227"/>
      <c r="BBG14" s="227"/>
      <c r="BBH14" s="102"/>
      <c r="BBI14" s="102"/>
      <c r="BBJ14" s="226" t="s">
        <v>21</v>
      </c>
      <c r="BBK14" s="226"/>
      <c r="BBL14" s="226"/>
      <c r="BBM14" s="226"/>
      <c r="BBN14" s="82"/>
      <c r="BBO14" s="82"/>
      <c r="BBP14" s="227" t="s">
        <v>22</v>
      </c>
      <c r="BBQ14" s="227"/>
      <c r="BBR14" s="227"/>
      <c r="BBS14" s="227"/>
      <c r="BBT14" s="102"/>
      <c r="BBU14" s="102"/>
      <c r="BBV14" s="226" t="s">
        <v>23</v>
      </c>
      <c r="BBW14" s="226"/>
      <c r="BBX14" s="226"/>
      <c r="BBY14" s="226"/>
      <c r="BBZ14" s="82"/>
      <c r="BCA14" s="82"/>
      <c r="BCB14" s="227" t="s">
        <v>24</v>
      </c>
      <c r="BCC14" s="227"/>
      <c r="BCD14" s="227"/>
      <c r="BCE14" s="227"/>
      <c r="BCF14" s="102"/>
      <c r="BCG14" s="102"/>
      <c r="BCH14" s="226" t="s">
        <v>25</v>
      </c>
      <c r="BCI14" s="226"/>
      <c r="BCJ14" s="226"/>
      <c r="BCK14" s="226"/>
      <c r="BCL14" s="82"/>
      <c r="BCM14" s="82"/>
      <c r="BCN14" s="82"/>
      <c r="BCO14" s="83"/>
      <c r="BCP14" s="81"/>
      <c r="BCQ14" s="82"/>
      <c r="BCR14" s="82"/>
      <c r="BCS14" s="82"/>
      <c r="BCT14" s="226" t="s">
        <v>17</v>
      </c>
      <c r="BCU14" s="226"/>
      <c r="BCV14" s="226"/>
      <c r="BCW14" s="226"/>
      <c r="BCX14" s="82"/>
      <c r="BCY14" s="82"/>
      <c r="BCZ14" s="227" t="s">
        <v>18</v>
      </c>
      <c r="BDA14" s="227"/>
      <c r="BDB14" s="227"/>
      <c r="BDC14" s="227"/>
      <c r="BDD14" s="102"/>
      <c r="BDE14" s="102"/>
      <c r="BDF14" s="226" t="s">
        <v>19</v>
      </c>
      <c r="BDG14" s="226"/>
      <c r="BDH14" s="226"/>
      <c r="BDI14" s="226"/>
      <c r="BDJ14" s="82"/>
      <c r="BDK14" s="82"/>
      <c r="BDL14" s="227" t="s">
        <v>20</v>
      </c>
      <c r="BDM14" s="227"/>
      <c r="BDN14" s="227"/>
      <c r="BDO14" s="227"/>
      <c r="BDP14" s="102"/>
      <c r="BDQ14" s="102"/>
      <c r="BDR14" s="226" t="s">
        <v>21</v>
      </c>
      <c r="BDS14" s="226"/>
      <c r="BDT14" s="226"/>
      <c r="BDU14" s="226"/>
      <c r="BDV14" s="82"/>
      <c r="BDW14" s="82"/>
      <c r="BDX14" s="227" t="s">
        <v>22</v>
      </c>
      <c r="BDY14" s="227"/>
      <c r="BDZ14" s="227"/>
      <c r="BEA14" s="227"/>
      <c r="BEB14" s="102"/>
      <c r="BEC14" s="102"/>
      <c r="BED14" s="226" t="s">
        <v>23</v>
      </c>
      <c r="BEE14" s="226"/>
      <c r="BEF14" s="226"/>
      <c r="BEG14" s="226"/>
      <c r="BEH14" s="82"/>
      <c r="BEI14" s="82"/>
      <c r="BEJ14" s="227" t="s">
        <v>24</v>
      </c>
      <c r="BEK14" s="227"/>
      <c r="BEL14" s="227"/>
      <c r="BEM14" s="227"/>
      <c r="BEN14" s="102"/>
      <c r="BEO14" s="102"/>
      <c r="BEP14" s="226" t="s">
        <v>25</v>
      </c>
      <c r="BEQ14" s="226"/>
      <c r="BER14" s="226"/>
      <c r="BES14" s="226"/>
      <c r="BET14" s="82"/>
      <c r="BEU14" s="82"/>
      <c r="BEV14" s="82"/>
      <c r="BEW14" s="83"/>
      <c r="BEX14" s="81"/>
      <c r="BEY14" s="82"/>
      <c r="BEZ14" s="82"/>
      <c r="BFA14" s="82"/>
      <c r="BFB14" s="226" t="s">
        <v>17</v>
      </c>
      <c r="BFC14" s="226"/>
      <c r="BFD14" s="226"/>
      <c r="BFE14" s="226"/>
      <c r="BFF14" s="82"/>
      <c r="BFG14" s="82"/>
      <c r="BFH14" s="227" t="s">
        <v>18</v>
      </c>
      <c r="BFI14" s="227"/>
      <c r="BFJ14" s="227"/>
      <c r="BFK14" s="227"/>
      <c r="BFL14" s="102"/>
      <c r="BFM14" s="102"/>
      <c r="BFN14" s="226" t="s">
        <v>19</v>
      </c>
      <c r="BFO14" s="226"/>
      <c r="BFP14" s="226"/>
      <c r="BFQ14" s="226"/>
      <c r="BFR14" s="82"/>
      <c r="BFS14" s="82"/>
      <c r="BFT14" s="227" t="s">
        <v>20</v>
      </c>
      <c r="BFU14" s="227"/>
      <c r="BFV14" s="227"/>
      <c r="BFW14" s="227"/>
      <c r="BFX14" s="102"/>
      <c r="BFY14" s="102"/>
      <c r="BFZ14" s="226" t="s">
        <v>21</v>
      </c>
      <c r="BGA14" s="226"/>
      <c r="BGB14" s="226"/>
      <c r="BGC14" s="226"/>
      <c r="BGD14" s="82"/>
      <c r="BGE14" s="82"/>
      <c r="BGF14" s="227" t="s">
        <v>22</v>
      </c>
      <c r="BGG14" s="227"/>
      <c r="BGH14" s="227"/>
      <c r="BGI14" s="227"/>
      <c r="BGJ14" s="102"/>
      <c r="BGK14" s="102"/>
      <c r="BGL14" s="226" t="s">
        <v>23</v>
      </c>
      <c r="BGM14" s="226"/>
      <c r="BGN14" s="226"/>
      <c r="BGO14" s="226"/>
      <c r="BGP14" s="82"/>
      <c r="BGQ14" s="82"/>
      <c r="BGR14" s="227" t="s">
        <v>24</v>
      </c>
      <c r="BGS14" s="227"/>
      <c r="BGT14" s="227"/>
      <c r="BGU14" s="227"/>
      <c r="BGV14" s="102"/>
      <c r="BGW14" s="102"/>
      <c r="BGX14" s="226" t="s">
        <v>25</v>
      </c>
      <c r="BGY14" s="226"/>
      <c r="BGZ14" s="226"/>
      <c r="BHA14" s="226"/>
      <c r="BHB14" s="82"/>
      <c r="BHC14" s="82"/>
      <c r="BHD14" s="82"/>
      <c r="BHE14" s="83"/>
      <c r="BHF14" s="81"/>
      <c r="BHG14" s="82"/>
      <c r="BHH14" s="82"/>
      <c r="BHI14" s="82"/>
      <c r="BHJ14" s="226" t="s">
        <v>17</v>
      </c>
      <c r="BHK14" s="226"/>
      <c r="BHL14" s="226"/>
      <c r="BHM14" s="226"/>
      <c r="BHN14" s="82"/>
      <c r="BHO14" s="82"/>
      <c r="BHP14" s="227" t="s">
        <v>18</v>
      </c>
      <c r="BHQ14" s="227"/>
      <c r="BHR14" s="227"/>
      <c r="BHS14" s="227"/>
      <c r="BHT14" s="102"/>
      <c r="BHU14" s="102"/>
      <c r="BHV14" s="226" t="s">
        <v>19</v>
      </c>
      <c r="BHW14" s="226"/>
      <c r="BHX14" s="226"/>
      <c r="BHY14" s="226"/>
      <c r="BHZ14" s="82"/>
      <c r="BIA14" s="82"/>
      <c r="BIB14" s="227" t="s">
        <v>20</v>
      </c>
      <c r="BIC14" s="227"/>
      <c r="BID14" s="227"/>
      <c r="BIE14" s="227"/>
      <c r="BIF14" s="102"/>
      <c r="BIG14" s="102"/>
      <c r="BIH14" s="226" t="s">
        <v>21</v>
      </c>
      <c r="BII14" s="226"/>
      <c r="BIJ14" s="226"/>
      <c r="BIK14" s="226"/>
      <c r="BIL14" s="82"/>
      <c r="BIM14" s="82"/>
      <c r="BIN14" s="227" t="s">
        <v>22</v>
      </c>
      <c r="BIO14" s="227"/>
      <c r="BIP14" s="227"/>
      <c r="BIQ14" s="227"/>
      <c r="BIR14" s="102"/>
      <c r="BIS14" s="102"/>
      <c r="BIT14" s="226" t="s">
        <v>23</v>
      </c>
      <c r="BIU14" s="226"/>
      <c r="BIV14" s="226"/>
      <c r="BIW14" s="226"/>
      <c r="BIX14" s="82"/>
      <c r="BIY14" s="82"/>
      <c r="BIZ14" s="227" t="s">
        <v>24</v>
      </c>
      <c r="BJA14" s="227"/>
      <c r="BJB14" s="227"/>
      <c r="BJC14" s="227"/>
      <c r="BJD14" s="102"/>
      <c r="BJE14" s="102"/>
      <c r="BJF14" s="226" t="s">
        <v>25</v>
      </c>
      <c r="BJG14" s="226"/>
      <c r="BJH14" s="226"/>
      <c r="BJI14" s="226"/>
      <c r="BJJ14" s="82"/>
      <c r="BJK14" s="82"/>
      <c r="BJL14" s="82"/>
      <c r="BJM14" s="83"/>
      <c r="BJN14" s="81"/>
      <c r="BJO14" s="82"/>
      <c r="BJP14" s="82"/>
      <c r="BJQ14" s="82"/>
      <c r="BJR14" s="226" t="s">
        <v>17</v>
      </c>
      <c r="BJS14" s="226"/>
      <c r="BJT14" s="226"/>
      <c r="BJU14" s="226"/>
      <c r="BJV14" s="82"/>
      <c r="BJW14" s="82"/>
      <c r="BJX14" s="227" t="s">
        <v>18</v>
      </c>
      <c r="BJY14" s="227"/>
      <c r="BJZ14" s="227"/>
      <c r="BKA14" s="227"/>
      <c r="BKB14" s="102"/>
      <c r="BKC14" s="102"/>
      <c r="BKD14" s="226" t="s">
        <v>19</v>
      </c>
      <c r="BKE14" s="226"/>
      <c r="BKF14" s="226"/>
      <c r="BKG14" s="226"/>
      <c r="BKH14" s="82"/>
      <c r="BKI14" s="82"/>
      <c r="BKJ14" s="227" t="s">
        <v>20</v>
      </c>
      <c r="BKK14" s="227"/>
      <c r="BKL14" s="227"/>
      <c r="BKM14" s="227"/>
      <c r="BKN14" s="102"/>
      <c r="BKO14" s="102"/>
      <c r="BKP14" s="226" t="s">
        <v>21</v>
      </c>
      <c r="BKQ14" s="226"/>
      <c r="BKR14" s="226"/>
      <c r="BKS14" s="226"/>
      <c r="BKT14" s="82"/>
      <c r="BKU14" s="82"/>
      <c r="BKV14" s="227" t="s">
        <v>22</v>
      </c>
      <c r="BKW14" s="227"/>
      <c r="BKX14" s="227"/>
      <c r="BKY14" s="227"/>
      <c r="BKZ14" s="102"/>
      <c r="BLA14" s="102"/>
      <c r="BLB14" s="226" t="s">
        <v>23</v>
      </c>
      <c r="BLC14" s="226"/>
      <c r="BLD14" s="226"/>
      <c r="BLE14" s="226"/>
      <c r="BLF14" s="82"/>
      <c r="BLG14" s="82"/>
      <c r="BLH14" s="227" t="s">
        <v>24</v>
      </c>
      <c r="BLI14" s="227"/>
      <c r="BLJ14" s="227"/>
      <c r="BLK14" s="227"/>
      <c r="BLL14" s="102"/>
      <c r="BLM14" s="102"/>
      <c r="BLN14" s="226" t="s">
        <v>25</v>
      </c>
      <c r="BLO14" s="226"/>
      <c r="BLP14" s="226"/>
      <c r="BLQ14" s="226"/>
      <c r="BLR14" s="82"/>
      <c r="BLS14" s="82"/>
      <c r="BLT14" s="82"/>
      <c r="BLU14" s="83"/>
      <c r="BLV14" s="81"/>
      <c r="BLW14" s="82"/>
      <c r="BLX14" s="82"/>
      <c r="BLY14" s="82"/>
      <c r="BLZ14" s="226" t="s">
        <v>17</v>
      </c>
      <c r="BMA14" s="226"/>
      <c r="BMB14" s="226"/>
      <c r="BMC14" s="226"/>
      <c r="BMD14" s="82"/>
      <c r="BME14" s="82"/>
      <c r="BMF14" s="227" t="s">
        <v>18</v>
      </c>
      <c r="BMG14" s="227"/>
      <c r="BMH14" s="227"/>
      <c r="BMI14" s="227"/>
      <c r="BMJ14" s="102"/>
      <c r="BMK14" s="102"/>
      <c r="BML14" s="226" t="s">
        <v>19</v>
      </c>
      <c r="BMM14" s="226"/>
      <c r="BMN14" s="226"/>
      <c r="BMO14" s="226"/>
      <c r="BMP14" s="82"/>
      <c r="BMQ14" s="82"/>
      <c r="BMR14" s="227" t="s">
        <v>20</v>
      </c>
      <c r="BMS14" s="227"/>
      <c r="BMT14" s="227"/>
      <c r="BMU14" s="227"/>
      <c r="BMV14" s="102"/>
      <c r="BMW14" s="102"/>
      <c r="BMX14" s="226" t="s">
        <v>21</v>
      </c>
      <c r="BMY14" s="226"/>
      <c r="BMZ14" s="226"/>
      <c r="BNA14" s="226"/>
      <c r="BNB14" s="82"/>
      <c r="BNC14" s="82"/>
      <c r="BND14" s="227" t="s">
        <v>22</v>
      </c>
      <c r="BNE14" s="227"/>
      <c r="BNF14" s="227"/>
      <c r="BNG14" s="227"/>
      <c r="BNH14" s="102"/>
      <c r="BNI14" s="102"/>
      <c r="BNJ14" s="226" t="s">
        <v>23</v>
      </c>
      <c r="BNK14" s="226"/>
      <c r="BNL14" s="226"/>
      <c r="BNM14" s="226"/>
      <c r="BNN14" s="82"/>
      <c r="BNO14" s="82"/>
      <c r="BNP14" s="227" t="s">
        <v>24</v>
      </c>
      <c r="BNQ14" s="227"/>
      <c r="BNR14" s="227"/>
      <c r="BNS14" s="227"/>
      <c r="BNT14" s="102"/>
      <c r="BNU14" s="102"/>
      <c r="BNV14" s="226" t="s">
        <v>25</v>
      </c>
      <c r="BNW14" s="226"/>
      <c r="BNX14" s="226"/>
      <c r="BNY14" s="226"/>
      <c r="BNZ14" s="82"/>
      <c r="BOA14" s="82"/>
      <c r="BOB14" s="82"/>
      <c r="BOC14" s="83"/>
      <c r="BOD14" s="81"/>
      <c r="BOE14" s="82"/>
      <c r="BOF14" s="82"/>
      <c r="BOG14" s="82"/>
      <c r="BOH14" s="226" t="s">
        <v>17</v>
      </c>
      <c r="BOI14" s="226"/>
      <c r="BOJ14" s="226"/>
      <c r="BOK14" s="226"/>
      <c r="BOL14" s="82"/>
      <c r="BOM14" s="82"/>
      <c r="BON14" s="227" t="s">
        <v>18</v>
      </c>
      <c r="BOO14" s="227"/>
      <c r="BOP14" s="227"/>
      <c r="BOQ14" s="227"/>
      <c r="BOR14" s="102"/>
      <c r="BOS14" s="102"/>
      <c r="BOT14" s="226" t="s">
        <v>19</v>
      </c>
      <c r="BOU14" s="226"/>
      <c r="BOV14" s="226"/>
      <c r="BOW14" s="226"/>
      <c r="BOX14" s="82"/>
      <c r="BOY14" s="82"/>
      <c r="BOZ14" s="227" t="s">
        <v>20</v>
      </c>
      <c r="BPA14" s="227"/>
      <c r="BPB14" s="227"/>
      <c r="BPC14" s="227"/>
      <c r="BPD14" s="102"/>
      <c r="BPE14" s="102"/>
      <c r="BPF14" s="226" t="s">
        <v>21</v>
      </c>
      <c r="BPG14" s="226"/>
      <c r="BPH14" s="226"/>
      <c r="BPI14" s="226"/>
      <c r="BPJ14" s="82"/>
      <c r="BPK14" s="82"/>
      <c r="BPL14" s="227" t="s">
        <v>22</v>
      </c>
      <c r="BPM14" s="227"/>
      <c r="BPN14" s="227"/>
      <c r="BPO14" s="227"/>
      <c r="BPP14" s="102"/>
      <c r="BPQ14" s="102"/>
      <c r="BPR14" s="226" t="s">
        <v>23</v>
      </c>
      <c r="BPS14" s="226"/>
      <c r="BPT14" s="226"/>
      <c r="BPU14" s="226"/>
      <c r="BPV14" s="82"/>
      <c r="BPW14" s="82"/>
      <c r="BPX14" s="227" t="s">
        <v>24</v>
      </c>
      <c r="BPY14" s="227"/>
      <c r="BPZ14" s="227"/>
      <c r="BQA14" s="227"/>
      <c r="BQB14" s="102"/>
      <c r="BQC14" s="102"/>
      <c r="BQD14" s="226" t="s">
        <v>25</v>
      </c>
      <c r="BQE14" s="226"/>
      <c r="BQF14" s="226"/>
      <c r="BQG14" s="226"/>
      <c r="BQH14" s="82"/>
      <c r="BQI14" s="82"/>
      <c r="BQJ14" s="82"/>
      <c r="BQK14" s="83"/>
      <c r="BQL14" s="81"/>
      <c r="BQM14" s="82"/>
      <c r="BQN14" s="82"/>
      <c r="BQO14" s="82"/>
      <c r="BQP14" s="226" t="s">
        <v>17</v>
      </c>
      <c r="BQQ14" s="226"/>
      <c r="BQR14" s="226"/>
      <c r="BQS14" s="226"/>
      <c r="BQT14" s="82"/>
      <c r="BQU14" s="82"/>
      <c r="BQV14" s="227" t="s">
        <v>18</v>
      </c>
      <c r="BQW14" s="227"/>
      <c r="BQX14" s="227"/>
      <c r="BQY14" s="227"/>
      <c r="BQZ14" s="102"/>
      <c r="BRA14" s="102"/>
      <c r="BRB14" s="226" t="s">
        <v>19</v>
      </c>
      <c r="BRC14" s="226"/>
      <c r="BRD14" s="226"/>
      <c r="BRE14" s="226"/>
      <c r="BRF14" s="82"/>
      <c r="BRG14" s="82"/>
      <c r="BRH14" s="227" t="s">
        <v>20</v>
      </c>
      <c r="BRI14" s="227"/>
      <c r="BRJ14" s="227"/>
      <c r="BRK14" s="227"/>
      <c r="BRL14" s="102"/>
      <c r="BRM14" s="102"/>
      <c r="BRN14" s="226" t="s">
        <v>21</v>
      </c>
      <c r="BRO14" s="226"/>
      <c r="BRP14" s="226"/>
      <c r="BRQ14" s="226"/>
      <c r="BRR14" s="82"/>
      <c r="BRS14" s="82"/>
      <c r="BRT14" s="227" t="s">
        <v>22</v>
      </c>
      <c r="BRU14" s="227"/>
      <c r="BRV14" s="227"/>
      <c r="BRW14" s="227"/>
      <c r="BRX14" s="102"/>
      <c r="BRY14" s="102"/>
      <c r="BRZ14" s="226" t="s">
        <v>23</v>
      </c>
      <c r="BSA14" s="226"/>
      <c r="BSB14" s="226"/>
      <c r="BSC14" s="226"/>
      <c r="BSD14" s="82"/>
      <c r="BSE14" s="82"/>
      <c r="BSF14" s="227" t="s">
        <v>24</v>
      </c>
      <c r="BSG14" s="227"/>
      <c r="BSH14" s="227"/>
      <c r="BSI14" s="227"/>
      <c r="BSJ14" s="102"/>
      <c r="BSK14" s="102"/>
      <c r="BSL14" s="226" t="s">
        <v>25</v>
      </c>
      <c r="BSM14" s="226"/>
      <c r="BSN14" s="226"/>
      <c r="BSO14" s="226"/>
      <c r="BSP14" s="82"/>
      <c r="BSQ14" s="82"/>
      <c r="BSR14" s="82"/>
      <c r="BSS14" s="83"/>
      <c r="BST14" s="73"/>
    </row>
    <row r="15" spans="1:1866" ht="20.100000000000001" customHeight="1" x14ac:dyDescent="0.25">
      <c r="A15" s="78" t="s">
        <v>26</v>
      </c>
      <c r="B15" s="51" t="str">
        <f>IF(LEN(C15)=0,"",C15)</f>
        <v xml:space="preserve">Absences - imprévus </v>
      </c>
      <c r="C15" s="233"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30"/>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9"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30"/>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9"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30"/>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9"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4"/>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9"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3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9"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30"/>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9"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30"/>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9"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30"/>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9"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4"/>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9"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4"/>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9"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4"/>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9"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30"/>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9"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30"/>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9"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30"/>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9" t="s">
        <v>164</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4"/>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9"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30"/>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9" t="s">
        <v>165</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30"/>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9"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4"/>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9"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4"/>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9"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0"/>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9"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30"/>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9"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9" t="s">
        <v>204</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4"/>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9"/>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9"/>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9"/>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9"/>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9"/>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9"/>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9"/>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9"/>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9"/>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9"/>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9"/>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9"/>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9"/>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9"/>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9"/>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9"/>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9"/>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50" t="s">
        <v>34</v>
      </c>
      <c r="D95" s="251"/>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52"/>
      <c r="D96" s="253"/>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6" t="s">
        <v>35</v>
      </c>
      <c r="D97" s="247"/>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8"/>
      <c r="D98" s="249"/>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x14ac:dyDescent="0.3">
      <c r="B198" s="44" t="s">
        <v>204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x14ac:dyDescent="0.3">
      <c r="B234" s="44" t="s">
        <v>204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204</v>
      </c>
      <c r="C245" s="45">
        <v>20</v>
      </c>
      <c r="D245" s="126" t="str">
        <f t="shared" ref="D245:D251" si="34" xml:space="preserve"> IF(C245="","",setValueToTime(C245))</f>
        <v>1h 40 min</v>
      </c>
      <c r="E245" t="s">
        <v>90</v>
      </c>
      <c r="F245" s="254"/>
      <c r="G245" s="255"/>
      <c r="H245" s="152"/>
    </row>
    <row r="246" spans="2:8" s="43" customFormat="1" ht="27" x14ac:dyDescent="0.3">
      <c r="B246" s="44" t="s">
        <v>164</v>
      </c>
      <c r="C246" s="45">
        <v>15</v>
      </c>
      <c r="D246" s="126" t="str">
        <f t="shared" si="34"/>
        <v>1h 15 min</v>
      </c>
      <c r="E246" t="s">
        <v>91</v>
      </c>
      <c r="F246" s="254"/>
      <c r="G246" s="255"/>
      <c r="H246" s="152"/>
    </row>
    <row r="247" spans="2:8" s="43" customFormat="1" x14ac:dyDescent="0.3">
      <c r="B247" s="44" t="s">
        <v>165</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53" priority="31" operator="greaterThan">
      <formula>60</formula>
    </cfRule>
  </conditionalFormatting>
  <conditionalFormatting sqref="C360">
    <cfRule type="cellIs" dxfId="52" priority="30" operator="greaterThan">
      <formula>60</formula>
    </cfRule>
  </conditionalFormatting>
  <conditionalFormatting sqref="C348">
    <cfRule type="cellIs" dxfId="51" priority="29" operator="greaterThan">
      <formula>60</formula>
    </cfRule>
  </conditionalFormatting>
  <conditionalFormatting sqref="C336">
    <cfRule type="cellIs" dxfId="50" priority="28" operator="greaterThan">
      <formula>60</formula>
    </cfRule>
  </conditionalFormatting>
  <conditionalFormatting sqref="C324">
    <cfRule type="cellIs" dxfId="49" priority="27" operator="greaterThan">
      <formula>60</formula>
    </cfRule>
  </conditionalFormatting>
  <conditionalFormatting sqref="C312">
    <cfRule type="cellIs" dxfId="48" priority="26" operator="greaterThan">
      <formula>60</formula>
    </cfRule>
  </conditionalFormatting>
  <conditionalFormatting sqref="C300">
    <cfRule type="cellIs" dxfId="47" priority="25" operator="greaterThan">
      <formula>60</formula>
    </cfRule>
  </conditionalFormatting>
  <conditionalFormatting sqref="C288">
    <cfRule type="cellIs" dxfId="46" priority="24" operator="greaterThan">
      <formula>60</formula>
    </cfRule>
  </conditionalFormatting>
  <conditionalFormatting sqref="C276">
    <cfRule type="cellIs" dxfId="45" priority="23" operator="greaterThan">
      <formula>60</formula>
    </cfRule>
  </conditionalFormatting>
  <conditionalFormatting sqref="C264">
    <cfRule type="cellIs" dxfId="44" priority="22" operator="greaterThan">
      <formula>60</formula>
    </cfRule>
  </conditionalFormatting>
  <conditionalFormatting sqref="C252">
    <cfRule type="cellIs" dxfId="43" priority="21" operator="greaterThan">
      <formula>60</formula>
    </cfRule>
  </conditionalFormatting>
  <conditionalFormatting sqref="C240">
    <cfRule type="cellIs" dxfId="42" priority="20" operator="greaterThan">
      <formula>60</formula>
    </cfRule>
  </conditionalFormatting>
  <conditionalFormatting sqref="C228">
    <cfRule type="cellIs" dxfId="41" priority="19" operator="greaterThan">
      <formula>60</formula>
    </cfRule>
  </conditionalFormatting>
  <conditionalFormatting sqref="C216">
    <cfRule type="cellIs" dxfId="40" priority="18" operator="greaterThan">
      <formula>60</formula>
    </cfRule>
  </conditionalFormatting>
  <conditionalFormatting sqref="C204">
    <cfRule type="cellIs" dxfId="39" priority="17" operator="greaterThan">
      <formula>60</formula>
    </cfRule>
  </conditionalFormatting>
  <conditionalFormatting sqref="C192">
    <cfRule type="cellIs" dxfId="38" priority="16" operator="greaterThan">
      <formula>60</formula>
    </cfRule>
  </conditionalFormatting>
  <conditionalFormatting sqref="C180">
    <cfRule type="cellIs" dxfId="37" priority="15" operator="greaterThan">
      <formula>60</formula>
    </cfRule>
  </conditionalFormatting>
  <conditionalFormatting sqref="C168">
    <cfRule type="cellIs" dxfId="36" priority="14" operator="greaterThan">
      <formula>60</formula>
    </cfRule>
  </conditionalFormatting>
  <conditionalFormatting sqref="C156">
    <cfRule type="cellIs" dxfId="35" priority="13" operator="greaterThan">
      <formula>60</formula>
    </cfRule>
  </conditionalFormatting>
  <conditionalFormatting sqref="C144">
    <cfRule type="cellIs" dxfId="34" priority="12" operator="greaterThan">
      <formula>60</formula>
    </cfRule>
  </conditionalFormatting>
  <conditionalFormatting sqref="C132">
    <cfRule type="cellIs" dxfId="33" priority="11" operator="greaterThan">
      <formula>60</formula>
    </cfRule>
  </conditionalFormatting>
  <conditionalFormatting sqref="C120">
    <cfRule type="cellIs" dxfId="32" priority="10" operator="greaterThan">
      <formula>60</formula>
    </cfRule>
  </conditionalFormatting>
  <conditionalFormatting sqref="C108">
    <cfRule type="cellIs" dxfId="31" priority="9" operator="greaterThan">
      <formula>60</formula>
    </cfRule>
  </conditionalFormatting>
  <conditionalFormatting sqref="C96">
    <cfRule type="cellIs" dxfId="30" priority="8" operator="greaterThan">
      <formula>60</formula>
    </cfRule>
  </conditionalFormatting>
  <conditionalFormatting sqref="C84">
    <cfRule type="cellIs" dxfId="29" priority="7" operator="greaterThan">
      <formula>60</formula>
    </cfRule>
  </conditionalFormatting>
  <conditionalFormatting sqref="C72">
    <cfRule type="cellIs" dxfId="28" priority="6" operator="greaterThan">
      <formula>60</formula>
    </cfRule>
  </conditionalFormatting>
  <conditionalFormatting sqref="C60">
    <cfRule type="cellIs" dxfId="27" priority="5" operator="greaterThan">
      <formula>60</formula>
    </cfRule>
  </conditionalFormatting>
  <conditionalFormatting sqref="C48">
    <cfRule type="cellIs" dxfId="26" priority="4" operator="greaterThan">
      <formula>60</formula>
    </cfRule>
  </conditionalFormatting>
  <conditionalFormatting sqref="C36">
    <cfRule type="cellIs" dxfId="25" priority="3" operator="greaterThan">
      <formula>60</formula>
    </cfRule>
  </conditionalFormatting>
  <conditionalFormatting sqref="C24">
    <cfRule type="cellIs" dxfId="24" priority="2" operator="greaterThan">
      <formula>60</formula>
    </cfRule>
  </conditionalFormatting>
  <conditionalFormatting sqref="C12">
    <cfRule type="cellIs" dxfId="2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53"/>
  <sheetViews>
    <sheetView showGridLines="0" tabSelected="1" zoomScale="115" zoomScaleNormal="115" zoomScaleSheetLayoutView="98" workbookViewId="0">
      <pane ySplit="1" topLeftCell="A2" activePane="bottomLeft" state="frozen"/>
      <selection pane="bottomLeft" activeCell="E1" sqref="E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21</v>
      </c>
      <c r="D2" s="137"/>
      <c r="E2" s="130" t="s">
        <v>37</v>
      </c>
      <c r="F2" s="131" t="s">
        <v>133</v>
      </c>
      <c r="G2" s="132" t="s">
        <v>56</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c r="D4" s="125" t="str">
        <f xml:space="preserve"> IF(C4="","",setValueToTime(C4))</f>
        <v/>
      </c>
      <c r="E4" s="42"/>
      <c r="F4" s="262"/>
      <c r="G4" s="263"/>
      <c r="H4" s="152"/>
    </row>
    <row r="5" spans="2:8" s="43" customFormat="1" x14ac:dyDescent="0.3">
      <c r="B5" s="44" t="s">
        <v>31</v>
      </c>
      <c r="C5" s="45"/>
      <c r="D5" s="126" t="str">
        <f t="shared" ref="D5:D11" si="0" xml:space="preserve"> IF(C5="","",setValueToTime(C5))</f>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0</v>
      </c>
      <c r="D12" s="135" t="str">
        <f xml:space="preserve"> setValueToTime(C12)</f>
        <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20</v>
      </c>
      <c r="D14" s="137"/>
      <c r="E14" s="130" t="s">
        <v>37</v>
      </c>
      <c r="F14" s="131" t="s">
        <v>136</v>
      </c>
      <c r="G14" s="132" t="s">
        <v>55</v>
      </c>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163</v>
      </c>
      <c r="C16" s="41">
        <v>7</v>
      </c>
      <c r="D16" s="125" t="str">
        <f xml:space="preserve"> IF(C16="","",setValueToTime(C16))</f>
        <v xml:space="preserve"> 35 min</v>
      </c>
      <c r="E16" s="42" t="s">
        <v>245</v>
      </c>
      <c r="F16" s="262"/>
      <c r="G16" s="263"/>
      <c r="H16" s="152"/>
    </row>
    <row r="17" spans="2:8" s="43" customFormat="1" x14ac:dyDescent="0.3">
      <c r="B17" s="44" t="s">
        <v>165</v>
      </c>
      <c r="C17" s="45">
        <v>7</v>
      </c>
      <c r="D17" s="126" t="str">
        <f t="shared" ref="D17:D23" si="1" xml:space="preserve"> IF(C17="","",setValueToTime(C17))</f>
        <v xml:space="preserve"> 35 min</v>
      </c>
      <c r="E17" s="46" t="s">
        <v>244</v>
      </c>
      <c r="F17" s="254"/>
      <c r="G17" s="255"/>
      <c r="H17" s="152"/>
    </row>
    <row r="18" spans="2:8" s="43" customFormat="1" ht="40.5" x14ac:dyDescent="0.3">
      <c r="B18" s="44" t="s">
        <v>167</v>
      </c>
      <c r="C18" s="45">
        <v>20</v>
      </c>
      <c r="D18" s="126" t="str">
        <f t="shared" si="1"/>
        <v>1h 40 min</v>
      </c>
      <c r="E18" s="46" t="s">
        <v>243</v>
      </c>
      <c r="F18" s="254"/>
      <c r="G18" s="255"/>
      <c r="H18" s="152"/>
    </row>
    <row r="19" spans="2:8" s="43" customFormat="1" ht="27" x14ac:dyDescent="0.3">
      <c r="B19" s="44" t="s">
        <v>30</v>
      </c>
      <c r="C19" s="45">
        <v>2</v>
      </c>
      <c r="D19" s="126" t="str">
        <f t="shared" si="1"/>
        <v xml:space="preserve"> 10 min</v>
      </c>
      <c r="E19" s="46"/>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36</v>
      </c>
      <c r="D24" s="135" t="str">
        <f xml:space="preserve"> setValueToTime(C24)</f>
        <v>3h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19</v>
      </c>
      <c r="D26" s="137"/>
      <c r="E26" s="130" t="s">
        <v>37</v>
      </c>
      <c r="F26" s="131" t="s">
        <v>136</v>
      </c>
      <c r="G26" s="132" t="s">
        <v>56</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32</v>
      </c>
      <c r="C28" s="41">
        <v>9</v>
      </c>
      <c r="D28" s="125" t="str">
        <f xml:space="preserve"> IF(C28="","",setValueToTime(C28))</f>
        <v xml:space="preserve"> 45 min</v>
      </c>
      <c r="E28" s="42" t="s">
        <v>241</v>
      </c>
      <c r="F28" s="262"/>
      <c r="G28" s="263"/>
      <c r="H28" s="152"/>
    </row>
    <row r="29" spans="2:8" s="43" customFormat="1" ht="27" x14ac:dyDescent="0.3">
      <c r="B29" s="44" t="s">
        <v>163</v>
      </c>
      <c r="C29" s="45">
        <v>9</v>
      </c>
      <c r="D29" s="126" t="str">
        <f t="shared" ref="D29:D35" si="2" xml:space="preserve"> IF(C29="","",setValueToTime(C29))</f>
        <v xml:space="preserve"> 45 min</v>
      </c>
      <c r="E29" s="46" t="s">
        <v>242</v>
      </c>
      <c r="F29" s="254"/>
      <c r="G29" s="255"/>
      <c r="H29" s="152"/>
    </row>
    <row r="30" spans="2:8" s="43" customFormat="1" ht="27" x14ac:dyDescent="0.3">
      <c r="B30" s="44" t="s">
        <v>30</v>
      </c>
      <c r="C30" s="45">
        <v>3</v>
      </c>
      <c r="D30" s="126" t="str">
        <f t="shared" si="2"/>
        <v xml:space="preserve"> 15 min</v>
      </c>
      <c r="E30" s="46"/>
      <c r="F30" s="254"/>
      <c r="G30" s="255"/>
      <c r="H30" s="152"/>
    </row>
    <row r="31" spans="2:8" s="43" customFormat="1" ht="40.5" x14ac:dyDescent="0.3">
      <c r="B31" s="44" t="s">
        <v>167</v>
      </c>
      <c r="C31" s="45">
        <v>21</v>
      </c>
      <c r="D31" s="126" t="str">
        <f t="shared" si="2"/>
        <v>1h 45 min</v>
      </c>
      <c r="E31" s="46" t="s">
        <v>243</v>
      </c>
      <c r="F31" s="254"/>
      <c r="G31" s="255"/>
      <c r="H31" s="152"/>
    </row>
    <row r="32" spans="2:8" s="43" customFormat="1" x14ac:dyDescent="0.3">
      <c r="B32" s="45"/>
      <c r="C32" s="45"/>
      <c r="D32" s="127" t="str">
        <f t="shared" si="2"/>
        <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42</v>
      </c>
      <c r="D36" s="135" t="str">
        <f xml:space="preserve"> setValueToTime(C36)</f>
        <v>3h 30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18</v>
      </c>
      <c r="D38" s="137"/>
      <c r="E38" s="130" t="s">
        <v>37</v>
      </c>
      <c r="F38" s="131" t="s">
        <v>139</v>
      </c>
      <c r="G38" s="132" t="s">
        <v>55</v>
      </c>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0" t="s">
        <v>30</v>
      </c>
      <c r="C40" s="41">
        <v>2</v>
      </c>
      <c r="D40" s="125" t="str">
        <f xml:space="preserve"> IF(C40="","",setValueToTime(C40))</f>
        <v xml:space="preserve"> 10 min</v>
      </c>
      <c r="E40" s="42"/>
      <c r="F40" s="262"/>
      <c r="G40" s="263"/>
      <c r="H40" s="152"/>
    </row>
    <row r="41" spans="2:8" s="43" customFormat="1" ht="27" x14ac:dyDescent="0.3">
      <c r="B41" s="44" t="s">
        <v>166</v>
      </c>
      <c r="C41" s="45">
        <v>10</v>
      </c>
      <c r="D41" s="126" t="str">
        <f t="shared" ref="D41:D47" si="3" xml:space="preserve"> IF(C41="","",setValueToTime(C41))</f>
        <v xml:space="preserve"> 50 min</v>
      </c>
      <c r="E41" s="46" t="s">
        <v>240</v>
      </c>
      <c r="F41" s="254"/>
      <c r="G41" s="255"/>
      <c r="H41" s="152"/>
    </row>
    <row r="42" spans="2:8" s="43" customFormat="1" ht="27" x14ac:dyDescent="0.3">
      <c r="B42" s="44" t="s">
        <v>163</v>
      </c>
      <c r="C42" s="45">
        <v>30</v>
      </c>
      <c r="D42" s="126" t="str">
        <f t="shared" si="3"/>
        <v>2h 30 min</v>
      </c>
      <c r="E42" s="46" t="s">
        <v>239</v>
      </c>
      <c r="F42" s="254"/>
      <c r="G42" s="255"/>
      <c r="H42" s="152"/>
    </row>
    <row r="43" spans="2:8" s="43" customFormat="1" x14ac:dyDescent="0.3">
      <c r="B43" s="44"/>
      <c r="C43" s="45"/>
      <c r="D43" s="126" t="str">
        <f t="shared" si="3"/>
        <v/>
      </c>
      <c r="E43" s="46"/>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42</v>
      </c>
      <c r="D48" s="135" t="str">
        <f xml:space="preserve"> setValueToTime(C48)</f>
        <v>3h 30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17</v>
      </c>
      <c r="D50" s="137"/>
      <c r="E50" s="130" t="s">
        <v>37</v>
      </c>
      <c r="F50" s="131" t="s">
        <v>139</v>
      </c>
      <c r="G50" s="132" t="s">
        <v>56</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3</v>
      </c>
      <c r="D52" s="125" t="str">
        <f xml:space="preserve"> IF(C52="","",setValueToTime(C52))</f>
        <v xml:space="preserve"> 15 min</v>
      </c>
      <c r="E52" s="42"/>
      <c r="F52" s="262"/>
      <c r="G52" s="263"/>
      <c r="H52" s="152"/>
    </row>
    <row r="53" spans="2:8" s="43" customFormat="1" x14ac:dyDescent="0.3">
      <c r="B53" s="44" t="s">
        <v>109</v>
      </c>
      <c r="C53" s="45">
        <v>6</v>
      </c>
      <c r="D53" s="126" t="str">
        <f t="shared" ref="D53:D59" si="4" xml:space="preserve"> IF(C53="","",setValueToTime(C53))</f>
        <v xml:space="preserve"> 30 min</v>
      </c>
      <c r="E53" s="46" t="s">
        <v>238</v>
      </c>
      <c r="F53" s="254"/>
      <c r="G53" s="255"/>
      <c r="H53" s="152"/>
    </row>
    <row r="54" spans="2:8" s="43" customFormat="1" ht="27" x14ac:dyDescent="0.3">
      <c r="B54" s="44" t="s">
        <v>163</v>
      </c>
      <c r="C54" s="45">
        <v>20</v>
      </c>
      <c r="D54" s="126" t="str">
        <f t="shared" si="4"/>
        <v>1h 40 min</v>
      </c>
      <c r="E54" s="46" t="s">
        <v>237</v>
      </c>
      <c r="F54" s="254"/>
      <c r="G54" s="255"/>
      <c r="H54" s="152"/>
    </row>
    <row r="55" spans="2:8" s="43" customFormat="1" x14ac:dyDescent="0.3">
      <c r="B55" s="44" t="s">
        <v>165</v>
      </c>
      <c r="C55" s="45">
        <v>10</v>
      </c>
      <c r="D55" s="126" t="str">
        <f t="shared" si="4"/>
        <v xml:space="preserve"> 50 min</v>
      </c>
      <c r="E55" t="s">
        <v>236</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39</v>
      </c>
      <c r="D60" s="135" t="str">
        <f xml:space="preserve"> setValueToTime(C60)</f>
        <v>3h 15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16</v>
      </c>
      <c r="D62" s="137"/>
      <c r="E62" s="130" t="s">
        <v>37</v>
      </c>
      <c r="F62" s="131" t="s">
        <v>142</v>
      </c>
      <c r="G62" s="132" t="s">
        <v>55</v>
      </c>
      <c r="H62" s="151"/>
    </row>
    <row r="63" spans="2:8" s="39" customFormat="1" ht="30" customHeight="1" thickBot="1" x14ac:dyDescent="0.3">
      <c r="B63" s="61" t="s">
        <v>38</v>
      </c>
      <c r="C63" s="134" t="s">
        <v>39</v>
      </c>
      <c r="D63" s="133"/>
      <c r="E63" s="61" t="s">
        <v>40</v>
      </c>
      <c r="F63" s="266" t="s">
        <v>41</v>
      </c>
      <c r="G63" s="267"/>
      <c r="H63" s="151"/>
    </row>
    <row r="64" spans="2:8" s="43" customFormat="1" x14ac:dyDescent="0.3">
      <c r="B64" s="40" t="s">
        <v>165</v>
      </c>
      <c r="C64" s="41">
        <v>5</v>
      </c>
      <c r="D64" s="125" t="str">
        <f xml:space="preserve"> IF(C64="","",setValueToTime(C64))</f>
        <v xml:space="preserve"> 25 min</v>
      </c>
      <c r="E64" t="s">
        <v>217</v>
      </c>
      <c r="F64" s="262"/>
      <c r="G64" s="263"/>
      <c r="H64" s="152"/>
    </row>
    <row r="65" spans="2:8" s="43" customFormat="1" ht="27" x14ac:dyDescent="0.3">
      <c r="B65" s="44" t="s">
        <v>32</v>
      </c>
      <c r="C65" s="45">
        <v>7</v>
      </c>
      <c r="D65" s="126" t="str">
        <f t="shared" ref="D65:D71" si="5" xml:space="preserve"> IF(C65="","",setValueToTime(C65))</f>
        <v xml:space="preserve"> 35 min</v>
      </c>
      <c r="E65" s="46" t="s">
        <v>235</v>
      </c>
      <c r="F65" s="254"/>
      <c r="G65" s="255"/>
      <c r="H65" s="152"/>
    </row>
    <row r="66" spans="2:8" s="43" customFormat="1" ht="27" x14ac:dyDescent="0.3">
      <c r="B66" s="44" t="s">
        <v>30</v>
      </c>
      <c r="C66" s="45">
        <v>2</v>
      </c>
      <c r="D66" s="126" t="str">
        <f t="shared" si="5"/>
        <v xml:space="preserve"> 10 min</v>
      </c>
      <c r="E66" s="46"/>
      <c r="F66" s="254"/>
      <c r="G66" s="255"/>
      <c r="H66" s="152"/>
    </row>
    <row r="67" spans="2:8" s="43" customFormat="1" ht="27" x14ac:dyDescent="0.3">
      <c r="B67" s="44" t="s">
        <v>166</v>
      </c>
      <c r="C67" s="45">
        <v>4</v>
      </c>
      <c r="D67" s="126" t="str">
        <f t="shared" si="5"/>
        <v xml:space="preserve"> 20 min</v>
      </c>
      <c r="E67" s="46" t="s">
        <v>218</v>
      </c>
      <c r="F67" s="254"/>
      <c r="G67" s="255"/>
      <c r="H67" s="152"/>
    </row>
    <row r="68" spans="2:8" s="43" customFormat="1" x14ac:dyDescent="0.3">
      <c r="B68" s="45" t="s">
        <v>27</v>
      </c>
      <c r="C68" s="45">
        <v>18</v>
      </c>
      <c r="D68" s="127" t="str">
        <f t="shared" si="5"/>
        <v>1h 30 min</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36</v>
      </c>
      <c r="D72" s="135" t="str">
        <f xml:space="preserve"> setValueToTime(C72)</f>
        <v>3h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15</v>
      </c>
      <c r="D74" s="137"/>
      <c r="E74" s="130" t="s">
        <v>37</v>
      </c>
      <c r="F74" s="131" t="s">
        <v>142</v>
      </c>
      <c r="G74" s="132" t="s">
        <v>56</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169</v>
      </c>
      <c r="C76" s="41">
        <v>4</v>
      </c>
      <c r="D76" s="125" t="str">
        <f xml:space="preserve"> IF(C76="","",setValueToTime(C76))</f>
        <v xml:space="preserve"> 20 min</v>
      </c>
      <c r="E76" t="s">
        <v>216</v>
      </c>
      <c r="F76" s="262"/>
      <c r="G76" s="263"/>
      <c r="H76" s="152"/>
    </row>
    <row r="77" spans="2:8" s="43" customFormat="1" x14ac:dyDescent="0.3">
      <c r="B77" s="44" t="s">
        <v>165</v>
      </c>
      <c r="C77" s="45">
        <v>10</v>
      </c>
      <c r="D77" s="126" t="str">
        <f t="shared" ref="D77:D83" si="6" xml:space="preserve"> IF(C77="","",setValueToTime(C77))</f>
        <v xml:space="preserve"> 50 min</v>
      </c>
      <c r="E77" t="s">
        <v>227</v>
      </c>
      <c r="F77" s="254"/>
      <c r="G77" s="255"/>
      <c r="H77" s="152"/>
    </row>
    <row r="78" spans="2:8" s="43" customFormat="1" ht="27" x14ac:dyDescent="0.3">
      <c r="B78" s="44" t="s">
        <v>163</v>
      </c>
      <c r="C78" s="45">
        <v>15</v>
      </c>
      <c r="D78" s="126" t="str">
        <f t="shared" si="6"/>
        <v>1h 15 min</v>
      </c>
      <c r="E78" t="s">
        <v>228</v>
      </c>
      <c r="F78" s="254"/>
      <c r="G78" s="255"/>
      <c r="H78" s="152"/>
    </row>
    <row r="79" spans="2:8" s="43" customFormat="1" ht="27" x14ac:dyDescent="0.3">
      <c r="B79" s="44" t="s">
        <v>30</v>
      </c>
      <c r="C79" s="45">
        <v>4</v>
      </c>
      <c r="D79" s="126" t="str">
        <f t="shared" si="6"/>
        <v xml:space="preserve"> 20 min</v>
      </c>
      <c r="E79" s="46"/>
      <c r="F79" s="254"/>
      <c r="G79" s="255"/>
      <c r="H79" s="152"/>
    </row>
    <row r="80" spans="2:8" s="43" customFormat="1" x14ac:dyDescent="0.3">
      <c r="B80" s="45" t="s">
        <v>27</v>
      </c>
      <c r="C80" s="45">
        <v>9</v>
      </c>
      <c r="D80" s="127" t="str">
        <f t="shared" si="6"/>
        <v xml:space="preserve"> 45 min</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42</v>
      </c>
      <c r="D84" s="135" t="str">
        <f xml:space="preserve"> setValueToTime(C84)</f>
        <v>3h 30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14</v>
      </c>
      <c r="D86" s="137"/>
      <c r="E86" s="130" t="s">
        <v>37</v>
      </c>
      <c r="F86" s="131" t="s">
        <v>145</v>
      </c>
      <c r="G86" s="132" t="s">
        <v>55</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30</v>
      </c>
      <c r="C88" s="41">
        <v>3</v>
      </c>
      <c r="D88" s="125" t="str">
        <f xml:space="preserve"> IF(C88="","",setValueToTime(C88))</f>
        <v xml:space="preserve"> 15 min</v>
      </c>
      <c r="E88" s="42"/>
      <c r="F88" s="262"/>
      <c r="G88" s="263"/>
      <c r="H88" s="152"/>
    </row>
    <row r="89" spans="2:8" s="43" customFormat="1" ht="40.5" x14ac:dyDescent="0.3">
      <c r="B89" s="44" t="s">
        <v>172</v>
      </c>
      <c r="C89" s="45">
        <v>3</v>
      </c>
      <c r="D89" s="126" t="str">
        <f t="shared" ref="D89:D95" si="7" xml:space="preserve"> IF(C89="","",setValueToTime(C89))</f>
        <v xml:space="preserve"> 15 min</v>
      </c>
      <c r="E89" s="46" t="s">
        <v>219</v>
      </c>
      <c r="F89" s="254"/>
      <c r="G89" s="255"/>
      <c r="H89" s="152"/>
    </row>
    <row r="90" spans="2:8" s="43" customFormat="1" ht="27" x14ac:dyDescent="0.3">
      <c r="B90" s="44" t="s">
        <v>162</v>
      </c>
      <c r="C90" s="45">
        <v>15</v>
      </c>
      <c r="D90" s="126" t="str">
        <f t="shared" si="7"/>
        <v>1h 15 min</v>
      </c>
      <c r="E90" s="46" t="s">
        <v>220</v>
      </c>
      <c r="F90" s="254"/>
      <c r="G90" s="255"/>
      <c r="H90" s="152"/>
    </row>
    <row r="91" spans="2:8" s="43" customFormat="1" ht="27" x14ac:dyDescent="0.3">
      <c r="B91" s="44" t="s">
        <v>166</v>
      </c>
      <c r="C91" s="45">
        <v>9</v>
      </c>
      <c r="D91" s="126" t="str">
        <f t="shared" si="7"/>
        <v xml:space="preserve"> 45 min</v>
      </c>
      <c r="E91" s="46" t="s">
        <v>221</v>
      </c>
      <c r="F91" s="254"/>
      <c r="G91" s="255"/>
      <c r="H91" s="152"/>
    </row>
    <row r="92" spans="2:8" s="43" customFormat="1" x14ac:dyDescent="0.3">
      <c r="B92" s="45" t="s">
        <v>49</v>
      </c>
      <c r="C92" s="45">
        <v>3</v>
      </c>
      <c r="D92" s="127" t="str">
        <f t="shared" si="7"/>
        <v xml:space="preserve"> 15 min</v>
      </c>
      <c r="E92" t="s">
        <v>222</v>
      </c>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33</v>
      </c>
      <c r="D96" s="135" t="str">
        <f xml:space="preserve"> setValueToTime(C96)</f>
        <v>2h 45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13</v>
      </c>
      <c r="D98" s="137"/>
      <c r="E98" s="130" t="s">
        <v>37</v>
      </c>
      <c r="F98" s="131" t="s">
        <v>145</v>
      </c>
      <c r="G98" s="132" t="s">
        <v>56</v>
      </c>
      <c r="H98" s="151"/>
    </row>
    <row r="99" spans="2:8" s="39" customFormat="1" ht="30" customHeight="1" thickBot="1" x14ac:dyDescent="0.3">
      <c r="B99" s="61" t="s">
        <v>38</v>
      </c>
      <c r="C99" s="134" t="s">
        <v>39</v>
      </c>
      <c r="D99" s="133"/>
      <c r="E99" s="61" t="s">
        <v>40</v>
      </c>
      <c r="F99" s="266" t="s">
        <v>41</v>
      </c>
      <c r="G99" s="267"/>
      <c r="H99" s="151"/>
    </row>
    <row r="100" spans="2:8" s="43" customFormat="1" x14ac:dyDescent="0.3">
      <c r="B100" s="40" t="s">
        <v>165</v>
      </c>
      <c r="C100" s="41">
        <v>6</v>
      </c>
      <c r="D100" s="125" t="str">
        <f xml:space="preserve"> IF(C100="","",setValueToTime(C100))</f>
        <v xml:space="preserve"> 30 min</v>
      </c>
      <c r="E100" s="46" t="s">
        <v>225</v>
      </c>
      <c r="F100" s="262"/>
      <c r="G100" s="263"/>
      <c r="H100" s="152"/>
    </row>
    <row r="101" spans="2:8" s="43" customFormat="1" ht="27" x14ac:dyDescent="0.3">
      <c r="B101" s="44" t="s">
        <v>166</v>
      </c>
      <c r="C101" s="45">
        <v>12</v>
      </c>
      <c r="D101" s="126" t="str">
        <f t="shared" ref="D101:D107" si="8" xml:space="preserve"> IF(C101="","",setValueToTime(C101))</f>
        <v>1h</v>
      </c>
      <c r="E101" t="s">
        <v>226</v>
      </c>
      <c r="F101" s="254"/>
      <c r="G101" s="255"/>
      <c r="H101" s="152"/>
    </row>
    <row r="102" spans="2:8" s="43" customFormat="1" ht="40.5" x14ac:dyDescent="0.3">
      <c r="B102" s="44" t="s">
        <v>172</v>
      </c>
      <c r="C102" s="45">
        <v>6</v>
      </c>
      <c r="D102" s="126" t="str">
        <f t="shared" si="8"/>
        <v xml:space="preserve"> 30 min</v>
      </c>
      <c r="E102" s="46" t="s">
        <v>224</v>
      </c>
      <c r="F102" s="254"/>
      <c r="G102" s="255"/>
      <c r="H102" s="152"/>
    </row>
    <row r="103" spans="2:8" s="43" customFormat="1" x14ac:dyDescent="0.3">
      <c r="B103" s="44"/>
      <c r="C103" s="45"/>
      <c r="D103" s="126" t="str">
        <f t="shared" si="8"/>
        <v/>
      </c>
      <c r="E103" s="46"/>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24</v>
      </c>
      <c r="D108" s="135" t="str">
        <f xml:space="preserve"> setValueToTime(C108)</f>
        <v>2h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12</v>
      </c>
      <c r="D110" s="137"/>
      <c r="E110" s="130" t="s">
        <v>37</v>
      </c>
      <c r="F110" s="131" t="s">
        <v>148</v>
      </c>
      <c r="G110" s="132" t="s">
        <v>55</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0" t="s">
        <v>30</v>
      </c>
      <c r="C112" s="41">
        <v>3</v>
      </c>
      <c r="D112" s="125" t="str">
        <f xml:space="preserve"> IF(C112="","",setValueToTime(C112))</f>
        <v xml:space="preserve"> 15 min</v>
      </c>
      <c r="E112" s="42"/>
      <c r="F112" s="262"/>
      <c r="G112" s="263"/>
      <c r="H112" s="152"/>
    </row>
    <row r="113" spans="2:8" s="43" customFormat="1" ht="27" x14ac:dyDescent="0.3">
      <c r="B113" s="44" t="s">
        <v>169</v>
      </c>
      <c r="C113" s="45">
        <v>9</v>
      </c>
      <c r="D113" s="126" t="str">
        <f t="shared" ref="D113:D119" si="9" xml:space="preserve"> IF(C113="","",setValueToTime(C113))</f>
        <v xml:space="preserve"> 45 min</v>
      </c>
      <c r="E113" s="46" t="s">
        <v>229</v>
      </c>
      <c r="F113" s="254"/>
      <c r="G113" s="255"/>
      <c r="H113" s="152"/>
    </row>
    <row r="114" spans="2:8" s="43" customFormat="1" ht="27" x14ac:dyDescent="0.3">
      <c r="B114" s="44" t="s">
        <v>86</v>
      </c>
      <c r="C114" s="45">
        <v>12</v>
      </c>
      <c r="D114" s="126" t="str">
        <f t="shared" si="9"/>
        <v>1h</v>
      </c>
      <c r="E114" t="s">
        <v>223</v>
      </c>
      <c r="F114" s="254"/>
      <c r="G114" s="255"/>
      <c r="H114" s="152"/>
    </row>
    <row r="115" spans="2:8" s="43" customFormat="1" x14ac:dyDescent="0.3">
      <c r="B115" s="44" t="s">
        <v>165</v>
      </c>
      <c r="C115" s="45">
        <v>12</v>
      </c>
      <c r="D115" s="126" t="str">
        <f t="shared" si="9"/>
        <v>1h</v>
      </c>
      <c r="E115" s="46" t="s">
        <v>230</v>
      </c>
      <c r="F115" s="254"/>
      <c r="G115" s="255"/>
      <c r="H115" s="152"/>
    </row>
    <row r="116" spans="2:8" s="43" customFormat="1" x14ac:dyDescent="0.3">
      <c r="B116" s="45"/>
      <c r="C116" s="45"/>
      <c r="D116" s="127" t="str">
        <f t="shared" si="9"/>
        <v/>
      </c>
      <c r="E116" s="46"/>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36</v>
      </c>
      <c r="D120" s="135" t="str">
        <f xml:space="preserve"> setValueToTime(C120)</f>
        <v>3h</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11</v>
      </c>
      <c r="D122" s="137"/>
      <c r="E122" s="130" t="s">
        <v>37</v>
      </c>
      <c r="F122" s="131" t="s">
        <v>148</v>
      </c>
      <c r="G122" s="132" t="s">
        <v>56</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30</v>
      </c>
      <c r="C124" s="41">
        <v>3</v>
      </c>
      <c r="D124" s="125" t="str">
        <f xml:space="preserve"> IF(C124="","",setValueToTime(C124))</f>
        <v xml:space="preserve"> 15 min</v>
      </c>
      <c r="E124" s="42"/>
      <c r="F124" s="262"/>
      <c r="G124" s="263"/>
      <c r="H124" s="152"/>
    </row>
    <row r="125" spans="2:8" s="43" customFormat="1" ht="27" x14ac:dyDescent="0.3">
      <c r="B125" s="44" t="s">
        <v>169</v>
      </c>
      <c r="C125" s="45">
        <v>15</v>
      </c>
      <c r="D125" s="126" t="str">
        <f t="shared" ref="D125:D131" si="10" xml:space="preserve"> IF(C125="","",setValueToTime(C125))</f>
        <v>1h 15 min</v>
      </c>
      <c r="E125" s="46" t="s">
        <v>213</v>
      </c>
      <c r="F125" s="254"/>
      <c r="G125" s="255"/>
      <c r="H125" s="152"/>
    </row>
    <row r="126" spans="2:8" s="43" customFormat="1" ht="27" x14ac:dyDescent="0.3">
      <c r="B126" s="44" t="s">
        <v>161</v>
      </c>
      <c r="C126" s="45">
        <v>6</v>
      </c>
      <c r="D126" s="126" t="str">
        <f t="shared" si="10"/>
        <v xml:space="preserve"> 30 min</v>
      </c>
      <c r="E126" s="46" t="s">
        <v>212</v>
      </c>
      <c r="F126" s="254"/>
      <c r="G126" s="255"/>
      <c r="H126" s="152"/>
    </row>
    <row r="127" spans="2:8" s="43" customFormat="1" x14ac:dyDescent="0.3">
      <c r="B127" s="44" t="s">
        <v>49</v>
      </c>
      <c r="C127" s="45">
        <v>3</v>
      </c>
      <c r="D127" s="126" t="str">
        <f t="shared" si="10"/>
        <v xml:space="preserve"> 15 min</v>
      </c>
      <c r="E127" s="46"/>
      <c r="F127" s="254"/>
      <c r="G127" s="255"/>
      <c r="H127" s="152"/>
    </row>
    <row r="128" spans="2:8" s="43" customFormat="1" x14ac:dyDescent="0.3">
      <c r="B128" s="45" t="s">
        <v>204</v>
      </c>
      <c r="C128" s="45">
        <v>15</v>
      </c>
      <c r="D128" s="127" t="str">
        <f t="shared" si="10"/>
        <v>1h 15 min</v>
      </c>
      <c r="E128" s="46" t="s">
        <v>214</v>
      </c>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42</v>
      </c>
      <c r="D132" s="135" t="str">
        <f xml:space="preserve"> setValueToTime(C132)</f>
        <v>3h 30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10</v>
      </c>
      <c r="D134" s="137"/>
      <c r="E134" s="130" t="s">
        <v>37</v>
      </c>
      <c r="F134" s="131" t="s">
        <v>151</v>
      </c>
      <c r="G134" s="132" t="s">
        <v>55</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30</v>
      </c>
      <c r="C136" s="41">
        <v>3</v>
      </c>
      <c r="D136" s="125" t="str">
        <f xml:space="preserve"> IF(C136="","",setValueToTime(C136))</f>
        <v xml:space="preserve"> 15 min</v>
      </c>
      <c r="E136" s="42"/>
      <c r="F136" s="262"/>
      <c r="G136" s="263"/>
      <c r="H136" s="152"/>
    </row>
    <row r="137" spans="2:8" s="43" customFormat="1" x14ac:dyDescent="0.3">
      <c r="B137" s="44" t="s">
        <v>204</v>
      </c>
      <c r="C137" s="45">
        <v>20</v>
      </c>
      <c r="D137" s="126" t="str">
        <f t="shared" ref="D137:D143" si="11" xml:space="preserve"> IF(C137="","",setValueToTime(C137))</f>
        <v>1h 40 min</v>
      </c>
      <c r="E137" s="46" t="s">
        <v>231</v>
      </c>
      <c r="F137" s="254"/>
      <c r="G137" s="255"/>
      <c r="H137" s="152"/>
    </row>
    <row r="138" spans="2:8" s="43" customFormat="1" ht="27" x14ac:dyDescent="0.3">
      <c r="B138" s="44" t="s">
        <v>161</v>
      </c>
      <c r="C138" s="45">
        <v>9</v>
      </c>
      <c r="D138" s="126" t="str">
        <f t="shared" si="11"/>
        <v xml:space="preserve"> 45 min</v>
      </c>
      <c r="E138" s="46" t="s">
        <v>215</v>
      </c>
      <c r="F138" s="254"/>
      <c r="G138" s="255"/>
      <c r="H138" s="152"/>
    </row>
    <row r="139" spans="2:8" s="43" customFormat="1" x14ac:dyDescent="0.3">
      <c r="B139" s="44" t="s">
        <v>49</v>
      </c>
      <c r="C139" s="45">
        <v>4</v>
      </c>
      <c r="D139" s="126" t="str">
        <f t="shared" si="11"/>
        <v xml:space="preserve"> 20 min</v>
      </c>
      <c r="E139" s="46" t="s">
        <v>211</v>
      </c>
      <c r="F139" s="254"/>
      <c r="G139" s="255"/>
      <c r="H139" s="152"/>
    </row>
    <row r="140" spans="2:8" s="43" customFormat="1" x14ac:dyDescent="0.3">
      <c r="B140" s="45"/>
      <c r="C140" s="45"/>
      <c r="D140" s="127" t="str">
        <f t="shared" si="11"/>
        <v/>
      </c>
      <c r="E140" s="46"/>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36</v>
      </c>
      <c r="D144" s="135" t="str">
        <f xml:space="preserve"> setValueToTime(C144)</f>
        <v>3h</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9</v>
      </c>
      <c r="D146" s="137"/>
      <c r="E146" s="130" t="s">
        <v>37</v>
      </c>
      <c r="F146" s="131" t="s">
        <v>151</v>
      </c>
      <c r="G146" s="132" t="s">
        <v>56</v>
      </c>
      <c r="H146" s="151"/>
    </row>
    <row r="147" spans="2:8" s="39" customFormat="1" ht="30" customHeight="1" thickBot="1" x14ac:dyDescent="0.3">
      <c r="B147" s="61" t="s">
        <v>38</v>
      </c>
      <c r="C147" s="134" t="s">
        <v>39</v>
      </c>
      <c r="D147" s="133"/>
      <c r="E147" s="61" t="s">
        <v>40</v>
      </c>
      <c r="F147" s="266" t="s">
        <v>41</v>
      </c>
      <c r="G147" s="267"/>
      <c r="H147" s="151"/>
    </row>
    <row r="148" spans="2:8" s="43" customFormat="1" ht="27" x14ac:dyDescent="0.3">
      <c r="B148" s="40" t="s">
        <v>30</v>
      </c>
      <c r="C148" s="41">
        <v>4</v>
      </c>
      <c r="D148" s="125" t="str">
        <f xml:space="preserve"> IF(C148="","",setValueToTime(C148))</f>
        <v xml:space="preserve"> 20 min</v>
      </c>
      <c r="E148" s="42" t="s">
        <v>208</v>
      </c>
      <c r="F148" s="262"/>
      <c r="G148" s="263"/>
      <c r="H148" s="152"/>
    </row>
    <row r="149" spans="2:8" s="43" customFormat="1" ht="27" x14ac:dyDescent="0.3">
      <c r="B149" s="44" t="s">
        <v>204</v>
      </c>
      <c r="C149" s="45">
        <v>14</v>
      </c>
      <c r="D149" s="126" t="str">
        <f t="shared" ref="D149:D155" si="12" xml:space="preserve"> IF(C149="","",setValueToTime(C149))</f>
        <v>1h 10 min</v>
      </c>
      <c r="E149" s="46" t="s">
        <v>232</v>
      </c>
      <c r="F149" s="254"/>
      <c r="G149" s="255"/>
      <c r="H149" s="152"/>
    </row>
    <row r="150" spans="2:8" s="43" customFormat="1" ht="27" x14ac:dyDescent="0.3">
      <c r="B150" s="44" t="s">
        <v>164</v>
      </c>
      <c r="C150" s="45">
        <v>12</v>
      </c>
      <c r="D150" s="126" t="str">
        <f t="shared" si="12"/>
        <v>1h</v>
      </c>
      <c r="E150" s="46" t="s">
        <v>209</v>
      </c>
      <c r="F150" s="254"/>
      <c r="G150" s="255"/>
      <c r="H150" s="152"/>
    </row>
    <row r="151" spans="2:8" s="43" customFormat="1" ht="27" x14ac:dyDescent="0.3">
      <c r="B151" s="44" t="s">
        <v>161</v>
      </c>
      <c r="C151" s="45">
        <v>12</v>
      </c>
      <c r="D151" s="126" t="str">
        <f t="shared" si="12"/>
        <v>1h</v>
      </c>
      <c r="E151" s="46" t="s">
        <v>210</v>
      </c>
      <c r="F151" s="254"/>
      <c r="G151" s="255"/>
      <c r="H151" s="152"/>
    </row>
    <row r="152" spans="2:8" s="43" customFormat="1" x14ac:dyDescent="0.3">
      <c r="B152" s="45"/>
      <c r="C152" s="45"/>
      <c r="D152" s="127" t="str">
        <f t="shared" si="12"/>
        <v/>
      </c>
      <c r="E152" s="46"/>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42</v>
      </c>
      <c r="D156" s="135" t="str">
        <f xml:space="preserve"> setValueToTime(C156)</f>
        <v>3h 30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8</v>
      </c>
      <c r="D158" s="137"/>
      <c r="E158" s="130" t="s">
        <v>37</v>
      </c>
      <c r="F158" s="131" t="s">
        <v>65</v>
      </c>
      <c r="G158" s="132" t="s">
        <v>55</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0" t="s">
        <v>30</v>
      </c>
      <c r="C160" s="41">
        <v>3</v>
      </c>
      <c r="D160" s="125" t="str">
        <f xml:space="preserve"> IF(C160="","",setValueToTime(C160))</f>
        <v xml:space="preserve"> 15 min</v>
      </c>
      <c r="E160" s="42"/>
      <c r="F160" s="262"/>
      <c r="G160" s="263"/>
      <c r="H160" s="152"/>
    </row>
    <row r="161" spans="2:8" s="43" customFormat="1" x14ac:dyDescent="0.3">
      <c r="B161" s="44" t="s">
        <v>204</v>
      </c>
      <c r="C161" s="45">
        <v>20</v>
      </c>
      <c r="D161" s="126" t="str">
        <f t="shared" ref="D161:D167" si="13" xml:space="preserve"> IF(C161="","",setValueToTime(C161))</f>
        <v>1h 40 min</v>
      </c>
      <c r="E161" s="46" t="s">
        <v>233</v>
      </c>
      <c r="F161" s="254"/>
      <c r="G161" s="255"/>
      <c r="H161" s="152"/>
    </row>
    <row r="162" spans="2:8" s="43" customFormat="1" ht="27" x14ac:dyDescent="0.3">
      <c r="B162" s="44" t="s">
        <v>164</v>
      </c>
      <c r="C162" s="45">
        <v>10</v>
      </c>
      <c r="D162" s="126" t="str">
        <f t="shared" si="13"/>
        <v xml:space="preserve"> 50 min</v>
      </c>
      <c r="E162" s="46" t="s">
        <v>206</v>
      </c>
      <c r="F162" s="254"/>
      <c r="G162" s="255"/>
      <c r="H162" s="152"/>
    </row>
    <row r="163" spans="2:8" s="43" customFormat="1" x14ac:dyDescent="0.3">
      <c r="B163" s="44" t="s">
        <v>47</v>
      </c>
      <c r="C163" s="45">
        <v>3</v>
      </c>
      <c r="D163" s="126" t="str">
        <f t="shared" si="13"/>
        <v xml:space="preserve"> 15 min</v>
      </c>
      <c r="E163" s="46" t="s">
        <v>205</v>
      </c>
      <c r="F163" s="254"/>
      <c r="G163" s="255"/>
      <c r="H163" s="152"/>
    </row>
    <row r="164" spans="2:8" s="43" customFormat="1" ht="27" x14ac:dyDescent="0.3">
      <c r="B164" s="45" t="s">
        <v>161</v>
      </c>
      <c r="C164" s="45">
        <v>6</v>
      </c>
      <c r="D164" s="127" t="str">
        <f t="shared" si="13"/>
        <v xml:space="preserve"> 30 min</v>
      </c>
      <c r="E164" s="46" t="s">
        <v>207</v>
      </c>
      <c r="F164" s="254"/>
      <c r="G164" s="255"/>
      <c r="H164" s="152"/>
    </row>
    <row r="165" spans="2:8" s="43" customFormat="1" x14ac:dyDescent="0.3">
      <c r="B165" s="45"/>
      <c r="C165" s="45"/>
      <c r="D165" s="127" t="str">
        <f t="shared" si="13"/>
        <v/>
      </c>
      <c r="E165" s="46"/>
      <c r="F165" s="254"/>
      <c r="G165" s="255"/>
      <c r="H165" s="152"/>
    </row>
    <row r="166" spans="2:8" s="43" customFormat="1" x14ac:dyDescent="0.3">
      <c r="B166" s="45"/>
      <c r="C166" s="45"/>
      <c r="D166" s="127" t="str">
        <f t="shared" si="13"/>
        <v/>
      </c>
      <c r="E166" s="46"/>
      <c r="F166" s="254"/>
      <c r="G166" s="255"/>
      <c r="H166" s="152"/>
    </row>
    <row r="167" spans="2:8" s="43" customFormat="1" ht="15" thickBot="1" x14ac:dyDescent="0.35">
      <c r="B167" s="47"/>
      <c r="C167" s="47"/>
      <c r="D167" s="128" t="str">
        <f t="shared" si="13"/>
        <v/>
      </c>
      <c r="E167" s="48"/>
      <c r="F167" s="256"/>
      <c r="G167" s="257"/>
      <c r="H167" s="152"/>
    </row>
    <row r="168" spans="2:8" s="43" customFormat="1" ht="15" thickBot="1" x14ac:dyDescent="0.35">
      <c r="B168" s="135" t="s">
        <v>43</v>
      </c>
      <c r="C168" s="66">
        <f>SUM(C160:C167)</f>
        <v>42</v>
      </c>
      <c r="D168" s="135" t="str">
        <f xml:space="preserve"> setValueToTime(C168)</f>
        <v>3h 30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7</v>
      </c>
      <c r="D170" s="137"/>
      <c r="E170" s="130" t="s">
        <v>37</v>
      </c>
      <c r="F170" s="131" t="s">
        <v>65</v>
      </c>
      <c r="G170" s="132" t="s">
        <v>56</v>
      </c>
      <c r="H170" s="151"/>
    </row>
    <row r="171" spans="2:8" s="39" customFormat="1" ht="30" customHeight="1" thickBot="1" x14ac:dyDescent="0.3">
      <c r="B171" s="61" t="s">
        <v>38</v>
      </c>
      <c r="C171" s="134" t="s">
        <v>39</v>
      </c>
      <c r="D171" s="133"/>
      <c r="E171" s="61" t="s">
        <v>40</v>
      </c>
      <c r="F171" s="266" t="s">
        <v>41</v>
      </c>
      <c r="G171" s="267"/>
      <c r="H171" s="151"/>
    </row>
    <row r="172" spans="2:8" s="43" customFormat="1" ht="27" x14ac:dyDescent="0.3">
      <c r="B172" s="40" t="s">
        <v>30</v>
      </c>
      <c r="C172" s="41">
        <v>3</v>
      </c>
      <c r="D172" s="125" t="str">
        <f xml:space="preserve"> IF(C172="","",setValueToTime(C172))</f>
        <v xml:space="preserve"> 15 min</v>
      </c>
      <c r="E172" s="42"/>
      <c r="F172" s="262"/>
      <c r="G172" s="263"/>
      <c r="H172" s="152"/>
    </row>
    <row r="173" spans="2:8" s="43" customFormat="1" ht="27" x14ac:dyDescent="0.3">
      <c r="B173" s="44" t="s">
        <v>171</v>
      </c>
      <c r="C173" s="45">
        <v>10</v>
      </c>
      <c r="D173" s="126" t="str">
        <f t="shared" ref="D173:D179" si="14" xml:space="preserve"> IF(C173="","",setValueToTime(C173))</f>
        <v xml:space="preserve"> 50 min</v>
      </c>
      <c r="E173" s="46" t="s">
        <v>197</v>
      </c>
      <c r="F173" s="254"/>
      <c r="G173" s="255"/>
      <c r="H173" s="152"/>
    </row>
    <row r="174" spans="2:8" s="43" customFormat="1" ht="27" x14ac:dyDescent="0.3">
      <c r="B174" s="44" t="s">
        <v>161</v>
      </c>
      <c r="C174" s="45">
        <v>15</v>
      </c>
      <c r="D174" s="126" t="str">
        <f t="shared" si="14"/>
        <v>1h 15 min</v>
      </c>
      <c r="E174" s="46" t="s">
        <v>203</v>
      </c>
      <c r="F174" s="254"/>
      <c r="G174" s="255"/>
      <c r="H174" s="152"/>
    </row>
    <row r="175" spans="2:8" s="43" customFormat="1" x14ac:dyDescent="0.3">
      <c r="B175" s="44" t="s">
        <v>204</v>
      </c>
      <c r="C175" s="45">
        <v>14</v>
      </c>
      <c r="D175" s="126" t="str">
        <f t="shared" si="14"/>
        <v>1h 10 min</v>
      </c>
      <c r="E175" s="46" t="s">
        <v>234</v>
      </c>
      <c r="F175" s="254"/>
      <c r="G175" s="255"/>
      <c r="H175" s="152"/>
    </row>
    <row r="176" spans="2:8" s="43" customFormat="1" x14ac:dyDescent="0.3">
      <c r="B176" s="45"/>
      <c r="C176" s="45"/>
      <c r="D176" s="127" t="str">
        <f t="shared" si="14"/>
        <v/>
      </c>
      <c r="E176" s="46"/>
      <c r="F176" s="254"/>
      <c r="G176" s="255"/>
      <c r="H176" s="152"/>
    </row>
    <row r="177" spans="2:8" s="43" customFormat="1" x14ac:dyDescent="0.3">
      <c r="B177" s="45"/>
      <c r="C177" s="45"/>
      <c r="D177" s="127" t="str">
        <f t="shared" si="14"/>
        <v/>
      </c>
      <c r="E177" s="46"/>
      <c r="F177" s="254"/>
      <c r="G177" s="255"/>
      <c r="H177" s="152"/>
    </row>
    <row r="178" spans="2:8" s="43" customFormat="1" x14ac:dyDescent="0.3">
      <c r="B178" s="45"/>
      <c r="C178" s="45"/>
      <c r="D178" s="127" t="str">
        <f t="shared" si="14"/>
        <v/>
      </c>
      <c r="E178" s="46"/>
      <c r="F178" s="254"/>
      <c r="G178" s="255"/>
      <c r="H178" s="152"/>
    </row>
    <row r="179" spans="2:8" s="43" customFormat="1" ht="15" thickBot="1" x14ac:dyDescent="0.35">
      <c r="B179" s="47"/>
      <c r="C179" s="47"/>
      <c r="D179" s="128" t="str">
        <f t="shared" si="14"/>
        <v/>
      </c>
      <c r="E179" s="48"/>
      <c r="F179" s="256"/>
      <c r="G179" s="257"/>
      <c r="H179" s="152"/>
    </row>
    <row r="180" spans="2:8" s="43" customFormat="1" ht="15" thickBot="1" x14ac:dyDescent="0.35">
      <c r="B180" s="135" t="s">
        <v>43</v>
      </c>
      <c r="C180" s="66">
        <f>SUM(C172:C179)</f>
        <v>42</v>
      </c>
      <c r="D180" s="135" t="str">
        <f xml:space="preserve"> setValueToTime(C180)</f>
        <v>3h 30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6</v>
      </c>
      <c r="D182" s="137"/>
      <c r="E182" s="130" t="s">
        <v>37</v>
      </c>
      <c r="F182" s="131" t="s">
        <v>68</v>
      </c>
      <c r="G182" s="132" t="s">
        <v>55</v>
      </c>
      <c r="H182" s="151"/>
    </row>
    <row r="183" spans="2:8" s="39" customFormat="1" ht="30" customHeight="1" thickBot="1" x14ac:dyDescent="0.3">
      <c r="B183" s="61" t="s">
        <v>38</v>
      </c>
      <c r="C183" s="134" t="s">
        <v>39</v>
      </c>
      <c r="D183" s="133"/>
      <c r="E183" s="61" t="s">
        <v>40</v>
      </c>
      <c r="F183" s="266" t="s">
        <v>41</v>
      </c>
      <c r="G183" s="267"/>
      <c r="H183" s="151"/>
    </row>
    <row r="184" spans="2:8" s="43" customFormat="1" x14ac:dyDescent="0.3">
      <c r="B184" s="40" t="s">
        <v>170</v>
      </c>
      <c r="C184" s="41">
        <v>6</v>
      </c>
      <c r="D184" s="125" t="str">
        <f xml:space="preserve"> IF(C184="","",setValueToTime(C184))</f>
        <v xml:space="preserve"> 30 min</v>
      </c>
      <c r="E184" s="42" t="s">
        <v>199</v>
      </c>
      <c r="F184" s="262"/>
      <c r="G184" s="263"/>
      <c r="H184" s="152"/>
    </row>
    <row r="185" spans="2:8" s="43" customFormat="1" ht="27" x14ac:dyDescent="0.3">
      <c r="B185" s="44" t="s">
        <v>49</v>
      </c>
      <c r="C185" s="45">
        <v>6</v>
      </c>
      <c r="D185" s="126" t="str">
        <f t="shared" ref="D185:D191" si="15" xml:space="preserve"> IF(C185="","",setValueToTime(C185))</f>
        <v xml:space="preserve"> 30 min</v>
      </c>
      <c r="E185" s="46" t="s">
        <v>198</v>
      </c>
      <c r="F185" s="254"/>
      <c r="G185" s="255"/>
      <c r="H185" s="152"/>
    </row>
    <row r="186" spans="2:8" s="43" customFormat="1" ht="27" x14ac:dyDescent="0.3">
      <c r="B186" s="44" t="s">
        <v>30</v>
      </c>
      <c r="C186" s="45">
        <v>3</v>
      </c>
      <c r="D186" s="126" t="str">
        <f t="shared" si="15"/>
        <v xml:space="preserve"> 15 min</v>
      </c>
      <c r="E186" s="46" t="s">
        <v>201</v>
      </c>
      <c r="F186" s="254"/>
      <c r="G186" s="255"/>
      <c r="H186" s="152"/>
    </row>
    <row r="187" spans="2:8" s="43" customFormat="1" ht="27" x14ac:dyDescent="0.3">
      <c r="B187" s="44" t="s">
        <v>161</v>
      </c>
      <c r="C187" s="45">
        <v>12</v>
      </c>
      <c r="D187" s="126" t="str">
        <f t="shared" si="15"/>
        <v>1h</v>
      </c>
      <c r="E187" s="46" t="s">
        <v>200</v>
      </c>
      <c r="F187" s="254"/>
      <c r="G187" s="255"/>
      <c r="H187" s="152"/>
    </row>
    <row r="188" spans="2:8" s="43" customFormat="1" x14ac:dyDescent="0.3">
      <c r="B188" s="45"/>
      <c r="C188" s="45"/>
      <c r="D188" s="127" t="str">
        <f t="shared" si="15"/>
        <v/>
      </c>
      <c r="E188" s="46"/>
      <c r="F188" s="254"/>
      <c r="G188" s="255"/>
      <c r="H188" s="152"/>
    </row>
    <row r="189" spans="2:8" s="43" customFormat="1" x14ac:dyDescent="0.3">
      <c r="B189" s="45"/>
      <c r="C189" s="45"/>
      <c r="D189" s="127" t="str">
        <f t="shared" si="15"/>
        <v/>
      </c>
      <c r="E189" s="46"/>
      <c r="F189" s="254"/>
      <c r="G189" s="255"/>
      <c r="H189" s="152"/>
    </row>
    <row r="190" spans="2:8" s="43" customFormat="1" x14ac:dyDescent="0.3">
      <c r="B190" s="45"/>
      <c r="C190" s="45"/>
      <c r="D190" s="127" t="str">
        <f t="shared" si="15"/>
        <v/>
      </c>
      <c r="E190" s="46"/>
      <c r="F190" s="254"/>
      <c r="G190" s="255"/>
      <c r="H190" s="152"/>
    </row>
    <row r="191" spans="2:8" s="43" customFormat="1" ht="15" thickBot="1" x14ac:dyDescent="0.35">
      <c r="B191" s="47"/>
      <c r="C191" s="47"/>
      <c r="D191" s="128" t="str">
        <f t="shared" si="15"/>
        <v/>
      </c>
      <c r="E191" s="48"/>
      <c r="F191" s="256"/>
      <c r="G191" s="257"/>
      <c r="H191" s="152"/>
    </row>
    <row r="192" spans="2:8" s="43" customFormat="1" ht="15" thickBot="1" x14ac:dyDescent="0.35">
      <c r="B192" s="135" t="s">
        <v>43</v>
      </c>
      <c r="C192" s="66">
        <f>SUM(C184:C191)</f>
        <v>27</v>
      </c>
      <c r="D192" s="135" t="str">
        <f xml:space="preserve"> setValueToTime(C192)</f>
        <v>2h 15 min</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5</v>
      </c>
      <c r="D194" s="137"/>
      <c r="E194" s="130" t="s">
        <v>37</v>
      </c>
      <c r="F194" s="131" t="s">
        <v>68</v>
      </c>
      <c r="G194" s="132" t="s">
        <v>56</v>
      </c>
      <c r="H194" s="151"/>
    </row>
    <row r="195" spans="2:8" s="39" customFormat="1" ht="30" customHeight="1" thickBot="1" x14ac:dyDescent="0.3">
      <c r="B195" s="61" t="s">
        <v>38</v>
      </c>
      <c r="C195" s="134" t="s">
        <v>39</v>
      </c>
      <c r="D195" s="133"/>
      <c r="E195" s="61" t="s">
        <v>40</v>
      </c>
      <c r="F195" s="266" t="s">
        <v>41</v>
      </c>
      <c r="G195" s="267"/>
      <c r="H195" s="151"/>
    </row>
    <row r="196" spans="2:8" s="43" customFormat="1" ht="27" x14ac:dyDescent="0.3">
      <c r="B196" s="40" t="s">
        <v>30</v>
      </c>
      <c r="C196" s="41">
        <v>8</v>
      </c>
      <c r="D196" s="125" t="str">
        <f xml:space="preserve"> IF(C196="","",setValueToTime(C196))</f>
        <v xml:space="preserve"> 40 min</v>
      </c>
      <c r="E196" s="42" t="s">
        <v>196</v>
      </c>
      <c r="F196" s="262"/>
      <c r="G196" s="263"/>
      <c r="H196" s="152"/>
    </row>
    <row r="197" spans="2:8" s="43" customFormat="1" x14ac:dyDescent="0.3">
      <c r="B197" s="44" t="s">
        <v>31</v>
      </c>
      <c r="C197" s="45">
        <v>16</v>
      </c>
      <c r="D197" s="126" t="str">
        <f t="shared" ref="D197:D203" si="16" xml:space="preserve"> IF(C197="","",setValueToTime(C197))</f>
        <v>1h 20 min</v>
      </c>
      <c r="E197" s="46" t="s">
        <v>195</v>
      </c>
      <c r="F197" s="254"/>
      <c r="G197" s="255"/>
      <c r="H197" s="152"/>
    </row>
    <row r="198" spans="2:8" s="43" customFormat="1" ht="27" x14ac:dyDescent="0.3">
      <c r="B198" s="44" t="s">
        <v>161</v>
      </c>
      <c r="C198" s="45">
        <v>12</v>
      </c>
      <c r="D198" s="126" t="str">
        <f t="shared" si="16"/>
        <v>1h</v>
      </c>
      <c r="E198" s="46" t="s">
        <v>175</v>
      </c>
      <c r="F198" s="254"/>
      <c r="G198" s="255"/>
      <c r="H198" s="152"/>
    </row>
    <row r="199" spans="2:8" s="43" customFormat="1" x14ac:dyDescent="0.3">
      <c r="B199" s="44" t="s">
        <v>109</v>
      </c>
      <c r="C199" s="45">
        <v>6</v>
      </c>
      <c r="D199" s="126" t="str">
        <f t="shared" si="16"/>
        <v xml:space="preserve"> 30 min</v>
      </c>
      <c r="E199" s="46" t="s">
        <v>202</v>
      </c>
      <c r="F199" s="254"/>
      <c r="G199" s="255"/>
      <c r="H199" s="152"/>
    </row>
    <row r="200" spans="2:8" s="43" customFormat="1" x14ac:dyDescent="0.3">
      <c r="B200" s="45"/>
      <c r="C200" s="45"/>
      <c r="D200" s="127" t="str">
        <f t="shared" si="16"/>
        <v/>
      </c>
      <c r="E200" s="46"/>
      <c r="F200" s="254"/>
      <c r="G200" s="255"/>
      <c r="H200" s="152"/>
    </row>
    <row r="201" spans="2:8" s="43" customFormat="1" x14ac:dyDescent="0.3">
      <c r="B201" s="45"/>
      <c r="C201" s="45"/>
      <c r="D201" s="127" t="str">
        <f t="shared" si="16"/>
        <v/>
      </c>
      <c r="E201" s="46"/>
      <c r="F201" s="254"/>
      <c r="G201" s="255"/>
      <c r="H201" s="152"/>
    </row>
    <row r="202" spans="2:8" s="43" customFormat="1" x14ac:dyDescent="0.3">
      <c r="B202" s="45"/>
      <c r="C202" s="45"/>
      <c r="D202" s="127" t="str">
        <f t="shared" si="16"/>
        <v/>
      </c>
      <c r="E202" s="46"/>
      <c r="F202" s="254"/>
      <c r="G202" s="255"/>
      <c r="H202" s="152"/>
    </row>
    <row r="203" spans="2:8" s="43" customFormat="1" ht="15" thickBot="1" x14ac:dyDescent="0.35">
      <c r="B203" s="47"/>
      <c r="C203" s="47"/>
      <c r="D203" s="128" t="str">
        <f t="shared" si="16"/>
        <v/>
      </c>
      <c r="E203" s="48"/>
      <c r="F203" s="256"/>
      <c r="G203" s="257"/>
      <c r="H203" s="152"/>
    </row>
    <row r="204" spans="2:8" s="43" customFormat="1" ht="15" thickBot="1" x14ac:dyDescent="0.35">
      <c r="B204" s="135" t="s">
        <v>43</v>
      </c>
      <c r="C204" s="66">
        <f>SUM(C196:C203)</f>
        <v>42</v>
      </c>
      <c r="D204" s="135" t="str">
        <f xml:space="preserve"> setValueToTime(C204)</f>
        <v>3h 30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36</v>
      </c>
      <c r="C206" s="137">
        <v>4</v>
      </c>
      <c r="D206" s="137"/>
      <c r="E206" s="130" t="s">
        <v>37</v>
      </c>
      <c r="F206" s="131" t="s">
        <v>71</v>
      </c>
      <c r="G206" s="132" t="s">
        <v>55</v>
      </c>
      <c r="H206" s="151"/>
    </row>
    <row r="207" spans="2:8" s="39" customFormat="1" ht="30" customHeight="1" thickBot="1" x14ac:dyDescent="0.3">
      <c r="B207" s="61" t="s">
        <v>38</v>
      </c>
      <c r="C207" s="134" t="s">
        <v>39</v>
      </c>
      <c r="D207" s="133"/>
      <c r="E207" s="61" t="s">
        <v>40</v>
      </c>
      <c r="F207" s="266" t="s">
        <v>41</v>
      </c>
      <c r="G207" s="267"/>
      <c r="H207" s="151"/>
    </row>
    <row r="208" spans="2:8" s="43" customFormat="1" ht="27" x14ac:dyDescent="0.3">
      <c r="B208" s="44" t="s">
        <v>30</v>
      </c>
      <c r="C208" s="45">
        <v>2</v>
      </c>
      <c r="D208" s="126" t="str">
        <f t="shared" ref="D208:D210" si="17" xml:space="preserve"> IF(C208="","",setValueToTime(C208))</f>
        <v xml:space="preserve"> 10 min</v>
      </c>
      <c r="E208" s="46" t="s">
        <v>120</v>
      </c>
      <c r="F208" s="262"/>
      <c r="G208" s="263"/>
      <c r="H208" s="152"/>
    </row>
    <row r="209" spans="2:8" s="43" customFormat="1" ht="27" x14ac:dyDescent="0.3">
      <c r="B209" s="44" t="s">
        <v>44</v>
      </c>
      <c r="C209" s="45">
        <v>10</v>
      </c>
      <c r="D209" s="126" t="str">
        <f t="shared" si="17"/>
        <v xml:space="preserve"> 50 min</v>
      </c>
      <c r="E209" s="46" t="s">
        <v>190</v>
      </c>
      <c r="F209" s="254"/>
      <c r="G209" s="255"/>
      <c r="H209" s="152"/>
    </row>
    <row r="210" spans="2:8" s="43" customFormat="1" ht="27" x14ac:dyDescent="0.3">
      <c r="B210" s="44" t="s">
        <v>48</v>
      </c>
      <c r="C210" s="45">
        <v>12</v>
      </c>
      <c r="D210" s="126" t="str">
        <f t="shared" si="17"/>
        <v>1h</v>
      </c>
      <c r="E210" s="46" t="s">
        <v>130</v>
      </c>
      <c r="F210" s="254"/>
      <c r="G210" s="255"/>
      <c r="H210" s="152"/>
    </row>
    <row r="211" spans="2:8" s="43" customFormat="1" x14ac:dyDescent="0.3">
      <c r="B211" s="44" t="s">
        <v>31</v>
      </c>
      <c r="C211" s="45">
        <v>6</v>
      </c>
      <c r="D211" s="126" t="str">
        <f t="shared" ref="D211:D215" si="18" xml:space="preserve"> IF(C211="","",setValueToTime(C211))</f>
        <v xml:space="preserve"> 30 min</v>
      </c>
      <c r="E211" s="46" t="s">
        <v>191</v>
      </c>
      <c r="F211" s="254"/>
      <c r="G211" s="255"/>
      <c r="H211" s="152"/>
    </row>
    <row r="212" spans="2:8" s="43" customFormat="1" x14ac:dyDescent="0.3">
      <c r="B212" s="45"/>
      <c r="C212" s="45"/>
      <c r="D212" s="127" t="str">
        <f t="shared" si="18"/>
        <v/>
      </c>
      <c r="E212" s="46"/>
      <c r="F212" s="254"/>
      <c r="G212" s="255"/>
      <c r="H212" s="152"/>
    </row>
    <row r="213" spans="2:8" s="43" customFormat="1" x14ac:dyDescent="0.3">
      <c r="B213" s="45"/>
      <c r="C213" s="45"/>
      <c r="D213" s="127" t="str">
        <f t="shared" si="18"/>
        <v/>
      </c>
      <c r="E213" s="46"/>
      <c r="F213" s="254"/>
      <c r="G213" s="255"/>
      <c r="H213" s="152"/>
    </row>
    <row r="214" spans="2:8" s="43" customFormat="1" x14ac:dyDescent="0.3">
      <c r="B214" s="45"/>
      <c r="C214" s="45"/>
      <c r="D214" s="127" t="str">
        <f t="shared" si="18"/>
        <v/>
      </c>
      <c r="E214" s="46"/>
      <c r="F214" s="254"/>
      <c r="G214" s="255"/>
      <c r="H214" s="152"/>
    </row>
    <row r="215" spans="2:8" s="43" customFormat="1" ht="15" thickBot="1" x14ac:dyDescent="0.35">
      <c r="B215" s="47"/>
      <c r="C215" s="47"/>
      <c r="D215" s="128" t="str">
        <f t="shared" si="18"/>
        <v/>
      </c>
      <c r="E215" s="48"/>
      <c r="F215" s="256"/>
      <c r="G215" s="257"/>
      <c r="H215" s="152"/>
    </row>
    <row r="216" spans="2:8" s="43" customFormat="1" ht="15" thickBot="1" x14ac:dyDescent="0.35">
      <c r="B216" s="135" t="s">
        <v>43</v>
      </c>
      <c r="C216" s="66">
        <f>SUM(C208:C215)</f>
        <v>30</v>
      </c>
      <c r="D216" s="135" t="str">
        <f xml:space="preserve"> setValueToTime(C216)</f>
        <v>2h 30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36</v>
      </c>
      <c r="C218" s="137">
        <v>3</v>
      </c>
      <c r="D218" s="137"/>
      <c r="E218" s="130" t="s">
        <v>37</v>
      </c>
      <c r="F218" s="131" t="s">
        <v>71</v>
      </c>
      <c r="G218" s="132" t="s">
        <v>56</v>
      </c>
      <c r="H218" s="151"/>
    </row>
    <row r="219" spans="2:8" s="39" customFormat="1" ht="30" customHeight="1" thickBot="1" x14ac:dyDescent="0.3">
      <c r="B219" s="61" t="s">
        <v>38</v>
      </c>
      <c r="C219" s="134" t="s">
        <v>39</v>
      </c>
      <c r="D219" s="133"/>
      <c r="E219" s="61" t="s">
        <v>40</v>
      </c>
      <c r="F219" s="266" t="s">
        <v>41</v>
      </c>
      <c r="G219" s="267"/>
      <c r="H219" s="151"/>
    </row>
    <row r="220" spans="2:8" s="43" customFormat="1" ht="27" x14ac:dyDescent="0.3">
      <c r="B220" s="44" t="s">
        <v>30</v>
      </c>
      <c r="C220" s="45">
        <v>3</v>
      </c>
      <c r="D220" s="126" t="str">
        <f t="shared" ref="D220:D221" si="19" xml:space="preserve"> IF(C220="","",setValueToTime(C220))</f>
        <v xml:space="preserve"> 15 min</v>
      </c>
      <c r="E220" s="46" t="s">
        <v>120</v>
      </c>
      <c r="F220" s="262"/>
      <c r="G220" s="263"/>
      <c r="H220" s="152"/>
    </row>
    <row r="221" spans="2:8" s="43" customFormat="1" ht="27" x14ac:dyDescent="0.3">
      <c r="B221" s="45" t="s">
        <v>45</v>
      </c>
      <c r="C221" s="45">
        <v>21</v>
      </c>
      <c r="D221" s="127" t="str">
        <f t="shared" si="19"/>
        <v>1h 45 min</v>
      </c>
      <c r="E221" t="s">
        <v>123</v>
      </c>
      <c r="F221" s="254"/>
      <c r="G221" s="255"/>
      <c r="H221" s="152"/>
    </row>
    <row r="222" spans="2:8" s="43" customFormat="1" x14ac:dyDescent="0.3">
      <c r="B222" s="44" t="s">
        <v>27</v>
      </c>
      <c r="C222" s="45">
        <v>9</v>
      </c>
      <c r="D222" s="126" t="str">
        <f t="shared" ref="D222:D227" si="20" xml:space="preserve"> IF(C222="","",setValueToTime(C222))</f>
        <v xml:space="preserve"> 45 min</v>
      </c>
      <c r="E222" s="46" t="s">
        <v>129</v>
      </c>
      <c r="F222" s="254"/>
      <c r="G222" s="255"/>
      <c r="H222" s="152"/>
    </row>
    <row r="223" spans="2:8" s="43" customFormat="1" ht="27" x14ac:dyDescent="0.3">
      <c r="B223" s="44" t="s">
        <v>44</v>
      </c>
      <c r="C223" s="45">
        <v>9</v>
      </c>
      <c r="D223" s="126" t="str">
        <f t="shared" si="20"/>
        <v xml:space="preserve"> 45 min</v>
      </c>
      <c r="E223" s="46" t="s">
        <v>190</v>
      </c>
      <c r="F223" s="254"/>
      <c r="G223" s="255"/>
      <c r="H223" s="152"/>
    </row>
    <row r="224" spans="2:8" s="43" customFormat="1" x14ac:dyDescent="0.3">
      <c r="B224" s="45"/>
      <c r="C224" s="45"/>
      <c r="D224" s="127" t="str">
        <f t="shared" si="20"/>
        <v/>
      </c>
      <c r="E224" s="46"/>
      <c r="F224" s="254"/>
      <c r="G224" s="255"/>
      <c r="H224" s="152"/>
    </row>
    <row r="225" spans="2:8" s="43" customFormat="1" x14ac:dyDescent="0.3">
      <c r="B225" s="45"/>
      <c r="C225" s="45"/>
      <c r="D225" s="127" t="str">
        <f t="shared" si="20"/>
        <v/>
      </c>
      <c r="E225" s="46"/>
      <c r="F225" s="254"/>
      <c r="G225" s="255"/>
      <c r="H225" s="152"/>
    </row>
    <row r="226" spans="2:8" s="43" customFormat="1" x14ac:dyDescent="0.3">
      <c r="B226" s="45"/>
      <c r="C226" s="45"/>
      <c r="D226" s="127" t="str">
        <f t="shared" si="20"/>
        <v/>
      </c>
      <c r="E226" s="46"/>
      <c r="F226" s="254"/>
      <c r="G226" s="255"/>
      <c r="H226" s="152"/>
    </row>
    <row r="227" spans="2:8" s="43" customFormat="1" ht="15" thickBot="1" x14ac:dyDescent="0.35">
      <c r="B227" s="47"/>
      <c r="C227" s="47"/>
      <c r="D227" s="128" t="str">
        <f t="shared" si="20"/>
        <v/>
      </c>
      <c r="E227" s="48"/>
      <c r="F227" s="256"/>
      <c r="G227" s="257"/>
      <c r="H227" s="152"/>
    </row>
    <row r="228" spans="2:8" s="43" customFormat="1" ht="15" thickBot="1" x14ac:dyDescent="0.35">
      <c r="B228" s="135" t="s">
        <v>43</v>
      </c>
      <c r="C228" s="66">
        <f>SUM(C220:C227)</f>
        <v>42</v>
      </c>
      <c r="D228" s="135" t="str">
        <f xml:space="preserve"> setValueToTime(C228)</f>
        <v>3h 30 min</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36</v>
      </c>
      <c r="C230" s="137">
        <v>2</v>
      </c>
      <c r="D230" s="137"/>
      <c r="E230" s="130" t="s">
        <v>37</v>
      </c>
      <c r="F230" s="131" t="s">
        <v>72</v>
      </c>
      <c r="G230" s="132" t="s">
        <v>55</v>
      </c>
      <c r="H230" s="151"/>
    </row>
    <row r="231" spans="2:8" s="39" customFormat="1" ht="30" customHeight="1" thickBot="1" x14ac:dyDescent="0.3">
      <c r="B231" s="61" t="s">
        <v>38</v>
      </c>
      <c r="C231" s="134" t="s">
        <v>39</v>
      </c>
      <c r="D231" s="133"/>
      <c r="E231" s="61" t="s">
        <v>40</v>
      </c>
      <c r="F231" s="266" t="s">
        <v>41</v>
      </c>
      <c r="G231" s="267"/>
      <c r="H231" s="151"/>
    </row>
    <row r="232" spans="2:8" s="43" customFormat="1" ht="27" x14ac:dyDescent="0.3">
      <c r="B232" s="40" t="s">
        <v>48</v>
      </c>
      <c r="C232" s="41">
        <v>2</v>
      </c>
      <c r="D232" s="125" t="str">
        <f xml:space="preserve"> IF(C232="","",setValueToTime(C232))</f>
        <v xml:space="preserve"> 10 min</v>
      </c>
      <c r="E232" s="42" t="s">
        <v>192</v>
      </c>
      <c r="F232" s="262"/>
      <c r="G232" s="263"/>
      <c r="H232" s="152"/>
    </row>
    <row r="233" spans="2:8" s="43" customFormat="1" ht="27.75" thickBot="1" x14ac:dyDescent="0.35">
      <c r="B233" s="44" t="s">
        <v>30</v>
      </c>
      <c r="C233" s="45">
        <v>2</v>
      </c>
      <c r="D233" s="126" t="str">
        <f t="shared" ref="D233" si="21" xml:space="preserve"> IF(C233="","",setValueToTime(C233))</f>
        <v xml:space="preserve"> 10 min</v>
      </c>
      <c r="E233" s="46" t="s">
        <v>121</v>
      </c>
      <c r="F233" s="254"/>
      <c r="G233" s="255"/>
      <c r="H233" s="152"/>
    </row>
    <row r="234" spans="2:8" s="43" customFormat="1" x14ac:dyDescent="0.3">
      <c r="B234" s="40"/>
      <c r="C234" s="41"/>
      <c r="D234" s="125" t="str">
        <f xml:space="preserve"> IF(C234="","",setValueToTime(C234))</f>
        <v/>
      </c>
      <c r="E234" s="42"/>
      <c r="F234" s="254"/>
      <c r="G234" s="255"/>
      <c r="H234" s="152"/>
    </row>
    <row r="235" spans="2:8" s="43" customFormat="1" ht="27" x14ac:dyDescent="0.3">
      <c r="B235" s="44" t="s">
        <v>44</v>
      </c>
      <c r="C235" s="45">
        <v>6</v>
      </c>
      <c r="D235" s="126" t="str">
        <f t="shared" ref="D235:D236" si="22" xml:space="preserve"> IF(C235="","",setValueToTime(C235))</f>
        <v xml:space="preserve"> 30 min</v>
      </c>
      <c r="E235" s="46" t="s">
        <v>122</v>
      </c>
      <c r="F235" s="254"/>
      <c r="G235" s="255"/>
      <c r="H235" s="152"/>
    </row>
    <row r="236" spans="2:8" s="43" customFormat="1" ht="27" x14ac:dyDescent="0.3">
      <c r="B236" s="44" t="s">
        <v>48</v>
      </c>
      <c r="C236" s="45">
        <v>6</v>
      </c>
      <c r="D236" s="126" t="str">
        <f t="shared" si="22"/>
        <v xml:space="preserve"> 30 min</v>
      </c>
      <c r="E236" s="46" t="s">
        <v>193</v>
      </c>
      <c r="F236" s="254"/>
      <c r="G236" s="255"/>
      <c r="H236" s="152"/>
    </row>
    <row r="237" spans="2:8" s="43" customFormat="1" ht="27" x14ac:dyDescent="0.3">
      <c r="B237" s="45" t="s">
        <v>45</v>
      </c>
      <c r="C237" s="45">
        <v>20</v>
      </c>
      <c r="D237" s="127" t="str">
        <f t="shared" ref="D237:D239" si="23" xml:space="preserve"> IF(C237="","",setValueToTime(C237))</f>
        <v>1h 40 min</v>
      </c>
      <c r="E237" t="s">
        <v>123</v>
      </c>
      <c r="F237" s="269" t="s">
        <v>124</v>
      </c>
      <c r="G237" s="255"/>
      <c r="H237" s="152"/>
    </row>
    <row r="238" spans="2:8" s="43" customFormat="1" x14ac:dyDescent="0.3">
      <c r="B238" s="45"/>
      <c r="C238" s="45"/>
      <c r="D238" s="127" t="str">
        <f t="shared" si="23"/>
        <v/>
      </c>
      <c r="E238" s="46"/>
      <c r="F238" s="254"/>
      <c r="G238" s="255"/>
      <c r="H238" s="152"/>
    </row>
    <row r="239" spans="2:8" s="43" customFormat="1" ht="15" thickBot="1" x14ac:dyDescent="0.35">
      <c r="B239" s="47"/>
      <c r="C239" s="47"/>
      <c r="D239" s="128" t="str">
        <f t="shared" si="23"/>
        <v/>
      </c>
      <c r="E239" s="48"/>
      <c r="F239" s="256"/>
      <c r="G239" s="257"/>
      <c r="H239" s="152"/>
    </row>
    <row r="240" spans="2:8" s="43" customFormat="1" ht="15" thickBot="1" x14ac:dyDescent="0.35">
      <c r="B240" s="135" t="s">
        <v>43</v>
      </c>
      <c r="C240" s="66">
        <f>SUM(C232:C239)</f>
        <v>36</v>
      </c>
      <c r="D240" s="135" t="str">
        <f xml:space="preserve"> setValueToTime(C240)</f>
        <v>3h</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36</v>
      </c>
      <c r="C242" s="137">
        <v>1</v>
      </c>
      <c r="D242" s="137"/>
      <c r="E242" s="130" t="s">
        <v>37</v>
      </c>
      <c r="F242" s="131" t="s">
        <v>72</v>
      </c>
      <c r="G242" s="132" t="s">
        <v>56</v>
      </c>
      <c r="H242" s="151"/>
    </row>
    <row r="243" spans="2:8" s="39" customFormat="1" ht="30" customHeight="1" thickBot="1" x14ac:dyDescent="0.3">
      <c r="B243" s="61" t="s">
        <v>38</v>
      </c>
      <c r="C243" s="134" t="s">
        <v>39</v>
      </c>
      <c r="D243" s="133"/>
      <c r="E243" s="61" t="s">
        <v>40</v>
      </c>
      <c r="F243" s="266" t="s">
        <v>41</v>
      </c>
      <c r="G243" s="267"/>
      <c r="H243" s="151"/>
    </row>
    <row r="244" spans="2:8" s="43" customFormat="1" ht="27" x14ac:dyDescent="0.3">
      <c r="B244" s="40" t="s">
        <v>30</v>
      </c>
      <c r="C244" s="41">
        <v>18</v>
      </c>
      <c r="D244" s="125" t="s">
        <v>21</v>
      </c>
      <c r="E244" s="42" t="s">
        <v>194</v>
      </c>
      <c r="F244" s="268" t="s">
        <v>127</v>
      </c>
      <c r="G244" s="263"/>
      <c r="H244" s="152"/>
    </row>
    <row r="245" spans="2:8" s="43" customFormat="1" x14ac:dyDescent="0.3">
      <c r="B245" s="44" t="s">
        <v>31</v>
      </c>
      <c r="C245" s="45">
        <v>2</v>
      </c>
      <c r="D245" s="126" t="str">
        <f t="shared" ref="D245:D251" si="24" xml:space="preserve"> IF(C245="","",setValueToTime(C245))</f>
        <v xml:space="preserve"> 10 min</v>
      </c>
      <c r="E245" s="46" t="s">
        <v>118</v>
      </c>
      <c r="F245" s="269" t="s">
        <v>126</v>
      </c>
      <c r="G245" s="255"/>
      <c r="H245" s="152"/>
    </row>
    <row r="246" spans="2:8" s="43" customFormat="1" x14ac:dyDescent="0.3">
      <c r="B246" s="44" t="s">
        <v>47</v>
      </c>
      <c r="C246" s="45">
        <v>10</v>
      </c>
      <c r="D246" s="126" t="str">
        <f t="shared" si="24"/>
        <v xml:space="preserve"> 50 min</v>
      </c>
      <c r="E246" s="46" t="s">
        <v>75</v>
      </c>
      <c r="F246" s="269" t="s">
        <v>125</v>
      </c>
      <c r="G246" s="255"/>
      <c r="H246" s="152"/>
    </row>
    <row r="247" spans="2:8" s="43" customFormat="1" ht="27" x14ac:dyDescent="0.3">
      <c r="B247" s="44" t="s">
        <v>46</v>
      </c>
      <c r="C247" s="45">
        <v>10</v>
      </c>
      <c r="D247" s="126" t="str">
        <f t="shared" si="24"/>
        <v xml:space="preserve"> 50 min</v>
      </c>
      <c r="E247" s="46" t="s">
        <v>181</v>
      </c>
      <c r="F247" s="254"/>
      <c r="G247" s="255"/>
      <c r="H247" s="152"/>
    </row>
    <row r="248" spans="2:8" s="43" customFormat="1" x14ac:dyDescent="0.3">
      <c r="B248" s="45" t="s">
        <v>49</v>
      </c>
      <c r="C248" s="45">
        <v>2</v>
      </c>
      <c r="D248" s="127" t="str">
        <f t="shared" si="24"/>
        <v xml:space="preserve"> 10 min</v>
      </c>
      <c r="E248" s="46" t="s">
        <v>119</v>
      </c>
      <c r="F248" s="269" t="s">
        <v>128</v>
      </c>
      <c r="G248" s="255"/>
      <c r="H248" s="152"/>
    </row>
    <row r="249" spans="2:8" s="43" customFormat="1" x14ac:dyDescent="0.3">
      <c r="B249" s="45"/>
      <c r="C249" s="45"/>
      <c r="D249" s="127" t="str">
        <f t="shared" si="24"/>
        <v/>
      </c>
      <c r="E249" s="46"/>
      <c r="F249" s="254"/>
      <c r="G249" s="255"/>
      <c r="H249" s="152"/>
    </row>
    <row r="250" spans="2:8" s="43" customFormat="1" x14ac:dyDescent="0.3">
      <c r="B250" s="45"/>
      <c r="C250" s="45"/>
      <c r="D250" s="127" t="str">
        <f t="shared" si="24"/>
        <v/>
      </c>
      <c r="E250" s="46"/>
      <c r="F250" s="254"/>
      <c r="G250" s="255"/>
      <c r="H250" s="152"/>
    </row>
    <row r="251" spans="2:8" s="43" customFormat="1" ht="15" thickBot="1" x14ac:dyDescent="0.35">
      <c r="B251" s="47"/>
      <c r="C251" s="47"/>
      <c r="D251" s="128" t="str">
        <f t="shared" si="24"/>
        <v/>
      </c>
      <c r="E251" s="48"/>
      <c r="F251" s="256"/>
      <c r="G251" s="257"/>
      <c r="H251" s="152"/>
    </row>
    <row r="252" spans="2:8" s="43" customFormat="1" ht="15" thickBot="1" x14ac:dyDescent="0.35">
      <c r="B252" s="135" t="s">
        <v>43</v>
      </c>
      <c r="C252" s="66">
        <f>SUM(C244:C251)</f>
        <v>42</v>
      </c>
      <c r="D252" s="135" t="str">
        <f xml:space="preserve"> setValueToTime(C252)</f>
        <v>3h 30 min</v>
      </c>
      <c r="E252" s="96"/>
      <c r="F252" s="264"/>
      <c r="G252" s="265"/>
      <c r="H252" s="152"/>
    </row>
    <row r="253" spans="2:8" s="43" customFormat="1" x14ac:dyDescent="0.3">
      <c r="B253" s="60"/>
      <c r="C253" s="60"/>
      <c r="D253" s="60"/>
      <c r="E253" s="60"/>
      <c r="F253" s="60"/>
      <c r="G253" s="60"/>
      <c r="H253" s="152"/>
    </row>
  </sheetData>
  <sheetProtection formatRows="0" insertRows="0" insertHyperlinks="0" deleteRows="0" selectLockedCells="1"/>
  <mergeCells count="21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144:G144"/>
    <mergeCell ref="F99:G99"/>
    <mergeCell ref="F100:G100"/>
    <mergeCell ref="F101:G101"/>
    <mergeCell ref="F102:G102"/>
    <mergeCell ref="F103:G103"/>
    <mergeCell ref="F104:G104"/>
    <mergeCell ref="F105:G105"/>
    <mergeCell ref="F106:G106"/>
    <mergeCell ref="F107:G107"/>
    <mergeCell ref="F108:G108"/>
    <mergeCell ref="F135:G135"/>
    <mergeCell ref="F136:G136"/>
    <mergeCell ref="F137:G137"/>
    <mergeCell ref="F138:G138"/>
    <mergeCell ref="F139:G139"/>
    <mergeCell ref="F140:G140"/>
    <mergeCell ref="F141:G141"/>
    <mergeCell ref="F142:G142"/>
    <mergeCell ref="F143:G143"/>
    <mergeCell ref="F128:G128"/>
    <mergeCell ref="F129:G129"/>
    <mergeCell ref="F130:G130"/>
    <mergeCell ref="F131:G131"/>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216:G216"/>
    <mergeCell ref="F195:G195"/>
    <mergeCell ref="F196:G196"/>
    <mergeCell ref="F197:G197"/>
    <mergeCell ref="F198:G198"/>
    <mergeCell ref="F199:G199"/>
    <mergeCell ref="F200:G200"/>
    <mergeCell ref="F201:G201"/>
    <mergeCell ref="F202:G202"/>
    <mergeCell ref="F203:G203"/>
    <mergeCell ref="F204:G204"/>
    <mergeCell ref="F207:G207"/>
    <mergeCell ref="F208:G208"/>
    <mergeCell ref="F209:G209"/>
    <mergeCell ref="F210:G210"/>
    <mergeCell ref="F211:G211"/>
    <mergeCell ref="F212:G212"/>
    <mergeCell ref="F213:G213"/>
    <mergeCell ref="F214:G214"/>
    <mergeCell ref="F215:G215"/>
    <mergeCell ref="F240:G240"/>
    <mergeCell ref="F219:G219"/>
    <mergeCell ref="F220:G220"/>
    <mergeCell ref="F221:G221"/>
    <mergeCell ref="F222:G222"/>
    <mergeCell ref="F223:G223"/>
    <mergeCell ref="F224:G224"/>
    <mergeCell ref="F225:G225"/>
    <mergeCell ref="F226:G226"/>
    <mergeCell ref="F227:G227"/>
    <mergeCell ref="F228:G228"/>
    <mergeCell ref="F231:G231"/>
    <mergeCell ref="F232:G232"/>
    <mergeCell ref="F233:G233"/>
    <mergeCell ref="F234:G234"/>
    <mergeCell ref="F235:G235"/>
    <mergeCell ref="F236:G236"/>
    <mergeCell ref="F237:G237"/>
    <mergeCell ref="F238:G238"/>
    <mergeCell ref="F239:G239"/>
    <mergeCell ref="F249:G249"/>
    <mergeCell ref="F250:G250"/>
    <mergeCell ref="F251:G251"/>
    <mergeCell ref="F252:G252"/>
    <mergeCell ref="F243:G243"/>
    <mergeCell ref="F244:G244"/>
    <mergeCell ref="F245:G245"/>
    <mergeCell ref="F246:G246"/>
    <mergeCell ref="F247:G247"/>
    <mergeCell ref="F248:G248"/>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87:G87"/>
    <mergeCell ref="F88:G88"/>
    <mergeCell ref="F89:G89"/>
    <mergeCell ref="F90:G90"/>
    <mergeCell ref="F91:G91"/>
    <mergeCell ref="F92:G92"/>
    <mergeCell ref="F93:G93"/>
    <mergeCell ref="F94:G94"/>
    <mergeCell ref="F95:G95"/>
    <mergeCell ref="F96:G96"/>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60:G60"/>
    <mergeCell ref="F51:G51"/>
    <mergeCell ref="F52:G52"/>
    <mergeCell ref="F53:G53"/>
    <mergeCell ref="F54:G54"/>
    <mergeCell ref="F55:G55"/>
    <mergeCell ref="F56:G56"/>
    <mergeCell ref="F57:G57"/>
    <mergeCell ref="F58:G58"/>
    <mergeCell ref="F59:G59"/>
  </mergeCells>
  <phoneticPr fontId="0" type="noConversion"/>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44:C251 C232:C239 C220:C227 C208:C215 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52 C240 C228 C216 C204 C192 C180 C168 C156 C144 C132 C120 C108 C96 C84 C72 C60 C48 C36 C24 C12" xr:uid="{F07B0E06-BAEF-4AB8-8489-5985F597403F}">
      <formula1>0</formula1>
      <formula2>60</formula2>
    </dataValidation>
  </dataValidations>
  <hyperlinks>
    <hyperlink ref="F237" r:id="rId1" xr:uid="{81666E9A-B468-4D90-95A2-E913F1C6DCBC}"/>
    <hyperlink ref="F246" r:id="rId2" xr:uid="{8193756A-593E-4D0C-BA1B-6702C5C76A06}"/>
    <hyperlink ref="F245" r:id="rId3" xr:uid="{BBC14F41-7767-453F-9923-D043A329E1F3}"/>
    <hyperlink ref="F244" r:id="rId4" xr:uid="{3E78045D-33E6-4ABA-B703-D87E3126867E}"/>
    <hyperlink ref="F248"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B248:B251 B245 B232 B237:B239 B221:B227 B209 B211:B215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36</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17</v>
      </c>
      <c r="F14" s="226"/>
      <c r="G14" s="226"/>
      <c r="H14" s="226"/>
      <c r="I14" s="82"/>
      <c r="J14" s="82"/>
      <c r="K14" s="227" t="s">
        <v>18</v>
      </c>
      <c r="L14" s="227"/>
      <c r="M14" s="227"/>
      <c r="N14" s="227"/>
      <c r="O14" s="102"/>
      <c r="P14" s="102"/>
      <c r="Q14" s="226" t="s">
        <v>19</v>
      </c>
      <c r="R14" s="226"/>
      <c r="S14" s="226"/>
      <c r="T14" s="226"/>
      <c r="U14" s="82"/>
      <c r="V14" s="82"/>
      <c r="W14" s="227" t="s">
        <v>20</v>
      </c>
      <c r="X14" s="227"/>
      <c r="Y14" s="227"/>
      <c r="Z14" s="227"/>
      <c r="AA14" s="102"/>
      <c r="AB14" s="102"/>
      <c r="AC14" s="226" t="s">
        <v>21</v>
      </c>
      <c r="AD14" s="226"/>
      <c r="AE14" s="226"/>
      <c r="AF14" s="226"/>
      <c r="AG14" s="82"/>
      <c r="AH14" s="82"/>
      <c r="AI14" s="227" t="s">
        <v>22</v>
      </c>
      <c r="AJ14" s="227"/>
      <c r="AK14" s="227"/>
      <c r="AL14" s="227"/>
      <c r="AM14" s="102"/>
      <c r="AN14" s="102"/>
      <c r="AO14" s="226" t="s">
        <v>23</v>
      </c>
      <c r="AP14" s="226"/>
      <c r="AQ14" s="226"/>
      <c r="AR14" s="226"/>
      <c r="AS14" s="82"/>
      <c r="AT14" s="82"/>
      <c r="AU14" s="227" t="s">
        <v>24</v>
      </c>
      <c r="AV14" s="227"/>
      <c r="AW14" s="227"/>
      <c r="AX14" s="227"/>
      <c r="AY14" s="102"/>
      <c r="AZ14" s="102"/>
      <c r="BA14" s="226" t="s">
        <v>25</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2026-03-02T07:37:48Z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